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OneDrive\Desktop\Dream With Data\Excel\"/>
    </mc:Choice>
  </mc:AlternateContent>
  <xr:revisionPtr revIDLastSave="0" documentId="13_ncr:1_{07583FB0-80B7-4EFF-9C2B-205E0ABC047D}" xr6:coauthVersionLast="47" xr6:coauthVersionMax="47" xr10:uidLastSave="{00000000-0000-0000-0000-000000000000}"/>
  <bookViews>
    <workbookView xWindow="-98" yWindow="-98" windowWidth="21795" windowHeight="12975" activeTab="3" xr2:uid="{81DBC10B-977A-49FD-8F34-E2A9AE8CA2B1}"/>
  </bookViews>
  <sheets>
    <sheet name="Titanic-Dataset(1)" sheetId="1" r:id="rId1"/>
    <sheet name="Clean Data" sheetId="2" r:id="rId2"/>
    <sheet name="Pivot Table" sheetId="3" r:id="rId3"/>
    <sheet name="Sheet1" sheetId="5" r:id="rId4"/>
  </sheets>
  <definedNames>
    <definedName name="_xlnm._FilterDatabase" localSheetId="1" hidden="1">'Clean Data'!$A$1:$R$892</definedName>
    <definedName name="_xlnm._FilterDatabase" localSheetId="2" hidden="1">'Pivot Table'!$A$17:$F$18</definedName>
    <definedName name="_xlnm._FilterDatabase" localSheetId="0" hidden="1">'Titanic-Dataset(1)'!$A$1:$R$892</definedName>
    <definedName name="Slicer_Age_Group">#N/A</definedName>
    <definedName name="Slicer_Embarked">#N/A</definedName>
    <definedName name="Slicer_Fare_Category">#N/A</definedName>
    <definedName name="Slicer_Gender">#N/A</definedName>
    <definedName name="Slicer_Pclas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3" l="1"/>
  <c r="C21" i="3"/>
  <c r="Q2" i="1"/>
  <c r="Q7" i="1"/>
  <c r="K2" i="1"/>
  <c r="L2" i="1" a="1"/>
  <c r="L2" i="1"/>
  <c r="L3" i="1" a="1"/>
  <c r="L3" i="1" s="1"/>
  <c r="L4" i="1" a="1"/>
  <c r="L4" i="1" s="1"/>
  <c r="L5" i="1" a="1"/>
  <c r="L5" i="1" s="1"/>
  <c r="L6" i="1" a="1"/>
  <c r="L6" i="1"/>
  <c r="L7" i="1" a="1"/>
  <c r="L7" i="1"/>
  <c r="L8" i="1" a="1"/>
  <c r="L8" i="1"/>
  <c r="L9" i="1" a="1"/>
  <c r="L9" i="1"/>
  <c r="L10" i="1" a="1"/>
  <c r="L10" i="1"/>
  <c r="L11" i="1" a="1"/>
  <c r="L11" i="1" s="1"/>
  <c r="L12" i="1" a="1"/>
  <c r="L12" i="1" s="1"/>
  <c r="L13" i="1" a="1"/>
  <c r="L13" i="1"/>
  <c r="L14" i="1" a="1"/>
  <c r="L14" i="1" s="1"/>
  <c r="L15" i="1" a="1"/>
  <c r="L15" i="1"/>
  <c r="L16" i="1" a="1"/>
  <c r="L16" i="1"/>
  <c r="L17" i="1" a="1"/>
  <c r="L17" i="1"/>
  <c r="L18" i="1" a="1"/>
  <c r="L18" i="1"/>
  <c r="L19" i="1" a="1"/>
  <c r="L19" i="1" s="1"/>
  <c r="L20" i="1" a="1"/>
  <c r="L20" i="1" s="1"/>
  <c r="L21" i="1" a="1"/>
  <c r="L21" i="1"/>
  <c r="L22" i="1" a="1"/>
  <c r="L22" i="1"/>
  <c r="L23" i="1" a="1"/>
  <c r="L23" i="1" s="1"/>
  <c r="L24" i="1" a="1"/>
  <c r="L24" i="1"/>
  <c r="L25" i="1" a="1"/>
  <c r="L25" i="1"/>
  <c r="L26" i="1" a="1"/>
  <c r="L26" i="1"/>
  <c r="L27" i="1" a="1"/>
  <c r="L27" i="1" s="1"/>
  <c r="L28" i="1" a="1"/>
  <c r="L28" i="1" s="1"/>
  <c r="L29" i="1" a="1"/>
  <c r="L29" i="1"/>
  <c r="L30" i="1" a="1"/>
  <c r="L30" i="1"/>
  <c r="L31" i="1" a="1"/>
  <c r="L31" i="1"/>
  <c r="L32" i="1" a="1"/>
  <c r="L32" i="1" s="1"/>
  <c r="L33" i="1" a="1"/>
  <c r="L33" i="1"/>
  <c r="L34" i="1" a="1"/>
  <c r="L34" i="1"/>
  <c r="L35" i="1" a="1"/>
  <c r="L35" i="1" s="1"/>
  <c r="L36" i="1" a="1"/>
  <c r="L36" i="1" s="1"/>
  <c r="L37" i="1" a="1"/>
  <c r="L37" i="1"/>
  <c r="L38" i="1" a="1"/>
  <c r="L38" i="1"/>
  <c r="L39" i="1" a="1"/>
  <c r="L39" i="1"/>
  <c r="L40" i="1" a="1"/>
  <c r="L40" i="1"/>
  <c r="L41" i="1" a="1"/>
  <c r="L41" i="1" s="1"/>
  <c r="L42" i="1" a="1"/>
  <c r="L42" i="1"/>
  <c r="L43" i="1" a="1"/>
  <c r="L43" i="1" s="1"/>
  <c r="L44" i="1" a="1"/>
  <c r="L44" i="1" s="1"/>
  <c r="L45" i="1" a="1"/>
  <c r="L45" i="1"/>
  <c r="L46" i="1" a="1"/>
  <c r="L46" i="1"/>
  <c r="L47" i="1" a="1"/>
  <c r="L47" i="1"/>
  <c r="L48" i="1" a="1"/>
  <c r="L48" i="1"/>
  <c r="L49" i="1" a="1"/>
  <c r="L49" i="1"/>
  <c r="L50" i="1" a="1"/>
  <c r="L50" i="1" s="1"/>
  <c r="L51" i="1" a="1"/>
  <c r="L51" i="1" s="1"/>
  <c r="L52" i="1" a="1"/>
  <c r="L52" i="1" s="1"/>
  <c r="L53" i="1" a="1"/>
  <c r="L53" i="1"/>
  <c r="L54" i="1" a="1"/>
  <c r="L54" i="1"/>
  <c r="L55" i="1" a="1"/>
  <c r="L55" i="1"/>
  <c r="L56" i="1" a="1"/>
  <c r="L56" i="1"/>
  <c r="L57" i="1" a="1"/>
  <c r="L57" i="1"/>
  <c r="L58" i="1" a="1"/>
  <c r="L58" i="1"/>
  <c r="L59" i="1" a="1"/>
  <c r="L59" i="1" s="1"/>
  <c r="L60" i="1" a="1"/>
  <c r="L60" i="1" s="1"/>
  <c r="L61" i="1" a="1"/>
  <c r="L61" i="1"/>
  <c r="L62" i="1" a="1"/>
  <c r="L62" i="1"/>
  <c r="L63" i="1" a="1"/>
  <c r="L63" i="1"/>
  <c r="L64" i="1" a="1"/>
  <c r="L64" i="1"/>
  <c r="L65" i="1" a="1"/>
  <c r="L65" i="1"/>
  <c r="L66" i="1" a="1"/>
  <c r="L66" i="1"/>
  <c r="L67" i="1" a="1"/>
  <c r="L67" i="1" s="1"/>
  <c r="L68" i="1" a="1"/>
  <c r="L68" i="1" s="1"/>
  <c r="L69" i="1" a="1"/>
  <c r="L69" i="1" s="1"/>
  <c r="L70" i="1" a="1"/>
  <c r="L70" i="1"/>
  <c r="L71" i="1" a="1"/>
  <c r="L71" i="1"/>
  <c r="L72" i="1" a="1"/>
  <c r="L72" i="1"/>
  <c r="L73" i="1" a="1"/>
  <c r="L73" i="1"/>
  <c r="L74" i="1" a="1"/>
  <c r="L74" i="1"/>
  <c r="L75" i="1" a="1"/>
  <c r="L75" i="1" s="1"/>
  <c r="L76" i="1" a="1"/>
  <c r="L76" i="1" s="1"/>
  <c r="L77" i="1" a="1"/>
  <c r="L77" i="1"/>
  <c r="L78" i="1" a="1"/>
  <c r="L78" i="1" s="1"/>
  <c r="L79" i="1" a="1"/>
  <c r="L79" i="1"/>
  <c r="L80" i="1" a="1"/>
  <c r="L80" i="1"/>
  <c r="L81" i="1" a="1"/>
  <c r="L81" i="1"/>
  <c r="L82" i="1" a="1"/>
  <c r="L82" i="1"/>
  <c r="L83" i="1" a="1"/>
  <c r="L83" i="1" s="1"/>
  <c r="L84" i="1" a="1"/>
  <c r="L84" i="1" s="1"/>
  <c r="L85" i="1" a="1"/>
  <c r="L85" i="1"/>
  <c r="L86" i="1" a="1"/>
  <c r="L86" i="1"/>
  <c r="L87" i="1" a="1"/>
  <c r="L87" i="1" s="1"/>
  <c r="L88" i="1" a="1"/>
  <c r="L88" i="1"/>
  <c r="L89" i="1" a="1"/>
  <c r="L89" i="1"/>
  <c r="L90" i="1" a="1"/>
  <c r="L90" i="1"/>
  <c r="L91" i="1" a="1"/>
  <c r="L91" i="1" s="1"/>
  <c r="L92" i="1" a="1"/>
  <c r="L92" i="1" s="1"/>
  <c r="L93" i="1" a="1"/>
  <c r="L93" i="1"/>
  <c r="L94" i="1" a="1"/>
  <c r="L94" i="1"/>
  <c r="L95" i="1" a="1"/>
  <c r="L95" i="1"/>
  <c r="L96" i="1" a="1"/>
  <c r="L96" i="1" s="1"/>
  <c r="L97" i="1" a="1"/>
  <c r="L97" i="1"/>
  <c r="L98" i="1" a="1"/>
  <c r="L98" i="1"/>
  <c r="L99" i="1" a="1"/>
  <c r="L99" i="1" s="1"/>
  <c r="L100" i="1" a="1"/>
  <c r="L100" i="1" s="1"/>
  <c r="L101" i="1" a="1"/>
  <c r="L101" i="1"/>
  <c r="L102" i="1" a="1"/>
  <c r="L102" i="1"/>
  <c r="L103" i="1" a="1"/>
  <c r="L103" i="1"/>
  <c r="L104" i="1" a="1"/>
  <c r="L104" i="1"/>
  <c r="L105" i="1" a="1"/>
  <c r="L105" i="1" s="1"/>
  <c r="L106" i="1" a="1"/>
  <c r="L106" i="1"/>
  <c r="L107" i="1" a="1"/>
  <c r="L107" i="1" s="1"/>
  <c r="L108" i="1" a="1"/>
  <c r="L108" i="1" s="1"/>
  <c r="L109" i="1" a="1"/>
  <c r="L109" i="1"/>
  <c r="L110" i="1" a="1"/>
  <c r="L110" i="1"/>
  <c r="L111" i="1" a="1"/>
  <c r="L111" i="1"/>
  <c r="L112" i="1" a="1"/>
  <c r="L112" i="1"/>
  <c r="L113" i="1" a="1"/>
  <c r="L113" i="1"/>
  <c r="L114" i="1" a="1"/>
  <c r="L114" i="1" s="1"/>
  <c r="L115" i="1" a="1"/>
  <c r="L115" i="1" s="1"/>
  <c r="L116" i="1" a="1"/>
  <c r="L116" i="1" s="1"/>
  <c r="L117" i="1" a="1"/>
  <c r="L117" i="1"/>
  <c r="L118" i="1" a="1"/>
  <c r="L118" i="1"/>
  <c r="L119" i="1" a="1"/>
  <c r="L119" i="1"/>
  <c r="L120" i="1" a="1"/>
  <c r="L120" i="1"/>
  <c r="L121" i="1" a="1"/>
  <c r="L121" i="1"/>
  <c r="L122" i="1" a="1"/>
  <c r="L122" i="1"/>
  <c r="L123" i="1" a="1"/>
  <c r="L123" i="1" s="1"/>
  <c r="L124" i="1" a="1"/>
  <c r="L124" i="1" s="1"/>
  <c r="L125" i="1" a="1"/>
  <c r="L125" i="1"/>
  <c r="L126" i="1" a="1"/>
  <c r="L126" i="1"/>
  <c r="L127" i="1" a="1"/>
  <c r="L127" i="1"/>
  <c r="L128" i="1" a="1"/>
  <c r="L128" i="1"/>
  <c r="L129" i="1" a="1"/>
  <c r="L129" i="1"/>
  <c r="L130" i="1" a="1"/>
  <c r="L130" i="1"/>
  <c r="L131" i="1" a="1"/>
  <c r="L131" i="1" s="1"/>
  <c r="L132" i="1" a="1"/>
  <c r="L132" i="1" s="1"/>
  <c r="L133" i="1" a="1"/>
  <c r="L133" i="1" s="1"/>
  <c r="L134" i="1" a="1"/>
  <c r="L134" i="1"/>
  <c r="L135" i="1" a="1"/>
  <c r="L135" i="1"/>
  <c r="L136" i="1" a="1"/>
  <c r="L136" i="1"/>
  <c r="L137" i="1" a="1"/>
  <c r="L137" i="1"/>
  <c r="L138" i="1" a="1"/>
  <c r="L138" i="1"/>
  <c r="L139" i="1" a="1"/>
  <c r="L139" i="1" s="1"/>
  <c r="L140" i="1" a="1"/>
  <c r="L140" i="1" s="1"/>
  <c r="L141" i="1" a="1"/>
  <c r="L141" i="1"/>
  <c r="L142" i="1" a="1"/>
  <c r="L142" i="1" s="1"/>
  <c r="L143" i="1" a="1"/>
  <c r="L143" i="1"/>
  <c r="L144" i="1" a="1"/>
  <c r="L144" i="1"/>
  <c r="L145" i="1" a="1"/>
  <c r="L145" i="1"/>
  <c r="L146" i="1" a="1"/>
  <c r="L146" i="1"/>
  <c r="L147" i="1" a="1"/>
  <c r="L147" i="1" s="1"/>
  <c r="L148" i="1" a="1"/>
  <c r="L148" i="1" s="1"/>
  <c r="L149" i="1" a="1"/>
  <c r="L149" i="1"/>
  <c r="L150" i="1" a="1"/>
  <c r="L150" i="1"/>
  <c r="L151" i="1" a="1"/>
  <c r="L151" i="1" s="1"/>
  <c r="L152" i="1" a="1"/>
  <c r="L152" i="1"/>
  <c r="L153" i="1" a="1"/>
  <c r="L153" i="1"/>
  <c r="L154" i="1" a="1"/>
  <c r="L154" i="1"/>
  <c r="L155" i="1" a="1"/>
  <c r="L155" i="1" s="1"/>
  <c r="L156" i="1" a="1"/>
  <c r="L156" i="1" s="1"/>
  <c r="L157" i="1" a="1"/>
  <c r="L157" i="1"/>
  <c r="L158" i="1" a="1"/>
  <c r="L158" i="1"/>
  <c r="L159" i="1" a="1"/>
  <c r="L159" i="1"/>
  <c r="L160" i="1" a="1"/>
  <c r="L160" i="1" s="1"/>
  <c r="L161" i="1" a="1"/>
  <c r="L161" i="1"/>
  <c r="L162" i="1" a="1"/>
  <c r="L162" i="1"/>
  <c r="L163" i="1" a="1"/>
  <c r="L163" i="1" s="1"/>
  <c r="L164" i="1" a="1"/>
  <c r="L164" i="1" s="1"/>
  <c r="L165" i="1" a="1"/>
  <c r="L165" i="1"/>
  <c r="L166" i="1" a="1"/>
  <c r="L166" i="1"/>
  <c r="L167" i="1" a="1"/>
  <c r="L167" i="1"/>
  <c r="L168" i="1" a="1"/>
  <c r="L168" i="1"/>
  <c r="L169" i="1" a="1"/>
  <c r="L169" i="1" s="1"/>
  <c r="L170" i="1" a="1"/>
  <c r="L170" i="1"/>
  <c r="L171" i="1" a="1"/>
  <c r="L171" i="1" s="1"/>
  <c r="L172" i="1" a="1"/>
  <c r="L172" i="1" s="1"/>
  <c r="L173" i="1" a="1"/>
  <c r="L173" i="1"/>
  <c r="L174" i="1" a="1"/>
  <c r="L174" i="1"/>
  <c r="L175" i="1" a="1"/>
  <c r="L175" i="1"/>
  <c r="L176" i="1" a="1"/>
  <c r="L176" i="1"/>
  <c r="L177" i="1" a="1"/>
  <c r="L177" i="1"/>
  <c r="L178" i="1" a="1"/>
  <c r="L178" i="1" s="1"/>
  <c r="L179" i="1" a="1"/>
  <c r="L179" i="1" s="1"/>
  <c r="L180" i="1" a="1"/>
  <c r="L180" i="1" s="1"/>
  <c r="L181" i="1" a="1"/>
  <c r="L181" i="1"/>
  <c r="L182" i="1" a="1"/>
  <c r="L182" i="1"/>
  <c r="L183" i="1" a="1"/>
  <c r="L183" i="1"/>
  <c r="L184" i="1" a="1"/>
  <c r="L184" i="1"/>
  <c r="L185" i="1" a="1"/>
  <c r="L185" i="1"/>
  <c r="L186" i="1" a="1"/>
  <c r="L186" i="1"/>
  <c r="L187" i="1" a="1"/>
  <c r="L187" i="1" s="1"/>
  <c r="L188" i="1" a="1"/>
  <c r="L188" i="1" s="1"/>
  <c r="L189" i="1" a="1"/>
  <c r="L189" i="1"/>
  <c r="L190" i="1" a="1"/>
  <c r="L190" i="1"/>
  <c r="L191" i="1" a="1"/>
  <c r="L191" i="1"/>
  <c r="L192" i="1" a="1"/>
  <c r="L192" i="1"/>
  <c r="L193" i="1" a="1"/>
  <c r="L193" i="1"/>
  <c r="L194" i="1" a="1"/>
  <c r="L194" i="1"/>
  <c r="L195" i="1" a="1"/>
  <c r="L195" i="1" s="1"/>
  <c r="L196" i="1" a="1"/>
  <c r="L196" i="1" s="1"/>
  <c r="L197" i="1" a="1"/>
  <c r="L197" i="1" s="1"/>
  <c r="L198" i="1" a="1"/>
  <c r="L198" i="1"/>
  <c r="L199" i="1" a="1"/>
  <c r="L199" i="1"/>
  <c r="L200" i="1" a="1"/>
  <c r="L200" i="1"/>
  <c r="L201" i="1" a="1"/>
  <c r="L201" i="1"/>
  <c r="L202" i="1" a="1"/>
  <c r="L202" i="1"/>
  <c r="L203" i="1" a="1"/>
  <c r="L203" i="1" s="1"/>
  <c r="L204" i="1" a="1"/>
  <c r="L204" i="1" s="1"/>
  <c r="L205" i="1" a="1"/>
  <c r="L205" i="1"/>
  <c r="L206" i="1" a="1"/>
  <c r="L206" i="1" s="1"/>
  <c r="L207" i="1" a="1"/>
  <c r="L207" i="1"/>
  <c r="L208" i="1" a="1"/>
  <c r="L208" i="1"/>
  <c r="L209" i="1" a="1"/>
  <c r="L209" i="1"/>
  <c r="L210" i="1" a="1"/>
  <c r="L210" i="1"/>
  <c r="L211" i="1" a="1"/>
  <c r="L211" i="1" s="1"/>
  <c r="L212" i="1" a="1"/>
  <c r="L212" i="1" s="1"/>
  <c r="L213" i="1" a="1"/>
  <c r="L213" i="1"/>
  <c r="L214" i="1" a="1"/>
  <c r="L214" i="1"/>
  <c r="L215" i="1" a="1"/>
  <c r="L215" i="1" s="1"/>
  <c r="L216" i="1" a="1"/>
  <c r="L216" i="1"/>
  <c r="L217" i="1" a="1"/>
  <c r="L217" i="1"/>
  <c r="L218" i="1" a="1"/>
  <c r="L218" i="1"/>
  <c r="L219" i="1" a="1"/>
  <c r="L219" i="1" s="1"/>
  <c r="L220" i="1" a="1"/>
  <c r="L220" i="1" s="1"/>
  <c r="L221" i="1" a="1"/>
  <c r="L221" i="1"/>
  <c r="L222" i="1" a="1"/>
  <c r="L222" i="1"/>
  <c r="L223" i="1" a="1"/>
  <c r="L223" i="1"/>
  <c r="L224" i="1" a="1"/>
  <c r="L224" i="1" s="1"/>
  <c r="L225" i="1" a="1"/>
  <c r="L225" i="1"/>
  <c r="L226" i="1" a="1"/>
  <c r="L226" i="1"/>
  <c r="L227" i="1" a="1"/>
  <c r="L227" i="1" s="1"/>
  <c r="L228" i="1" a="1"/>
  <c r="L228" i="1" s="1"/>
  <c r="L229" i="1" a="1"/>
  <c r="L229" i="1"/>
  <c r="L230" i="1" a="1"/>
  <c r="L230" i="1"/>
  <c r="L231" i="1" a="1"/>
  <c r="L231" i="1"/>
  <c r="L232" i="1" a="1"/>
  <c r="L232" i="1"/>
  <c r="L233" i="1" a="1"/>
  <c r="L233" i="1" s="1"/>
  <c r="L234" i="1" a="1"/>
  <c r="L234" i="1"/>
  <c r="L235" i="1" a="1"/>
  <c r="L235" i="1" s="1"/>
  <c r="L236" i="1" a="1"/>
  <c r="L236" i="1" s="1"/>
  <c r="L237" i="1" a="1"/>
  <c r="L237" i="1"/>
  <c r="L238" i="1" a="1"/>
  <c r="L238" i="1"/>
  <c r="L239" i="1" a="1"/>
  <c r="L239" i="1"/>
  <c r="L240" i="1" a="1"/>
  <c r="L240" i="1"/>
  <c r="L241" i="1" a="1"/>
  <c r="L241" i="1"/>
  <c r="L242" i="1" a="1"/>
  <c r="L242" i="1" s="1"/>
  <c r="L243" i="1" a="1"/>
  <c r="L243" i="1" s="1"/>
  <c r="L244" i="1" a="1"/>
  <c r="L244" i="1" s="1"/>
  <c r="L245" i="1" a="1"/>
  <c r="L245" i="1"/>
  <c r="L246" i="1" a="1"/>
  <c r="L246" i="1"/>
  <c r="L247" i="1" a="1"/>
  <c r="L247" i="1"/>
  <c r="L248" i="1" a="1"/>
  <c r="L248" i="1"/>
  <c r="L249" i="1" a="1"/>
  <c r="L249" i="1"/>
  <c r="L250" i="1" a="1"/>
  <c r="L250" i="1"/>
  <c r="L251" i="1" a="1"/>
  <c r="L251" i="1" s="1"/>
  <c r="L252" i="1" a="1"/>
  <c r="L252" i="1" s="1"/>
  <c r="L253" i="1" a="1"/>
  <c r="L253" i="1"/>
  <c r="L254" i="1" a="1"/>
  <c r="L254" i="1"/>
  <c r="L255" i="1" a="1"/>
  <c r="L255" i="1"/>
  <c r="L256" i="1" a="1"/>
  <c r="L256" i="1"/>
  <c r="L257" i="1" a="1"/>
  <c r="L257" i="1"/>
  <c r="L258" i="1" a="1"/>
  <c r="L258" i="1"/>
  <c r="L259" i="1" a="1"/>
  <c r="L259" i="1" s="1"/>
  <c r="L260" i="1" a="1"/>
  <c r="L260" i="1" s="1"/>
  <c r="L261" i="1" a="1"/>
  <c r="L261" i="1" s="1"/>
  <c r="L262" i="1" a="1"/>
  <c r="L262" i="1"/>
  <c r="L263" i="1" a="1"/>
  <c r="L263" i="1"/>
  <c r="L264" i="1" a="1"/>
  <c r="L264" i="1"/>
  <c r="L265" i="1" a="1"/>
  <c r="L265" i="1"/>
  <c r="L266" i="1" a="1"/>
  <c r="L266" i="1"/>
  <c r="L267" i="1" a="1"/>
  <c r="L267" i="1" s="1"/>
  <c r="L268" i="1" a="1"/>
  <c r="L268" i="1" s="1"/>
  <c r="L269" i="1" a="1"/>
  <c r="L269" i="1"/>
  <c r="L270" i="1" a="1"/>
  <c r="L270" i="1" s="1"/>
  <c r="L271" i="1" a="1"/>
  <c r="L271" i="1"/>
  <c r="L272" i="1" a="1"/>
  <c r="L272" i="1"/>
  <c r="L273" i="1" a="1"/>
  <c r="L273" i="1"/>
  <c r="L274" i="1" a="1"/>
  <c r="L274" i="1"/>
  <c r="L275" i="1" a="1"/>
  <c r="L275" i="1" s="1"/>
  <c r="L276" i="1" a="1"/>
  <c r="L276" i="1" s="1"/>
  <c r="L277" i="1" a="1"/>
  <c r="L277" i="1"/>
  <c r="L278" i="1" a="1"/>
  <c r="L278" i="1"/>
  <c r="L279" i="1" a="1"/>
  <c r="L279" i="1" s="1"/>
  <c r="L280" i="1" a="1"/>
  <c r="L280" i="1"/>
  <c r="L281" i="1" a="1"/>
  <c r="L281" i="1"/>
  <c r="L282" i="1" a="1"/>
  <c r="L282" i="1"/>
  <c r="L283" i="1" a="1"/>
  <c r="L283" i="1" s="1"/>
  <c r="L284" i="1" a="1"/>
  <c r="L284" i="1" s="1"/>
  <c r="L285" i="1" a="1"/>
  <c r="L285" i="1"/>
  <c r="L286" i="1" a="1"/>
  <c r="L286" i="1"/>
  <c r="L287" i="1" a="1"/>
  <c r="L287" i="1"/>
  <c r="L288" i="1" a="1"/>
  <c r="L288" i="1" s="1"/>
  <c r="L289" i="1" a="1"/>
  <c r="L289" i="1"/>
  <c r="L290" i="1" a="1"/>
  <c r="L290" i="1"/>
  <c r="L291" i="1" a="1"/>
  <c r="L291" i="1" s="1"/>
  <c r="L292" i="1" a="1"/>
  <c r="L292" i="1" s="1"/>
  <c r="L293" i="1" a="1"/>
  <c r="L293" i="1"/>
  <c r="L294" i="1" a="1"/>
  <c r="L294" i="1"/>
  <c r="L295" i="1" a="1"/>
  <c r="L295" i="1"/>
  <c r="L296" i="1" a="1"/>
  <c r="L296" i="1"/>
  <c r="L297" i="1" a="1"/>
  <c r="L297" i="1" s="1"/>
  <c r="L298" i="1" a="1"/>
  <c r="L298" i="1"/>
  <c r="L299" i="1" a="1"/>
  <c r="L299" i="1" s="1"/>
  <c r="L300" i="1" a="1"/>
  <c r="L300" i="1" s="1"/>
  <c r="L301" i="1" a="1"/>
  <c r="L301" i="1"/>
  <c r="L302" i="1" a="1"/>
  <c r="L302" i="1"/>
  <c r="L303" i="1" a="1"/>
  <c r="L303" i="1"/>
  <c r="L304" i="1" a="1"/>
  <c r="L304" i="1"/>
  <c r="L305" i="1" a="1"/>
  <c r="L305" i="1"/>
  <c r="L306" i="1" a="1"/>
  <c r="L306" i="1" s="1"/>
  <c r="L307" i="1" a="1"/>
  <c r="L307" i="1" s="1"/>
  <c r="L308" i="1" a="1"/>
  <c r="L308" i="1" s="1"/>
  <c r="L309" i="1" a="1"/>
  <c r="L309" i="1"/>
  <c r="L310" i="1" a="1"/>
  <c r="L310" i="1"/>
  <c r="L311" i="1" a="1"/>
  <c r="L311" i="1"/>
  <c r="L312" i="1" a="1"/>
  <c r="L312" i="1"/>
  <c r="L313" i="1" a="1"/>
  <c r="L313" i="1"/>
  <c r="L314" i="1" a="1"/>
  <c r="L314" i="1"/>
  <c r="L315" i="1" a="1"/>
  <c r="L315" i="1" s="1"/>
  <c r="L316" i="1" a="1"/>
  <c r="L316" i="1" s="1"/>
  <c r="L317" i="1" a="1"/>
  <c r="L317" i="1"/>
  <c r="L318" i="1" a="1"/>
  <c r="L318" i="1"/>
  <c r="L319" i="1" a="1"/>
  <c r="L319" i="1"/>
  <c r="L320" i="1" a="1"/>
  <c r="L320" i="1"/>
  <c r="L321" i="1" a="1"/>
  <c r="L321" i="1"/>
  <c r="L322" i="1" a="1"/>
  <c r="L322" i="1"/>
  <c r="L323" i="1" a="1"/>
  <c r="L323" i="1" s="1"/>
  <c r="L324" i="1" a="1"/>
  <c r="L324" i="1" s="1"/>
  <c r="L325" i="1" a="1"/>
  <c r="L325" i="1" s="1"/>
  <c r="L326" i="1" a="1"/>
  <c r="L326" i="1"/>
  <c r="L327" i="1" a="1"/>
  <c r="L327" i="1"/>
  <c r="L328" i="1" a="1"/>
  <c r="L328" i="1"/>
  <c r="L329" i="1" a="1"/>
  <c r="L329" i="1"/>
  <c r="L330" i="1" a="1"/>
  <c r="L330" i="1"/>
  <c r="L331" i="1" a="1"/>
  <c r="L331" i="1" s="1"/>
  <c r="L332" i="1" a="1"/>
  <c r="L332" i="1" s="1"/>
  <c r="L333" i="1" a="1"/>
  <c r="L333" i="1"/>
  <c r="L334" i="1" a="1"/>
  <c r="L334" i="1" s="1"/>
  <c r="L335" i="1" a="1"/>
  <c r="L335" i="1"/>
  <c r="L336" i="1" a="1"/>
  <c r="L336" i="1"/>
  <c r="L337" i="1" a="1"/>
  <c r="L337" i="1"/>
  <c r="L338" i="1" a="1"/>
  <c r="L338" i="1"/>
  <c r="L339" i="1" a="1"/>
  <c r="L339" i="1" s="1"/>
  <c r="L340" i="1" a="1"/>
  <c r="L340" i="1" s="1"/>
  <c r="L341" i="1" a="1"/>
  <c r="L341" i="1"/>
  <c r="L342" i="1" a="1"/>
  <c r="L342" i="1"/>
  <c r="L343" i="1" a="1"/>
  <c r="L343" i="1" s="1"/>
  <c r="L344" i="1" a="1"/>
  <c r="L344" i="1"/>
  <c r="L345" i="1" a="1"/>
  <c r="L345" i="1"/>
  <c r="L346" i="1" a="1"/>
  <c r="L346" i="1"/>
  <c r="L347" i="1" a="1"/>
  <c r="L347" i="1" s="1"/>
  <c r="L348" i="1" a="1"/>
  <c r="L348" i="1" s="1"/>
  <c r="L349" i="1" a="1"/>
  <c r="L349" i="1"/>
  <c r="L350" i="1" a="1"/>
  <c r="L350" i="1"/>
  <c r="L351" i="1" a="1"/>
  <c r="L351" i="1"/>
  <c r="L352" i="1" a="1"/>
  <c r="L352" i="1" s="1"/>
  <c r="L353" i="1" a="1"/>
  <c r="L353" i="1"/>
  <c r="L354" i="1" a="1"/>
  <c r="L354" i="1"/>
  <c r="L355" i="1" a="1"/>
  <c r="L355" i="1" s="1"/>
  <c r="L356" i="1" a="1"/>
  <c r="L356" i="1" s="1"/>
  <c r="L357" i="1" a="1"/>
  <c r="L357" i="1"/>
  <c r="L358" i="1" a="1"/>
  <c r="L358" i="1"/>
  <c r="L359" i="1" a="1"/>
  <c r="L359" i="1"/>
  <c r="L360" i="1" a="1"/>
  <c r="L360" i="1"/>
  <c r="L361" i="1" a="1"/>
  <c r="L361" i="1" s="1"/>
  <c r="L362" i="1" a="1"/>
  <c r="L362" i="1"/>
  <c r="L363" i="1" a="1"/>
  <c r="L363" i="1" s="1"/>
  <c r="L364" i="1" a="1"/>
  <c r="L364" i="1" s="1"/>
  <c r="L365" i="1" a="1"/>
  <c r="L365" i="1"/>
  <c r="L366" i="1" a="1"/>
  <c r="L366" i="1"/>
  <c r="L367" i="1" a="1"/>
  <c r="L367" i="1"/>
  <c r="L368" i="1" a="1"/>
  <c r="L368" i="1"/>
  <c r="L369" i="1" a="1"/>
  <c r="L369" i="1"/>
  <c r="L370" i="1" a="1"/>
  <c r="L370" i="1" s="1"/>
  <c r="L371" i="1" a="1"/>
  <c r="L371" i="1" s="1"/>
  <c r="L372" i="1" a="1"/>
  <c r="L372" i="1" s="1"/>
  <c r="L373" i="1" a="1"/>
  <c r="L373" i="1"/>
  <c r="L374" i="1" a="1"/>
  <c r="L374" i="1"/>
  <c r="L375" i="1" a="1"/>
  <c r="L375" i="1"/>
  <c r="L376" i="1" a="1"/>
  <c r="L376" i="1"/>
  <c r="L377" i="1" a="1"/>
  <c r="L377" i="1"/>
  <c r="L378" i="1" a="1"/>
  <c r="L378" i="1"/>
  <c r="L379" i="1" a="1"/>
  <c r="L379" i="1" s="1"/>
  <c r="L380" i="1" a="1"/>
  <c r="L380" i="1" s="1"/>
  <c r="L381" i="1" a="1"/>
  <c r="L381" i="1"/>
  <c r="L382" i="1" a="1"/>
  <c r="L382" i="1"/>
  <c r="L383" i="1" a="1"/>
  <c r="L383" i="1"/>
  <c r="L384" i="1" a="1"/>
  <c r="L384" i="1"/>
  <c r="L385" i="1" a="1"/>
  <c r="L385" i="1"/>
  <c r="L386" i="1" a="1"/>
  <c r="L386" i="1"/>
  <c r="L387" i="1" a="1"/>
  <c r="L387" i="1" s="1"/>
  <c r="L388" i="1" a="1"/>
  <c r="L388" i="1" s="1"/>
  <c r="L389" i="1" a="1"/>
  <c r="L389" i="1" s="1"/>
  <c r="L390" i="1" a="1"/>
  <c r="L390" i="1"/>
  <c r="L391" i="1" a="1"/>
  <c r="L391" i="1"/>
  <c r="L392" i="1" a="1"/>
  <c r="L392" i="1"/>
  <c r="L393" i="1" a="1"/>
  <c r="L393" i="1"/>
  <c r="L394" i="1" a="1"/>
  <c r="L394" i="1"/>
  <c r="L395" i="1" a="1"/>
  <c r="L395" i="1" s="1"/>
  <c r="L396" i="1" a="1"/>
  <c r="L396" i="1" s="1"/>
  <c r="L397" i="1" a="1"/>
  <c r="L397" i="1"/>
  <c r="L398" i="1" a="1"/>
  <c r="L398" i="1" s="1"/>
  <c r="L399" i="1" a="1"/>
  <c r="L399" i="1"/>
  <c r="L400" i="1" a="1"/>
  <c r="L400" i="1"/>
  <c r="L401" i="1" a="1"/>
  <c r="L401" i="1"/>
  <c r="L402" i="1" a="1"/>
  <c r="L402" i="1"/>
  <c r="L403" i="1" a="1"/>
  <c r="L403" i="1" s="1"/>
  <c r="L404" i="1" a="1"/>
  <c r="L404" i="1" s="1"/>
  <c r="L405" i="1" a="1"/>
  <c r="L405" i="1"/>
  <c r="L406" i="1" a="1"/>
  <c r="L406" i="1"/>
  <c r="L407" i="1" a="1"/>
  <c r="L407" i="1" s="1"/>
  <c r="L408" i="1" a="1"/>
  <c r="L408" i="1"/>
  <c r="L409" i="1" a="1"/>
  <c r="L409" i="1"/>
  <c r="L410" i="1" a="1"/>
  <c r="L410" i="1"/>
  <c r="L411" i="1" a="1"/>
  <c r="L411" i="1" s="1"/>
  <c r="L412" i="1" a="1"/>
  <c r="L412" i="1" s="1"/>
  <c r="L413" i="1" a="1"/>
  <c r="L413" i="1"/>
  <c r="L414" i="1" a="1"/>
  <c r="L414" i="1"/>
  <c r="L415" i="1" a="1"/>
  <c r="L415" i="1"/>
  <c r="L416" i="1" a="1"/>
  <c r="L416" i="1" s="1"/>
  <c r="L417" i="1" a="1"/>
  <c r="L417" i="1"/>
  <c r="L418" i="1" a="1"/>
  <c r="L418" i="1"/>
  <c r="L419" i="1" a="1"/>
  <c r="L419" i="1" s="1"/>
  <c r="L420" i="1" a="1"/>
  <c r="L420" i="1" s="1"/>
  <c r="L421" i="1" a="1"/>
  <c r="L421" i="1"/>
  <c r="L422" i="1" a="1"/>
  <c r="L422" i="1"/>
  <c r="L423" i="1" a="1"/>
  <c r="L423" i="1"/>
  <c r="L424" i="1" a="1"/>
  <c r="L424" i="1"/>
  <c r="L425" i="1" a="1"/>
  <c r="L425" i="1" s="1"/>
  <c r="L426" i="1" a="1"/>
  <c r="L426" i="1"/>
  <c r="L427" i="1" a="1"/>
  <c r="L427" i="1" s="1"/>
  <c r="L428" i="1" a="1"/>
  <c r="L428" i="1" s="1"/>
  <c r="L429" i="1" a="1"/>
  <c r="L429" i="1"/>
  <c r="L430" i="1" a="1"/>
  <c r="L430" i="1"/>
  <c r="L431" i="1" a="1"/>
  <c r="L431" i="1"/>
  <c r="L432" i="1" a="1"/>
  <c r="L432" i="1"/>
  <c r="L433" i="1" a="1"/>
  <c r="L433" i="1"/>
  <c r="L434" i="1" a="1"/>
  <c r="L434" i="1" s="1"/>
  <c r="L435" i="1" a="1"/>
  <c r="L435" i="1" s="1"/>
  <c r="L436" i="1" a="1"/>
  <c r="L436" i="1" s="1"/>
  <c r="L437" i="1" a="1"/>
  <c r="L437" i="1"/>
  <c r="L438" i="1" a="1"/>
  <c r="L438" i="1"/>
  <c r="L439" i="1" a="1"/>
  <c r="L439" i="1"/>
  <c r="L440" i="1" a="1"/>
  <c r="L440" i="1"/>
  <c r="L441" i="1" a="1"/>
  <c r="L441" i="1"/>
  <c r="L442" i="1" a="1"/>
  <c r="L442" i="1"/>
  <c r="L443" i="1" a="1"/>
  <c r="L443" i="1" s="1"/>
  <c r="L444" i="1" a="1"/>
  <c r="L444" i="1" s="1"/>
  <c r="L445" i="1" a="1"/>
  <c r="L445" i="1"/>
  <c r="L446" i="1" a="1"/>
  <c r="L446" i="1"/>
  <c r="L447" i="1" a="1"/>
  <c r="L447" i="1"/>
  <c r="L448" i="1" a="1"/>
  <c r="L448" i="1"/>
  <c r="L449" i="1" a="1"/>
  <c r="L449" i="1"/>
  <c r="L450" i="1" a="1"/>
  <c r="L450" i="1"/>
  <c r="L451" i="1" a="1"/>
  <c r="L451" i="1" s="1"/>
  <c r="L452" i="1" a="1"/>
  <c r="L452" i="1" s="1"/>
  <c r="L453" i="1" a="1"/>
  <c r="L453" i="1" s="1"/>
  <c r="L454" i="1" a="1"/>
  <c r="L454" i="1"/>
  <c r="L455" i="1" a="1"/>
  <c r="L455" i="1"/>
  <c r="L456" i="1" a="1"/>
  <c r="L456" i="1"/>
  <c r="L457" i="1" a="1"/>
  <c r="L457" i="1"/>
  <c r="L458" i="1" a="1"/>
  <c r="L458" i="1"/>
  <c r="L459" i="1" a="1"/>
  <c r="L459" i="1" s="1"/>
  <c r="L460" i="1" a="1"/>
  <c r="L460" i="1" s="1"/>
  <c r="L461" i="1" a="1"/>
  <c r="L461" i="1"/>
  <c r="L462" i="1" a="1"/>
  <c r="L462" i="1" s="1"/>
  <c r="L463" i="1" a="1"/>
  <c r="L463" i="1"/>
  <c r="L464" i="1" a="1"/>
  <c r="L464" i="1"/>
  <c r="L465" i="1" a="1"/>
  <c r="L465" i="1"/>
  <c r="L466" i="1" a="1"/>
  <c r="L466" i="1"/>
  <c r="L467" i="1" a="1"/>
  <c r="L467" i="1" s="1"/>
  <c r="L468" i="1" a="1"/>
  <c r="L468" i="1" s="1"/>
  <c r="L469" i="1" a="1"/>
  <c r="L469" i="1"/>
  <c r="L470" i="1" a="1"/>
  <c r="L470" i="1"/>
  <c r="L471" i="1" a="1"/>
  <c r="L471" i="1" s="1"/>
  <c r="L472" i="1" a="1"/>
  <c r="L472" i="1"/>
  <c r="L473" i="1" a="1"/>
  <c r="L473" i="1"/>
  <c r="L474" i="1" a="1"/>
  <c r="L474" i="1"/>
  <c r="L475" i="1" a="1"/>
  <c r="L475" i="1" s="1"/>
  <c r="L476" i="1" a="1"/>
  <c r="L476" i="1" s="1"/>
  <c r="L477" i="1" a="1"/>
  <c r="L477" i="1"/>
  <c r="L478" i="1" a="1"/>
  <c r="L478" i="1"/>
  <c r="L479" i="1" a="1"/>
  <c r="L479" i="1"/>
  <c r="L480" i="1" a="1"/>
  <c r="L480" i="1" s="1"/>
  <c r="L481" i="1" a="1"/>
  <c r="L481" i="1"/>
  <c r="L482" i="1" a="1"/>
  <c r="L482" i="1"/>
  <c r="L483" i="1" a="1"/>
  <c r="L483" i="1" s="1"/>
  <c r="L484" i="1" a="1"/>
  <c r="L484" i="1" s="1"/>
  <c r="L485" i="1" a="1"/>
  <c r="L485" i="1"/>
  <c r="L486" i="1" a="1"/>
  <c r="L486" i="1"/>
  <c r="L487" i="1" a="1"/>
  <c r="L487" i="1"/>
  <c r="L488" i="1" a="1"/>
  <c r="L488" i="1"/>
  <c r="L489" i="1" a="1"/>
  <c r="L489" i="1" s="1"/>
  <c r="L490" i="1" a="1"/>
  <c r="L490" i="1"/>
  <c r="L491" i="1" a="1"/>
  <c r="L491" i="1" s="1"/>
  <c r="L492" i="1" a="1"/>
  <c r="L492" i="1" s="1"/>
  <c r="L493" i="1" a="1"/>
  <c r="L493" i="1"/>
  <c r="L494" i="1" a="1"/>
  <c r="L494" i="1"/>
  <c r="L495" i="1" a="1"/>
  <c r="L495" i="1"/>
  <c r="L496" i="1" a="1"/>
  <c r="L496" i="1"/>
  <c r="L497" i="1" a="1"/>
  <c r="L497" i="1"/>
  <c r="L498" i="1" a="1"/>
  <c r="L498" i="1" s="1"/>
  <c r="L499" i="1" a="1"/>
  <c r="L499" i="1" s="1"/>
  <c r="L500" i="1" a="1"/>
  <c r="L500" i="1" s="1"/>
  <c r="L501" i="1" a="1"/>
  <c r="L501" i="1"/>
  <c r="L502" i="1" a="1"/>
  <c r="L502" i="1"/>
  <c r="L503" i="1" a="1"/>
  <c r="L503" i="1"/>
  <c r="L504" i="1" a="1"/>
  <c r="L504" i="1"/>
  <c r="L505" i="1" a="1"/>
  <c r="L505" i="1"/>
  <c r="L506" i="1" a="1"/>
  <c r="L506" i="1"/>
  <c r="L507" i="1" a="1"/>
  <c r="L507" i="1" s="1"/>
  <c r="L508" i="1" a="1"/>
  <c r="L508" i="1" s="1"/>
  <c r="L509" i="1" a="1"/>
  <c r="L509" i="1"/>
  <c r="L510" i="1" a="1"/>
  <c r="L510" i="1"/>
  <c r="L511" i="1" a="1"/>
  <c r="L511" i="1"/>
  <c r="L512" i="1" a="1"/>
  <c r="L512" i="1"/>
  <c r="L513" i="1" a="1"/>
  <c r="L513" i="1"/>
  <c r="L514" i="1" a="1"/>
  <c r="L514" i="1"/>
  <c r="L515" i="1" a="1"/>
  <c r="L515" i="1" s="1"/>
  <c r="L516" i="1" a="1"/>
  <c r="L516" i="1" s="1"/>
  <c r="L517" i="1" a="1"/>
  <c r="L517" i="1" s="1"/>
  <c r="L518" i="1" a="1"/>
  <c r="L518" i="1"/>
  <c r="L519" i="1" a="1"/>
  <c r="L519" i="1"/>
  <c r="L520" i="1" a="1"/>
  <c r="L520" i="1"/>
  <c r="L521" i="1" a="1"/>
  <c r="L521" i="1"/>
  <c r="L522" i="1" a="1"/>
  <c r="L522" i="1"/>
  <c r="L523" i="1" a="1"/>
  <c r="L523" i="1" s="1"/>
  <c r="L524" i="1" a="1"/>
  <c r="L524" i="1" s="1"/>
  <c r="L525" i="1" a="1"/>
  <c r="L525" i="1"/>
  <c r="L526" i="1" a="1"/>
  <c r="L526" i="1" s="1"/>
  <c r="L527" i="1" a="1"/>
  <c r="L527" i="1"/>
  <c r="L528" i="1" a="1"/>
  <c r="L528" i="1"/>
  <c r="L529" i="1" a="1"/>
  <c r="L529" i="1"/>
  <c r="L530" i="1" a="1"/>
  <c r="L530" i="1"/>
  <c r="L531" i="1" a="1"/>
  <c r="L531" i="1" s="1"/>
  <c r="L532" i="1" a="1"/>
  <c r="L532" i="1" s="1"/>
  <c r="L533" i="1" a="1"/>
  <c r="L533" i="1"/>
  <c r="L534" i="1" a="1"/>
  <c r="L534" i="1"/>
  <c r="L535" i="1" a="1"/>
  <c r="L535" i="1" s="1"/>
  <c r="L536" i="1" a="1"/>
  <c r="L536" i="1"/>
  <c r="L537" i="1" a="1"/>
  <c r="L537" i="1"/>
  <c r="L538" i="1" a="1"/>
  <c r="L538" i="1"/>
  <c r="L539" i="1" a="1"/>
  <c r="L539" i="1" s="1"/>
  <c r="L540" i="1" a="1"/>
  <c r="L540" i="1" s="1"/>
  <c r="L541" i="1" a="1"/>
  <c r="L541" i="1"/>
  <c r="L542" i="1" a="1"/>
  <c r="L542" i="1"/>
  <c r="L543" i="1" a="1"/>
  <c r="L543" i="1"/>
  <c r="L544" i="1" a="1"/>
  <c r="L544" i="1" s="1"/>
  <c r="L545" i="1" a="1"/>
  <c r="L545" i="1"/>
  <c r="L546" i="1" a="1"/>
  <c r="L546" i="1"/>
  <c r="L547" i="1" a="1"/>
  <c r="L547" i="1" s="1"/>
  <c r="L548" i="1" a="1"/>
  <c r="L548" i="1" s="1"/>
  <c r="L549" i="1" a="1"/>
  <c r="L549" i="1"/>
  <c r="L550" i="1" a="1"/>
  <c r="L550" i="1"/>
  <c r="L551" i="1" a="1"/>
  <c r="L551" i="1"/>
  <c r="L552" i="1" a="1"/>
  <c r="L552" i="1"/>
  <c r="L553" i="1" a="1"/>
  <c r="L553" i="1" s="1"/>
  <c r="L554" i="1" a="1"/>
  <c r="L554" i="1"/>
  <c r="L555" i="1" a="1"/>
  <c r="L555" i="1" s="1"/>
  <c r="L556" i="1" a="1"/>
  <c r="L556" i="1" s="1"/>
  <c r="L557" i="1" a="1"/>
  <c r="L557" i="1"/>
  <c r="L558" i="1" a="1"/>
  <c r="L558" i="1"/>
  <c r="L559" i="1" a="1"/>
  <c r="L559" i="1"/>
  <c r="L560" i="1" a="1"/>
  <c r="L560" i="1"/>
  <c r="L561" i="1" a="1"/>
  <c r="L561" i="1"/>
  <c r="L562" i="1" a="1"/>
  <c r="L562" i="1" s="1"/>
  <c r="L563" i="1" a="1"/>
  <c r="L563" i="1" s="1"/>
  <c r="L564" i="1" a="1"/>
  <c r="L564" i="1" s="1"/>
  <c r="L565" i="1" a="1"/>
  <c r="L565" i="1"/>
  <c r="L566" i="1" a="1"/>
  <c r="L566" i="1"/>
  <c r="L567" i="1" a="1"/>
  <c r="L567" i="1"/>
  <c r="L568" i="1" a="1"/>
  <c r="L568" i="1"/>
  <c r="L569" i="1" a="1"/>
  <c r="L569" i="1"/>
  <c r="L570" i="1" a="1"/>
  <c r="L570" i="1"/>
  <c r="L571" i="1" a="1"/>
  <c r="L571" i="1" s="1"/>
  <c r="L572" i="1" a="1"/>
  <c r="L572" i="1" s="1"/>
  <c r="L573" i="1" a="1"/>
  <c r="L573" i="1"/>
  <c r="L574" i="1" a="1"/>
  <c r="L574" i="1"/>
  <c r="L575" i="1" a="1"/>
  <c r="L575" i="1"/>
  <c r="L576" i="1" a="1"/>
  <c r="L576" i="1"/>
  <c r="L577" i="1" a="1"/>
  <c r="L577" i="1"/>
  <c r="L578" i="1" a="1"/>
  <c r="L578" i="1"/>
  <c r="L579" i="1" a="1"/>
  <c r="L579" i="1" s="1"/>
  <c r="L580" i="1" a="1"/>
  <c r="L580" i="1" s="1"/>
  <c r="L581" i="1" a="1"/>
  <c r="L581" i="1" s="1"/>
  <c r="L582" i="1" a="1"/>
  <c r="L582" i="1"/>
  <c r="L583" i="1" a="1"/>
  <c r="L583" i="1"/>
  <c r="L584" i="1" a="1"/>
  <c r="L584" i="1"/>
  <c r="L585" i="1" a="1"/>
  <c r="L585" i="1"/>
  <c r="L586" i="1" a="1"/>
  <c r="L586" i="1"/>
  <c r="L587" i="1" a="1"/>
  <c r="L587" i="1" s="1"/>
  <c r="L588" i="1" a="1"/>
  <c r="L588" i="1" s="1"/>
  <c r="L589" i="1" a="1"/>
  <c r="L589" i="1"/>
  <c r="L590" i="1" a="1"/>
  <c r="L590" i="1" s="1"/>
  <c r="L591" i="1" a="1"/>
  <c r="L591" i="1"/>
  <c r="L592" i="1" a="1"/>
  <c r="L592" i="1"/>
  <c r="L593" i="1" a="1"/>
  <c r="L593" i="1"/>
  <c r="L594" i="1" a="1"/>
  <c r="L594" i="1"/>
  <c r="L595" i="1" a="1"/>
  <c r="L595" i="1" s="1"/>
  <c r="L596" i="1" a="1"/>
  <c r="L596" i="1" s="1"/>
  <c r="L597" i="1" a="1"/>
  <c r="L597" i="1"/>
  <c r="L598" i="1" a="1"/>
  <c r="L598" i="1"/>
  <c r="L599" i="1" a="1"/>
  <c r="L599" i="1" s="1"/>
  <c r="L600" i="1" a="1"/>
  <c r="L600" i="1"/>
  <c r="L601" i="1" a="1"/>
  <c r="L601" i="1"/>
  <c r="L602" i="1" a="1"/>
  <c r="L602" i="1"/>
  <c r="L603" i="1" a="1"/>
  <c r="L603" i="1" s="1"/>
  <c r="L604" i="1" a="1"/>
  <c r="L604" i="1" s="1"/>
  <c r="L605" i="1" a="1"/>
  <c r="L605" i="1"/>
  <c r="L606" i="1" a="1"/>
  <c r="L606" i="1"/>
  <c r="L607" i="1" a="1"/>
  <c r="L607" i="1"/>
  <c r="L608" i="1" a="1"/>
  <c r="L608" i="1" s="1"/>
  <c r="L609" i="1" a="1"/>
  <c r="L609" i="1"/>
  <c r="L610" i="1" a="1"/>
  <c r="L610" i="1"/>
  <c r="L611" i="1" a="1"/>
  <c r="L611" i="1" s="1"/>
  <c r="L612" i="1" a="1"/>
  <c r="L612" i="1" s="1"/>
  <c r="L613" i="1" a="1"/>
  <c r="L613" i="1"/>
  <c r="L614" i="1" a="1"/>
  <c r="L614" i="1"/>
  <c r="L615" i="1" a="1"/>
  <c r="L615" i="1"/>
  <c r="L616" i="1" a="1"/>
  <c r="L616" i="1"/>
  <c r="L617" i="1" a="1"/>
  <c r="L617" i="1" s="1"/>
  <c r="L618" i="1" a="1"/>
  <c r="L618" i="1"/>
  <c r="L619" i="1" a="1"/>
  <c r="L619" i="1" s="1"/>
  <c r="L620" i="1" a="1"/>
  <c r="L620" i="1" s="1"/>
  <c r="L621" i="1" a="1"/>
  <c r="L621" i="1"/>
  <c r="L622" i="1" a="1"/>
  <c r="L622" i="1"/>
  <c r="L623" i="1" a="1"/>
  <c r="L623" i="1"/>
  <c r="L624" i="1" a="1"/>
  <c r="L624" i="1"/>
  <c r="L625" i="1" a="1"/>
  <c r="L625" i="1"/>
  <c r="L626" i="1" a="1"/>
  <c r="L626" i="1" s="1"/>
  <c r="L627" i="1" a="1"/>
  <c r="L627" i="1" s="1"/>
  <c r="L628" i="1" a="1"/>
  <c r="L628" i="1" s="1"/>
  <c r="L629" i="1" a="1"/>
  <c r="L629" i="1"/>
  <c r="L630" i="1" a="1"/>
  <c r="L630" i="1"/>
  <c r="L631" i="1" a="1"/>
  <c r="L631" i="1"/>
  <c r="L632" i="1" a="1"/>
  <c r="L632" i="1"/>
  <c r="L633" i="1" a="1"/>
  <c r="L633" i="1"/>
  <c r="L634" i="1" a="1"/>
  <c r="L634" i="1"/>
  <c r="L635" i="1" a="1"/>
  <c r="L635" i="1" s="1"/>
  <c r="L636" i="1" a="1"/>
  <c r="L636" i="1" s="1"/>
  <c r="L637" i="1" a="1"/>
  <c r="L637" i="1"/>
  <c r="L638" i="1" a="1"/>
  <c r="L638" i="1"/>
  <c r="L639" i="1" a="1"/>
  <c r="L639" i="1"/>
  <c r="L640" i="1" a="1"/>
  <c r="L640" i="1"/>
  <c r="L641" i="1" a="1"/>
  <c r="L641" i="1"/>
  <c r="L642" i="1" a="1"/>
  <c r="L642" i="1"/>
  <c r="L643" i="1" a="1"/>
  <c r="L643" i="1" s="1"/>
  <c r="L644" i="1" a="1"/>
  <c r="L644" i="1" s="1"/>
  <c r="L645" i="1" a="1"/>
  <c r="L645" i="1" s="1"/>
  <c r="L646" i="1" a="1"/>
  <c r="L646" i="1"/>
  <c r="L647" i="1" a="1"/>
  <c r="L647" i="1"/>
  <c r="L648" i="1" a="1"/>
  <c r="L648" i="1"/>
  <c r="L649" i="1" a="1"/>
  <c r="L649" i="1"/>
  <c r="L650" i="1" a="1"/>
  <c r="L650" i="1"/>
  <c r="L651" i="1" a="1"/>
  <c r="L651" i="1" s="1"/>
  <c r="L652" i="1" a="1"/>
  <c r="L652" i="1" s="1"/>
  <c r="L653" i="1" a="1"/>
  <c r="L653" i="1"/>
  <c r="L654" i="1" a="1"/>
  <c r="L654" i="1" s="1"/>
  <c r="L655" i="1" a="1"/>
  <c r="L655" i="1"/>
  <c r="L656" i="1" a="1"/>
  <c r="L656" i="1"/>
  <c r="L657" i="1" a="1"/>
  <c r="L657" i="1"/>
  <c r="L658" i="1" a="1"/>
  <c r="L658" i="1"/>
  <c r="L659" i="1" a="1"/>
  <c r="L659" i="1" s="1"/>
  <c r="L660" i="1" a="1"/>
  <c r="L660" i="1" s="1"/>
  <c r="L661" i="1" a="1"/>
  <c r="L661" i="1"/>
  <c r="L662" i="1" a="1"/>
  <c r="L662" i="1"/>
  <c r="L663" i="1" a="1"/>
  <c r="L663" i="1" s="1"/>
  <c r="L664" i="1" a="1"/>
  <c r="L664" i="1"/>
  <c r="L665" i="1" a="1"/>
  <c r="L665" i="1"/>
  <c r="L666" i="1" a="1"/>
  <c r="L666" i="1"/>
  <c r="L667" i="1" a="1"/>
  <c r="L667" i="1" s="1"/>
  <c r="L668" i="1" a="1"/>
  <c r="L668" i="1" s="1"/>
  <c r="L669" i="1" a="1"/>
  <c r="L669" i="1"/>
  <c r="L670" i="1" a="1"/>
  <c r="L670" i="1"/>
  <c r="L671" i="1" a="1"/>
  <c r="L671" i="1"/>
  <c r="L672" i="1" a="1"/>
  <c r="L672" i="1" s="1"/>
  <c r="L673" i="1" a="1"/>
  <c r="L673" i="1"/>
  <c r="L674" i="1" a="1"/>
  <c r="L674" i="1"/>
  <c r="L675" i="1" a="1"/>
  <c r="L675" i="1" s="1"/>
  <c r="L676" i="1" a="1"/>
  <c r="L676" i="1" s="1"/>
  <c r="L677" i="1" a="1"/>
  <c r="L677" i="1"/>
  <c r="L678" i="1" a="1"/>
  <c r="L678" i="1"/>
  <c r="L679" i="1" a="1"/>
  <c r="L679" i="1"/>
  <c r="L680" i="1" a="1"/>
  <c r="L680" i="1"/>
  <c r="L681" i="1" a="1"/>
  <c r="L681" i="1" s="1"/>
  <c r="L682" i="1" a="1"/>
  <c r="L682" i="1"/>
  <c r="L683" i="1" a="1"/>
  <c r="L683" i="1"/>
  <c r="L684" i="1" a="1"/>
  <c r="L684" i="1"/>
  <c r="L685" i="1" a="1"/>
  <c r="L685" i="1"/>
  <c r="L686" i="1" a="1"/>
  <c r="L686" i="1"/>
  <c r="L687" i="1" a="1"/>
  <c r="L687" i="1"/>
  <c r="L688" i="1" a="1"/>
  <c r="L688" i="1"/>
  <c r="L689" i="1" a="1"/>
  <c r="L689" i="1" s="1"/>
  <c r="L690" i="1" a="1"/>
  <c r="L690" i="1"/>
  <c r="L691" i="1" a="1"/>
  <c r="L691" i="1"/>
  <c r="L692" i="1" a="1"/>
  <c r="L692" i="1"/>
  <c r="L693" i="1" a="1"/>
  <c r="L693" i="1"/>
  <c r="L694" i="1" a="1"/>
  <c r="L694" i="1"/>
  <c r="L695" i="1" a="1"/>
  <c r="L695" i="1"/>
  <c r="L696" i="1" a="1"/>
  <c r="L696" i="1"/>
  <c r="L697" i="1" a="1"/>
  <c r="L697" i="1" s="1"/>
  <c r="L698" i="1" a="1"/>
  <c r="L698" i="1"/>
  <c r="L699" i="1" a="1"/>
  <c r="L699" i="1"/>
  <c r="L700" i="1" a="1"/>
  <c r="L700" i="1"/>
  <c r="L701" i="1" a="1"/>
  <c r="L701" i="1"/>
  <c r="L702" i="1" a="1"/>
  <c r="L702" i="1"/>
  <c r="L703" i="1" a="1"/>
  <c r="L703" i="1"/>
  <c r="L704" i="1" a="1"/>
  <c r="L704" i="1"/>
  <c r="L705" i="1" a="1"/>
  <c r="L705" i="1" s="1"/>
  <c r="L706" i="1" a="1"/>
  <c r="L706" i="1"/>
  <c r="L707" i="1" a="1"/>
  <c r="L707" i="1"/>
  <c r="L708" i="1" a="1"/>
  <c r="L708" i="1"/>
  <c r="L709" i="1" a="1"/>
  <c r="L709" i="1"/>
  <c r="L710" i="1" a="1"/>
  <c r="L710" i="1"/>
  <c r="L711" i="1" a="1"/>
  <c r="L711" i="1"/>
  <c r="L712" i="1" a="1"/>
  <c r="L712" i="1"/>
  <c r="L713" i="1" a="1"/>
  <c r="L713" i="1" s="1"/>
  <c r="L714" i="1" a="1"/>
  <c r="L714" i="1"/>
  <c r="L715" i="1" a="1"/>
  <c r="L715" i="1"/>
  <c r="L716" i="1" a="1"/>
  <c r="L716" i="1"/>
  <c r="L717" i="1" a="1"/>
  <c r="L717" i="1"/>
  <c r="L718" i="1" a="1"/>
  <c r="L718" i="1"/>
  <c r="L719" i="1" a="1"/>
  <c r="L719" i="1"/>
  <c r="L720" i="1" a="1"/>
  <c r="L720" i="1"/>
  <c r="L721" i="1" a="1"/>
  <c r="L721" i="1" s="1"/>
  <c r="L722" i="1" a="1"/>
  <c r="L722" i="1"/>
  <c r="L723" i="1" a="1"/>
  <c r="L723" i="1"/>
  <c r="L724" i="1" a="1"/>
  <c r="L724" i="1"/>
  <c r="L725" i="1" a="1"/>
  <c r="L725" i="1"/>
  <c r="L726" i="1" a="1"/>
  <c r="L726" i="1"/>
  <c r="L727" i="1" a="1"/>
  <c r="L727" i="1"/>
  <c r="L728" i="1" a="1"/>
  <c r="L728" i="1"/>
  <c r="L729" i="1" a="1"/>
  <c r="L729" i="1" s="1"/>
  <c r="L730" i="1" a="1"/>
  <c r="L730" i="1"/>
  <c r="L731" i="1" a="1"/>
  <c r="L731" i="1"/>
  <c r="L732" i="1" a="1"/>
  <c r="L732" i="1"/>
  <c r="L733" i="1" a="1"/>
  <c r="L733" i="1"/>
  <c r="L734" i="1" a="1"/>
  <c r="L734" i="1"/>
  <c r="L735" i="1" a="1"/>
  <c r="L735" i="1"/>
  <c r="L736" i="1" a="1"/>
  <c r="L736" i="1"/>
  <c r="L737" i="1" a="1"/>
  <c r="L737" i="1" s="1"/>
  <c r="L738" i="1" a="1"/>
  <c r="L738" i="1"/>
  <c r="L739" i="1" a="1"/>
  <c r="L739" i="1"/>
  <c r="L740" i="1" a="1"/>
  <c r="L740" i="1"/>
  <c r="L741" i="1" a="1"/>
  <c r="L741" i="1"/>
  <c r="L742" i="1" a="1"/>
  <c r="L742" i="1"/>
  <c r="L743" i="1" a="1"/>
  <c r="L743" i="1"/>
  <c r="L744" i="1" a="1"/>
  <c r="L744" i="1"/>
  <c r="L745" i="1" a="1"/>
  <c r="L745" i="1" s="1"/>
  <c r="L746" i="1" a="1"/>
  <c r="L746" i="1"/>
  <c r="L747" i="1" a="1"/>
  <c r="L747" i="1"/>
  <c r="L748" i="1" a="1"/>
  <c r="L748" i="1"/>
  <c r="L749" i="1" a="1"/>
  <c r="L749" i="1"/>
  <c r="L750" i="1" a="1"/>
  <c r="L750" i="1"/>
  <c r="L751" i="1" a="1"/>
  <c r="L751" i="1"/>
  <c r="L752" i="1" a="1"/>
  <c r="L752" i="1"/>
  <c r="L753" i="1" a="1"/>
  <c r="L753" i="1" s="1"/>
  <c r="L754" i="1" a="1"/>
  <c r="L754" i="1"/>
  <c r="L755" i="1" a="1"/>
  <c r="L755" i="1"/>
  <c r="L756" i="1" a="1"/>
  <c r="L756" i="1"/>
  <c r="L757" i="1" a="1"/>
  <c r="L757" i="1"/>
  <c r="L758" i="1" a="1"/>
  <c r="L758" i="1"/>
  <c r="L759" i="1" a="1"/>
  <c r="L759" i="1"/>
  <c r="L760" i="1" a="1"/>
  <c r="L760" i="1"/>
  <c r="L761" i="1" a="1"/>
  <c r="L761" i="1" s="1"/>
  <c r="L762" i="1" a="1"/>
  <c r="L762" i="1"/>
  <c r="L763" i="1" a="1"/>
  <c r="L763" i="1"/>
  <c r="L764" i="1" a="1"/>
  <c r="L764" i="1"/>
  <c r="L765" i="1" a="1"/>
  <c r="L765" i="1"/>
  <c r="L766" i="1" a="1"/>
  <c r="L766" i="1"/>
  <c r="L767" i="1" a="1"/>
  <c r="L767" i="1"/>
  <c r="L768" i="1" a="1"/>
  <c r="L768" i="1"/>
  <c r="L769" i="1" a="1"/>
  <c r="L769" i="1" s="1"/>
  <c r="L770" i="1" a="1"/>
  <c r="L770" i="1"/>
  <c r="L771" i="1" a="1"/>
  <c r="L771" i="1"/>
  <c r="L772" i="1" a="1"/>
  <c r="L772" i="1"/>
  <c r="L773" i="1" a="1"/>
  <c r="L773" i="1"/>
  <c r="L774" i="1" a="1"/>
  <c r="L774" i="1"/>
  <c r="L775" i="1" a="1"/>
  <c r="L775" i="1"/>
  <c r="L776" i="1" a="1"/>
  <c r="L776" i="1"/>
  <c r="L777" i="1" a="1"/>
  <c r="L777" i="1" s="1"/>
  <c r="L778" i="1" a="1"/>
  <c r="L778" i="1"/>
  <c r="L779" i="1" a="1"/>
  <c r="L779" i="1"/>
  <c r="L780" i="1" a="1"/>
  <c r="L780" i="1"/>
  <c r="L781" i="1" a="1"/>
  <c r="L781" i="1"/>
  <c r="L782" i="1" a="1"/>
  <c r="L782" i="1"/>
  <c r="L783" i="1" a="1"/>
  <c r="L783" i="1"/>
  <c r="L784" i="1" a="1"/>
  <c r="L784" i="1"/>
  <c r="L785" i="1" a="1"/>
  <c r="L785" i="1" s="1"/>
  <c r="L786" i="1" a="1"/>
  <c r="L786" i="1"/>
  <c r="L787" i="1" a="1"/>
  <c r="L787" i="1"/>
  <c r="L788" i="1" a="1"/>
  <c r="L788" i="1"/>
  <c r="L789" i="1" a="1"/>
  <c r="L789" i="1"/>
  <c r="L790" i="1" a="1"/>
  <c r="L790" i="1"/>
  <c r="L791" i="1" a="1"/>
  <c r="L791" i="1"/>
  <c r="L792" i="1" a="1"/>
  <c r="L792" i="1"/>
  <c r="L793" i="1" a="1"/>
  <c r="L793" i="1" s="1"/>
  <c r="L794" i="1" a="1"/>
  <c r="L794" i="1"/>
  <c r="L795" i="1" a="1"/>
  <c r="L795" i="1"/>
  <c r="L796" i="1" a="1"/>
  <c r="L796" i="1"/>
  <c r="L797" i="1" a="1"/>
  <c r="L797" i="1"/>
  <c r="L798" i="1" a="1"/>
  <c r="L798" i="1"/>
  <c r="L799" i="1" a="1"/>
  <c r="L799" i="1"/>
  <c r="L800" i="1" a="1"/>
  <c r="L800" i="1"/>
  <c r="L801" i="1" a="1"/>
  <c r="L801" i="1" s="1"/>
  <c r="L802" i="1" a="1"/>
  <c r="L802" i="1"/>
  <c r="L803" i="1" a="1"/>
  <c r="L803" i="1"/>
  <c r="L804" i="1" a="1"/>
  <c r="L804" i="1"/>
  <c r="L805" i="1" a="1"/>
  <c r="L805" i="1"/>
  <c r="L806" i="1" a="1"/>
  <c r="L806" i="1"/>
  <c r="L807" i="1" a="1"/>
  <c r="L807" i="1"/>
  <c r="L808" i="1" a="1"/>
  <c r="L808" i="1"/>
  <c r="L809" i="1" a="1"/>
  <c r="L809" i="1" s="1"/>
  <c r="L810" i="1" a="1"/>
  <c r="L810" i="1"/>
  <c r="L811" i="1" a="1"/>
  <c r="L811" i="1"/>
  <c r="L812" i="1" a="1"/>
  <c r="L812" i="1"/>
  <c r="L813" i="1" a="1"/>
  <c r="L813" i="1"/>
  <c r="L814" i="1" a="1"/>
  <c r="L814" i="1"/>
  <c r="L815" i="1" a="1"/>
  <c r="L815" i="1"/>
  <c r="L816" i="1" a="1"/>
  <c r="L816" i="1"/>
  <c r="L817" i="1" a="1"/>
  <c r="L817" i="1" s="1"/>
  <c r="L818" i="1" a="1"/>
  <c r="L818" i="1"/>
  <c r="L819" i="1" a="1"/>
  <c r="L819" i="1"/>
  <c r="L820" i="1" a="1"/>
  <c r="L820" i="1"/>
  <c r="L821" i="1" a="1"/>
  <c r="L821" i="1"/>
  <c r="L822" i="1" a="1"/>
  <c r="L822" i="1"/>
  <c r="L823" i="1" a="1"/>
  <c r="L823" i="1"/>
  <c r="L824" i="1" a="1"/>
  <c r="L824" i="1"/>
  <c r="L825" i="1" a="1"/>
  <c r="L825" i="1" s="1"/>
  <c r="L826" i="1" a="1"/>
  <c r="L826" i="1"/>
  <c r="L827" i="1" a="1"/>
  <c r="L827" i="1"/>
  <c r="L828" i="1" a="1"/>
  <c r="L828" i="1"/>
  <c r="L829" i="1" a="1"/>
  <c r="L829" i="1"/>
  <c r="L830" i="1" a="1"/>
  <c r="L830" i="1"/>
  <c r="L831" i="1" a="1"/>
  <c r="L831" i="1"/>
  <c r="L832" i="1" a="1"/>
  <c r="L832" i="1"/>
  <c r="L833" i="1" a="1"/>
  <c r="L833" i="1" s="1"/>
  <c r="L834" i="1" a="1"/>
  <c r="L834" i="1"/>
  <c r="L835" i="1" a="1"/>
  <c r="L835" i="1"/>
  <c r="L836" i="1" a="1"/>
  <c r="L836" i="1"/>
  <c r="L837" i="1" a="1"/>
  <c r="L837" i="1"/>
  <c r="L838" i="1" a="1"/>
  <c r="L838" i="1"/>
  <c r="L839" i="1" a="1"/>
  <c r="L839" i="1"/>
  <c r="L840" i="1" a="1"/>
  <c r="L840" i="1"/>
  <c r="L841" i="1" a="1"/>
  <c r="L841" i="1" s="1"/>
  <c r="L842" i="1" a="1"/>
  <c r="L842" i="1"/>
  <c r="L843" i="1" a="1"/>
  <c r="L843" i="1"/>
  <c r="L844" i="1" a="1"/>
  <c r="L844" i="1"/>
  <c r="L845" i="1" a="1"/>
  <c r="L845" i="1"/>
  <c r="L846" i="1" a="1"/>
  <c r="L846" i="1"/>
  <c r="L847" i="1" a="1"/>
  <c r="L847" i="1"/>
  <c r="L848" i="1" a="1"/>
  <c r="L848" i="1"/>
  <c r="L849" i="1" a="1"/>
  <c r="L849" i="1" s="1"/>
  <c r="L850" i="1" a="1"/>
  <c r="L850" i="1"/>
  <c r="L851" i="1" a="1"/>
  <c r="L851" i="1"/>
  <c r="L852" i="1" a="1"/>
  <c r="L852" i="1"/>
  <c r="L853" i="1" a="1"/>
  <c r="L853" i="1"/>
  <c r="L854" i="1" a="1"/>
  <c r="L854" i="1"/>
  <c r="L855" i="1" a="1"/>
  <c r="L855" i="1"/>
  <c r="L856" i="1" a="1"/>
  <c r="L856" i="1"/>
  <c r="L857" i="1" a="1"/>
  <c r="L857" i="1" s="1"/>
  <c r="L858" i="1" a="1"/>
  <c r="L858" i="1"/>
  <c r="L859" i="1" a="1"/>
  <c r="L859" i="1"/>
  <c r="L860" i="1" a="1"/>
  <c r="L860" i="1"/>
  <c r="L861" i="1" a="1"/>
  <c r="L861" i="1"/>
  <c r="L862" i="1" a="1"/>
  <c r="L862" i="1"/>
  <c r="L863" i="1" a="1"/>
  <c r="L863" i="1"/>
  <c r="L864" i="1" a="1"/>
  <c r="L864" i="1"/>
  <c r="L865" i="1" a="1"/>
  <c r="L865" i="1" s="1"/>
  <c r="L866" i="1" a="1"/>
  <c r="L866" i="1"/>
  <c r="L867" i="1" a="1"/>
  <c r="L867" i="1"/>
  <c r="L868" i="1" a="1"/>
  <c r="L868" i="1"/>
  <c r="L869" i="1" a="1"/>
  <c r="L869" i="1"/>
  <c r="L870" i="1" a="1"/>
  <c r="L870" i="1"/>
  <c r="L871" i="1" a="1"/>
  <c r="L871" i="1"/>
  <c r="L872" i="1" a="1"/>
  <c r="L872" i="1"/>
  <c r="L873" i="1" a="1"/>
  <c r="L873" i="1" s="1"/>
  <c r="L874" i="1" a="1"/>
  <c r="L874" i="1"/>
  <c r="L875" i="1" a="1"/>
  <c r="L875" i="1"/>
  <c r="L876" i="1" a="1"/>
  <c r="L876" i="1"/>
  <c r="L877" i="1" a="1"/>
  <c r="L877" i="1"/>
  <c r="L878" i="1" a="1"/>
  <c r="L878" i="1"/>
  <c r="L879" i="1" a="1"/>
  <c r="L879" i="1"/>
  <c r="L880" i="1" a="1"/>
  <c r="L880" i="1"/>
  <c r="L881" i="1" a="1"/>
  <c r="L881" i="1" s="1"/>
  <c r="L882" i="1" a="1"/>
  <c r="L882" i="1"/>
  <c r="L883" i="1" a="1"/>
  <c r="L883" i="1"/>
  <c r="L884" i="1" a="1"/>
  <c r="L884" i="1"/>
  <c r="L885" i="1" a="1"/>
  <c r="L885" i="1"/>
  <c r="L886" i="1" a="1"/>
  <c r="L886" i="1"/>
  <c r="L887" i="1" a="1"/>
  <c r="L887" i="1"/>
  <c r="L888" i="1" a="1"/>
  <c r="L888" i="1"/>
  <c r="L889" i="1" a="1"/>
  <c r="L889" i="1" s="1"/>
  <c r="L890" i="1" a="1"/>
  <c r="L890" i="1"/>
  <c r="L891" i="1" a="1"/>
  <c r="L891" i="1"/>
  <c r="L892" i="1" a="1"/>
  <c r="L892" i="1"/>
  <c r="Q3" i="1"/>
  <c r="Q4" i="1"/>
  <c r="Q5" i="1"/>
  <c r="Q6"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2" i="1"/>
  <c r="F47" i="3"/>
  <c r="E47" i="3"/>
  <c r="D47" i="3"/>
  <c r="D18" i="3"/>
  <c r="E18" i="3"/>
  <c r="F18" i="3"/>
  <c r="C13" i="3"/>
  <c r="C12" i="3"/>
  <c r="C42" i="3"/>
  <c r="C43" i="3"/>
  <c r="C41" i="3"/>
  <c r="C35" i="3"/>
  <c r="C29" i="3"/>
  <c r="C34" i="3"/>
  <c r="C33" i="3"/>
  <c r="C31" i="3"/>
  <c r="C30" i="3"/>
  <c r="C32" i="3"/>
  <c r="C28" i="3"/>
  <c r="C36" i="3"/>
  <c r="C23" i="3"/>
  <c r="C6" i="3"/>
  <c r="D56" i="3"/>
  <c r="D55" i="3"/>
  <c r="D54" i="3"/>
  <c r="C7"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<sst xmlns="http://schemas.openxmlformats.org/spreadsheetml/2006/main" count="14621" uniqueCount="1555">
  <si>
    <t>PassengerId</t>
  </si>
  <si>
    <t>Survived</t>
  </si>
  <si>
    <t>Pclass</t>
  </si>
  <si>
    <t>Sex</t>
  </si>
  <si>
    <t>Age</t>
  </si>
  <si>
    <t>SibSp</t>
  </si>
  <si>
    <t>Parch</t>
  </si>
  <si>
    <t>Fare</t>
  </si>
  <si>
    <t>Embarked</t>
  </si>
  <si>
    <t>male</t>
  </si>
  <si>
    <t>female</t>
  </si>
  <si>
    <t>New Survived</t>
  </si>
  <si>
    <t>8.14.45425</t>
  </si>
  <si>
    <t>21.14.454275</t>
  </si>
  <si>
    <t>314.4542.14.4542714.45428</t>
  </si>
  <si>
    <t>8.14.4542292</t>
  </si>
  <si>
    <t>27.7214.45428</t>
  </si>
  <si>
    <t>146.5214.45428</t>
  </si>
  <si>
    <t>114.4542.5</t>
  </si>
  <si>
    <t>82.1714.45428</t>
  </si>
  <si>
    <t>214.4542.575</t>
  </si>
  <si>
    <t>247.5214.45428</t>
  </si>
  <si>
    <t>7.14.45425</t>
  </si>
  <si>
    <t>15.14.4542458</t>
  </si>
  <si>
    <t>214.4542.525</t>
  </si>
  <si>
    <t>314.4542.6958</t>
  </si>
  <si>
    <t>15.14.45425</t>
  </si>
  <si>
    <t>22.14.454225</t>
  </si>
  <si>
    <t>8.414.454242</t>
  </si>
  <si>
    <t>114.4542.4625</t>
  </si>
  <si>
    <t>214.4542.2125</t>
  </si>
  <si>
    <t>214.4542.25</t>
  </si>
  <si>
    <t>91.14.4542792</t>
  </si>
  <si>
    <t>314.4542.5</t>
  </si>
  <si>
    <t>1114.4542.8833</t>
  </si>
  <si>
    <t>114.45428.9</t>
  </si>
  <si>
    <t>4.14.4542125</t>
  </si>
  <si>
    <t>89.114.454242</t>
  </si>
  <si>
    <t>7.14.4542458</t>
  </si>
  <si>
    <t>7.5214.45428</t>
  </si>
  <si>
    <t>49.514.454242</t>
  </si>
  <si>
    <t>34.14.4542214.45428</t>
  </si>
  <si>
    <t>114.45426.425</t>
  </si>
  <si>
    <t>414.4542.125</t>
  </si>
  <si>
    <t>32.3214.45428</t>
  </si>
  <si>
    <t>7.14.4542542</t>
  </si>
  <si>
    <t>114.4542.1714.45428</t>
  </si>
  <si>
    <t>37.14.454214.454242</t>
  </si>
  <si>
    <t>14.114.454283</t>
  </si>
  <si>
    <t>514.4542.4958</t>
  </si>
  <si>
    <t>114.4542.5167</t>
  </si>
  <si>
    <t>Gender</t>
  </si>
  <si>
    <t>Prefix</t>
  </si>
  <si>
    <t>First Name</t>
  </si>
  <si>
    <t>Last Name</t>
  </si>
  <si>
    <t>Braund</t>
  </si>
  <si>
    <t>Cumings</t>
  </si>
  <si>
    <t>Heikkinen</t>
  </si>
  <si>
    <t>Futrelle</t>
  </si>
  <si>
    <t>Allen</t>
  </si>
  <si>
    <t>Moran</t>
  </si>
  <si>
    <t>McCarthy</t>
  </si>
  <si>
    <t>Palsson</t>
  </si>
  <si>
    <t>Johnson</t>
  </si>
  <si>
    <t>Nasser</t>
  </si>
  <si>
    <t>Sandstrom</t>
  </si>
  <si>
    <t>Bonnell</t>
  </si>
  <si>
    <t>Saundercock</t>
  </si>
  <si>
    <t>Andersson</t>
  </si>
  <si>
    <t>Vestrom</t>
  </si>
  <si>
    <t>Hewlett</t>
  </si>
  <si>
    <t>Rice</t>
  </si>
  <si>
    <t>Williams</t>
  </si>
  <si>
    <t>Vander Planke</t>
  </si>
  <si>
    <t>Masselmani</t>
  </si>
  <si>
    <t>Fynney</t>
  </si>
  <si>
    <t>Beesley</t>
  </si>
  <si>
    <t>McGowan</t>
  </si>
  <si>
    <t>Sloper</t>
  </si>
  <si>
    <t>Asplund</t>
  </si>
  <si>
    <t>Emir</t>
  </si>
  <si>
    <t>Fortune</t>
  </si>
  <si>
    <t>O'Dwyer</t>
  </si>
  <si>
    <t>Todoroff</t>
  </si>
  <si>
    <t>Uruchurtu</t>
  </si>
  <si>
    <t>Spencer</t>
  </si>
  <si>
    <t>Glynn</t>
  </si>
  <si>
    <t>Wheadon</t>
  </si>
  <si>
    <t>Meyer</t>
  </si>
  <si>
    <t>Holverson</t>
  </si>
  <si>
    <t>Mamee</t>
  </si>
  <si>
    <t>Cann</t>
  </si>
  <si>
    <t>Nicola-Yarred</t>
  </si>
  <si>
    <t>Ahlin</t>
  </si>
  <si>
    <t>Turpin</t>
  </si>
  <si>
    <t>Kraeff</t>
  </si>
  <si>
    <t>Laroche</t>
  </si>
  <si>
    <t>Devaney</t>
  </si>
  <si>
    <t>Rogers</t>
  </si>
  <si>
    <t>Lennon</t>
  </si>
  <si>
    <t>O'Driscoll</t>
  </si>
  <si>
    <t>Samaan</t>
  </si>
  <si>
    <t>Arnold-Franchi</t>
  </si>
  <si>
    <t>Panula</t>
  </si>
  <si>
    <t>Nosworthy</t>
  </si>
  <si>
    <t>Harper</t>
  </si>
  <si>
    <t>Faunthorpe</t>
  </si>
  <si>
    <t>Ostby</t>
  </si>
  <si>
    <t>Woolner</t>
  </si>
  <si>
    <t>Rugg</t>
  </si>
  <si>
    <t>Novel</t>
  </si>
  <si>
    <t>West</t>
  </si>
  <si>
    <t>Goodwin</t>
  </si>
  <si>
    <t>Sirayanian</t>
  </si>
  <si>
    <t>Icard</t>
  </si>
  <si>
    <t>Harris</t>
  </si>
  <si>
    <t>Skoog</t>
  </si>
  <si>
    <t>Stewart</t>
  </si>
  <si>
    <t>Moubarek</t>
  </si>
  <si>
    <t>Nye</t>
  </si>
  <si>
    <t>Crease</t>
  </si>
  <si>
    <t>Kink</t>
  </si>
  <si>
    <t>Jenkin</t>
  </si>
  <si>
    <t>Hood</t>
  </si>
  <si>
    <t>Chronopoulos</t>
  </si>
  <si>
    <t>Bing</t>
  </si>
  <si>
    <t>Moen</t>
  </si>
  <si>
    <t>Staneff</t>
  </si>
  <si>
    <t>Moutal</t>
  </si>
  <si>
    <t>Caldwell</t>
  </si>
  <si>
    <t>Dowdell</t>
  </si>
  <si>
    <t>Waelens</t>
  </si>
  <si>
    <t>Sheerlinck</t>
  </si>
  <si>
    <t>McDermott</t>
  </si>
  <si>
    <t>Carrau</t>
  </si>
  <si>
    <t>Ilett</t>
  </si>
  <si>
    <t>Backstrom</t>
  </si>
  <si>
    <t>Ford</t>
  </si>
  <si>
    <t>Slocovski</t>
  </si>
  <si>
    <t>Celotti</t>
  </si>
  <si>
    <t>Christmann</t>
  </si>
  <si>
    <t>Andreasson</t>
  </si>
  <si>
    <t>Chaffee</t>
  </si>
  <si>
    <t>Dean</t>
  </si>
  <si>
    <t>Coxon</t>
  </si>
  <si>
    <t>Shorney</t>
  </si>
  <si>
    <t>Goldschmidt</t>
  </si>
  <si>
    <t>Greenfield</t>
  </si>
  <si>
    <t>Doling</t>
  </si>
  <si>
    <t>Kantor</t>
  </si>
  <si>
    <t>Petranec</t>
  </si>
  <si>
    <t>Petroff</t>
  </si>
  <si>
    <t>White</t>
  </si>
  <si>
    <t>Johansson</t>
  </si>
  <si>
    <t>Gustafsson</t>
  </si>
  <si>
    <t>Mionoff</t>
  </si>
  <si>
    <t>Salkjelsvik</t>
  </si>
  <si>
    <t>Moss</t>
  </si>
  <si>
    <t>Rekic</t>
  </si>
  <si>
    <t>Porter</t>
  </si>
  <si>
    <t>Zabour</t>
  </si>
  <si>
    <t>Barton</t>
  </si>
  <si>
    <t>Jussila</t>
  </si>
  <si>
    <t>Attalah</t>
  </si>
  <si>
    <t>Pekoniemi</t>
  </si>
  <si>
    <t>Connors</t>
  </si>
  <si>
    <t>Baxter</t>
  </si>
  <si>
    <t>Hickman</t>
  </si>
  <si>
    <t>Moore</t>
  </si>
  <si>
    <t>Webber</t>
  </si>
  <si>
    <t>McMahon</t>
  </si>
  <si>
    <t>Madsen</t>
  </si>
  <si>
    <t>Peter</t>
  </si>
  <si>
    <t>Ekstrom</t>
  </si>
  <si>
    <t>Drazenoic</t>
  </si>
  <si>
    <t>Coelho</t>
  </si>
  <si>
    <t>Robins</t>
  </si>
  <si>
    <t>Weisz</t>
  </si>
  <si>
    <t>Sobey</t>
  </si>
  <si>
    <t>Richard</t>
  </si>
  <si>
    <t>Newsom</t>
  </si>
  <si>
    <t>Osen</t>
  </si>
  <si>
    <t>Giglio</t>
  </si>
  <si>
    <t>Boulos</t>
  </si>
  <si>
    <t>Nysten</t>
  </si>
  <si>
    <t>Hakkarainen</t>
  </si>
  <si>
    <t>Burke</t>
  </si>
  <si>
    <t>Andrew</t>
  </si>
  <si>
    <t>Nicholls</t>
  </si>
  <si>
    <t>Navratil</t>
  </si>
  <si>
    <t>Byles</t>
  </si>
  <si>
    <t>Bateman</t>
  </si>
  <si>
    <t>Pears</t>
  </si>
  <si>
    <t>Meo</t>
  </si>
  <si>
    <t>van Billiard</t>
  </si>
  <si>
    <t>Olsen</t>
  </si>
  <si>
    <t>Gilnagh</t>
  </si>
  <si>
    <t>Corn</t>
  </si>
  <si>
    <t>Smiljanic</t>
  </si>
  <si>
    <t>Sage</t>
  </si>
  <si>
    <t>Cribb</t>
  </si>
  <si>
    <t>Watt</t>
  </si>
  <si>
    <t>Bengtsson</t>
  </si>
  <si>
    <t>Calic</t>
  </si>
  <si>
    <t>Goldsmith</t>
  </si>
  <si>
    <t>Chibnall</t>
  </si>
  <si>
    <t>Baumann</t>
  </si>
  <si>
    <t>Ling</t>
  </si>
  <si>
    <t>Van der hoef</t>
  </si>
  <si>
    <t>Sivola</t>
  </si>
  <si>
    <t>Smith</t>
  </si>
  <si>
    <t>Klasen</t>
  </si>
  <si>
    <t>Lefebre</t>
  </si>
  <si>
    <t>Isham</t>
  </si>
  <si>
    <t>Hale</t>
  </si>
  <si>
    <t>Leonard</t>
  </si>
  <si>
    <t>Pernot</t>
  </si>
  <si>
    <t>Becker</t>
  </si>
  <si>
    <t>Kink-Heilmann</t>
  </si>
  <si>
    <t>Rood</t>
  </si>
  <si>
    <t>O'Brien</t>
  </si>
  <si>
    <t>Romaine</t>
  </si>
  <si>
    <t>Bourke</t>
  </si>
  <si>
    <t>Turcin</t>
  </si>
  <si>
    <t>Pinsky</t>
  </si>
  <si>
    <t>Carbines</t>
  </si>
  <si>
    <t>Andersen-Jensen</t>
  </si>
  <si>
    <t>Brown</t>
  </si>
  <si>
    <t>Lurette</t>
  </si>
  <si>
    <t>Mernagh</t>
  </si>
  <si>
    <t>Madigan</t>
  </si>
  <si>
    <t>Yrois</t>
  </si>
  <si>
    <t>Vande Walle</t>
  </si>
  <si>
    <t>Johanson</t>
  </si>
  <si>
    <t>Youseff</t>
  </si>
  <si>
    <t>Cohen</t>
  </si>
  <si>
    <t>Strom</t>
  </si>
  <si>
    <t>Albimona</t>
  </si>
  <si>
    <t>Carr</t>
  </si>
  <si>
    <t>Blank</t>
  </si>
  <si>
    <t>Ali</t>
  </si>
  <si>
    <t>Cameron</t>
  </si>
  <si>
    <t>Perkin</t>
  </si>
  <si>
    <t>Givard</t>
  </si>
  <si>
    <t>Kiernan</t>
  </si>
  <si>
    <t>Newell</t>
  </si>
  <si>
    <t>Honkanen</t>
  </si>
  <si>
    <t>Jacobsohn</t>
  </si>
  <si>
    <t>Bazzani</t>
  </si>
  <si>
    <t>Sunderland</t>
  </si>
  <si>
    <t>Bracken</t>
  </si>
  <si>
    <t>Green</t>
  </si>
  <si>
    <t>Nenkoff</t>
  </si>
  <si>
    <t>Hoyt</t>
  </si>
  <si>
    <t>Berglund</t>
  </si>
  <si>
    <t>Mellors</t>
  </si>
  <si>
    <t>Lovell</t>
  </si>
  <si>
    <t>Fahlstrom</t>
  </si>
  <si>
    <t>Larsson</t>
  </si>
  <si>
    <t>Sjostedt</t>
  </si>
  <si>
    <t>Leyson</t>
  </si>
  <si>
    <t>Harknett</t>
  </si>
  <si>
    <t>Hold</t>
  </si>
  <si>
    <t>Collyer</t>
  </si>
  <si>
    <t>Pengelly</t>
  </si>
  <si>
    <t>Hunt</t>
  </si>
  <si>
    <t>Murphy</t>
  </si>
  <si>
    <t>Coleridge</t>
  </si>
  <si>
    <t>Maenpaa</t>
  </si>
  <si>
    <t>Minahan</t>
  </si>
  <si>
    <t>Lindahl</t>
  </si>
  <si>
    <t>Hamalainen</t>
  </si>
  <si>
    <t>Beckwith</t>
  </si>
  <si>
    <t>Carter</t>
  </si>
  <si>
    <t>Reed</t>
  </si>
  <si>
    <t>Stead</t>
  </si>
  <si>
    <t>Lobb</t>
  </si>
  <si>
    <t>Rosblom</t>
  </si>
  <si>
    <t>Touma</t>
  </si>
  <si>
    <t>Thorne</t>
  </si>
  <si>
    <t>Cherry</t>
  </si>
  <si>
    <t>Ward</t>
  </si>
  <si>
    <t>Parrish</t>
  </si>
  <si>
    <t>Taussig</t>
  </si>
  <si>
    <t>Harrison</t>
  </si>
  <si>
    <t>Henry</t>
  </si>
  <si>
    <t>Reeves</t>
  </si>
  <si>
    <t>Persson</t>
  </si>
  <si>
    <t>Graham</t>
  </si>
  <si>
    <t>Bissette</t>
  </si>
  <si>
    <t>Cairns</t>
  </si>
  <si>
    <t>Tornquist</t>
  </si>
  <si>
    <t>Mellinger</t>
  </si>
  <si>
    <t>Natsch</t>
  </si>
  <si>
    <t>Healy</t>
  </si>
  <si>
    <t>Andrews</t>
  </si>
  <si>
    <t>Lindblom</t>
  </si>
  <si>
    <t>Parkes</t>
  </si>
  <si>
    <t>Abbott</t>
  </si>
  <si>
    <t>Duane</t>
  </si>
  <si>
    <t>Olsson</t>
  </si>
  <si>
    <t>de Pelsmaeker</t>
  </si>
  <si>
    <t>Dorking</t>
  </si>
  <si>
    <t>Stankovic</t>
  </si>
  <si>
    <t>de Mulder</t>
  </si>
  <si>
    <t>Naidenoff</t>
  </si>
  <si>
    <t>Hosono</t>
  </si>
  <si>
    <t>Connolly</t>
  </si>
  <si>
    <t>Barber</t>
  </si>
  <si>
    <t>Bishop</t>
  </si>
  <si>
    <t>Levy</t>
  </si>
  <si>
    <t>Haas</t>
  </si>
  <si>
    <t>Mineff</t>
  </si>
  <si>
    <t>Lewy</t>
  </si>
  <si>
    <t>Hanna</t>
  </si>
  <si>
    <t>Allison</t>
  </si>
  <si>
    <t>Saalfeld</t>
  </si>
  <si>
    <t>Kelly</t>
  </si>
  <si>
    <t>McCoy</t>
  </si>
  <si>
    <t>Keane</t>
  </si>
  <si>
    <t>Fleming</t>
  </si>
  <si>
    <t>Penasco y Castellana</t>
  </si>
  <si>
    <t>Abelson</t>
  </si>
  <si>
    <t>Francatelli</t>
  </si>
  <si>
    <t>Hays</t>
  </si>
  <si>
    <t>Ryerson</t>
  </si>
  <si>
    <t>Lahtinen</t>
  </si>
  <si>
    <t>Hendekovic</t>
  </si>
  <si>
    <t>Hart</t>
  </si>
  <si>
    <t>Nilsson</t>
  </si>
  <si>
    <t>Moraweck</t>
  </si>
  <si>
    <t>Wick</t>
  </si>
  <si>
    <t>Spedden</t>
  </si>
  <si>
    <t>Dennis</t>
  </si>
  <si>
    <t>Danoff</t>
  </si>
  <si>
    <t>Slayter</t>
  </si>
  <si>
    <t>Young</t>
  </si>
  <si>
    <t>Nysveen</t>
  </si>
  <si>
    <t>Ball</t>
  </si>
  <si>
    <t>Hippach</t>
  </si>
  <si>
    <t>Partner</t>
  </si>
  <si>
    <t>Frauenthal</t>
  </si>
  <si>
    <t>Denkoff</t>
  </si>
  <si>
    <t>Burns</t>
  </si>
  <si>
    <t>Dahl</t>
  </si>
  <si>
    <t>Blackwell</t>
  </si>
  <si>
    <t>Collander</t>
  </si>
  <si>
    <t>Sedgwick</t>
  </si>
  <si>
    <t>Fox</t>
  </si>
  <si>
    <t>Davison</t>
  </si>
  <si>
    <t>Coutts</t>
  </si>
  <si>
    <t>Dimic</t>
  </si>
  <si>
    <t>Odahl</t>
  </si>
  <si>
    <t>Williams-Lambert</t>
  </si>
  <si>
    <t>Elias</t>
  </si>
  <si>
    <t>Yousif</t>
  </si>
  <si>
    <t>Vanden Steen</t>
  </si>
  <si>
    <t>Bowerman</t>
  </si>
  <si>
    <t>Funk</t>
  </si>
  <si>
    <t>McGovern</t>
  </si>
  <si>
    <t>Mockler</t>
  </si>
  <si>
    <t>del Carlo</t>
  </si>
  <si>
    <t>Barbara</t>
  </si>
  <si>
    <t>Asim</t>
  </si>
  <si>
    <t>Adahl</t>
  </si>
  <si>
    <t>Warren</t>
  </si>
  <si>
    <t>Moussa</t>
  </si>
  <si>
    <t>Jermyn</t>
  </si>
  <si>
    <t>Aubart</t>
  </si>
  <si>
    <t>Harder</t>
  </si>
  <si>
    <t>Wiklund</t>
  </si>
  <si>
    <t>Beavan</t>
  </si>
  <si>
    <t>Ringhini</t>
  </si>
  <si>
    <t>Landergren</t>
  </si>
  <si>
    <t>Widener</t>
  </si>
  <si>
    <t>Betros</t>
  </si>
  <si>
    <t>Bidois</t>
  </si>
  <si>
    <t>Nakid</t>
  </si>
  <si>
    <t>Tikkanen</t>
  </si>
  <si>
    <t>Plotcharsky</t>
  </si>
  <si>
    <t>Davies</t>
  </si>
  <si>
    <t>Buss</t>
  </si>
  <si>
    <t>Sadlier</t>
  </si>
  <si>
    <t>Lehmann</t>
  </si>
  <si>
    <t>Jansson</t>
  </si>
  <si>
    <t>McKane</t>
  </si>
  <si>
    <t>Pain</t>
  </si>
  <si>
    <t>Trout</t>
  </si>
  <si>
    <t>Niskanen</t>
  </si>
  <si>
    <t>Adams</t>
  </si>
  <si>
    <t>Oreskovic</t>
  </si>
  <si>
    <t>Gale</t>
  </si>
  <si>
    <t>Widegren</t>
  </si>
  <si>
    <t>Richards</t>
  </si>
  <si>
    <t>Birkeland</t>
  </si>
  <si>
    <t>Sdycoff</t>
  </si>
  <si>
    <t>Cunningham</t>
  </si>
  <si>
    <t>Sundman</t>
  </si>
  <si>
    <t>Meek</t>
  </si>
  <si>
    <t>Drew</t>
  </si>
  <si>
    <t>Silven</t>
  </si>
  <si>
    <t>Matthews</t>
  </si>
  <si>
    <t>Van Impe</t>
  </si>
  <si>
    <t>Gheorgheff</t>
  </si>
  <si>
    <t>Charters</t>
  </si>
  <si>
    <t>Zimmerman</t>
  </si>
  <si>
    <t>Danbom</t>
  </si>
  <si>
    <t>Wiseman</t>
  </si>
  <si>
    <t>Clarke</t>
  </si>
  <si>
    <t>Phillips</t>
  </si>
  <si>
    <t>Flynn</t>
  </si>
  <si>
    <t>Pickard</t>
  </si>
  <si>
    <t>Bjornstrom-Steffansson</t>
  </si>
  <si>
    <t>Thorneycroft</t>
  </si>
  <si>
    <t>Louch</t>
  </si>
  <si>
    <t>Kallio</t>
  </si>
  <si>
    <t>Silvey</t>
  </si>
  <si>
    <t>Kvillner</t>
  </si>
  <si>
    <t>Hampe</t>
  </si>
  <si>
    <t>Petterson</t>
  </si>
  <si>
    <t>Reynaldo</t>
  </si>
  <si>
    <t>Johannesen-Bratthammer</t>
  </si>
  <si>
    <t>Dodge</t>
  </si>
  <si>
    <t>Seward</t>
  </si>
  <si>
    <t>Baclini</t>
  </si>
  <si>
    <t>Peuchen</t>
  </si>
  <si>
    <t>Hagland</t>
  </si>
  <si>
    <t>Foreman</t>
  </si>
  <si>
    <t>Goldenberg</t>
  </si>
  <si>
    <t>Peduzzi</t>
  </si>
  <si>
    <t>Jalsevac</t>
  </si>
  <si>
    <t>Millet</t>
  </si>
  <si>
    <t>Kenyon</t>
  </si>
  <si>
    <t>Toomey</t>
  </si>
  <si>
    <t>O'Connor</t>
  </si>
  <si>
    <t>Anderson</t>
  </si>
  <si>
    <t>Morley</t>
  </si>
  <si>
    <t>Gee</t>
  </si>
  <si>
    <t>Milling</t>
  </si>
  <si>
    <t>Maisner</t>
  </si>
  <si>
    <t>Goncalves</t>
  </si>
  <si>
    <t>Campbell</t>
  </si>
  <si>
    <t>Smart</t>
  </si>
  <si>
    <t>Scanlan</t>
  </si>
  <si>
    <t>Keefe</t>
  </si>
  <si>
    <t>Cacic</t>
  </si>
  <si>
    <t>Jerwan</t>
  </si>
  <si>
    <t>Strandberg</t>
  </si>
  <si>
    <t>Clifford</t>
  </si>
  <si>
    <t>Renouf</t>
  </si>
  <si>
    <t>Karlsson</t>
  </si>
  <si>
    <t>Hirvonen</t>
  </si>
  <si>
    <t>Frost</t>
  </si>
  <si>
    <t>Rouse</t>
  </si>
  <si>
    <t>Turkula</t>
  </si>
  <si>
    <t>Kent</t>
  </si>
  <si>
    <t>Somerton</t>
  </si>
  <si>
    <t>Windelov</t>
  </si>
  <si>
    <t>Molson</t>
  </si>
  <si>
    <t>Artagaveytia</t>
  </si>
  <si>
    <t>Stanley</t>
  </si>
  <si>
    <t>Yousseff</t>
  </si>
  <si>
    <t>Eustis</t>
  </si>
  <si>
    <t>Shellard</t>
  </si>
  <si>
    <t>Svensson</t>
  </si>
  <si>
    <t>Canavan</t>
  </si>
  <si>
    <t>O'Sullivan</t>
  </si>
  <si>
    <t>Laitinen</t>
  </si>
  <si>
    <t>Maioni</t>
  </si>
  <si>
    <t>Quick</t>
  </si>
  <si>
    <t>Bradley</t>
  </si>
  <si>
    <t>Lang</t>
  </si>
  <si>
    <t>Daly</t>
  </si>
  <si>
    <t>McGough</t>
  </si>
  <si>
    <t>Rothschild</t>
  </si>
  <si>
    <t>Coleff</t>
  </si>
  <si>
    <t>Walker</t>
  </si>
  <si>
    <t>Lemore</t>
  </si>
  <si>
    <t>Ryan</t>
  </si>
  <si>
    <t>Angle</t>
  </si>
  <si>
    <t>Pavlovic</t>
  </si>
  <si>
    <t>Perreault</t>
  </si>
  <si>
    <t>Vovk</t>
  </si>
  <si>
    <t>Lahoud</t>
  </si>
  <si>
    <t>Kassem</t>
  </si>
  <si>
    <t>Farrell</t>
  </si>
  <si>
    <t>Ridsdale</t>
  </si>
  <si>
    <t>Farthing</t>
  </si>
  <si>
    <t>Salonen</t>
  </si>
  <si>
    <t>Hocking</t>
  </si>
  <si>
    <t>Toufik</t>
  </si>
  <si>
    <t>Butt</t>
  </si>
  <si>
    <t>LeRoy</t>
  </si>
  <si>
    <t>Risien</t>
  </si>
  <si>
    <t>Frolicher</t>
  </si>
  <si>
    <t>Crosby</t>
  </si>
  <si>
    <t>Beane</t>
  </si>
  <si>
    <t>Douglas</t>
  </si>
  <si>
    <t>Nicholson</t>
  </si>
  <si>
    <t>Padro y Manent</t>
  </si>
  <si>
    <t>Thayer</t>
  </si>
  <si>
    <t>Sharp</t>
  </si>
  <si>
    <t>Leeni</t>
  </si>
  <si>
    <t>Ohman</t>
  </si>
  <si>
    <t>Wright</t>
  </si>
  <si>
    <t>Duff Gordon</t>
  </si>
  <si>
    <t>Robbins</t>
  </si>
  <si>
    <t>de Messemaeker</t>
  </si>
  <si>
    <t>Morrow</t>
  </si>
  <si>
    <t>Sivic</t>
  </si>
  <si>
    <t>Norman</t>
  </si>
  <si>
    <t>Simmons</t>
  </si>
  <si>
    <t>Meanwell</t>
  </si>
  <si>
    <t>Stoytcheff</t>
  </si>
  <si>
    <t>Doharr</t>
  </si>
  <si>
    <t>Jonsson</t>
  </si>
  <si>
    <t>Appleton</t>
  </si>
  <si>
    <t>Rush</t>
  </si>
  <si>
    <t>Patchett</t>
  </si>
  <si>
    <t>Garside</t>
  </si>
  <si>
    <t>Caram</t>
  </si>
  <si>
    <t>Christy</t>
  </si>
  <si>
    <t>Downton</t>
  </si>
  <si>
    <t>Ross</t>
  </si>
  <si>
    <t>Paulner</t>
  </si>
  <si>
    <t>Jarvis</t>
  </si>
  <si>
    <t>Frolicher-Stehli</t>
  </si>
  <si>
    <t>Gilinski</t>
  </si>
  <si>
    <t>Murdlin</t>
  </si>
  <si>
    <t>Rintamaki</t>
  </si>
  <si>
    <t>Stephenson</t>
  </si>
  <si>
    <t>Elsbury</t>
  </si>
  <si>
    <t>Chapman</t>
  </si>
  <si>
    <t>Leitch</t>
  </si>
  <si>
    <t>Slabenoff</t>
  </si>
  <si>
    <t>Harrington</t>
  </si>
  <si>
    <t>Torber</t>
  </si>
  <si>
    <t>Homer</t>
  </si>
  <si>
    <t>Lindell</t>
  </si>
  <si>
    <t>Karaic</t>
  </si>
  <si>
    <t>Daniel</t>
  </si>
  <si>
    <t>Shutes</t>
  </si>
  <si>
    <t>Jardin</t>
  </si>
  <si>
    <t>Horgan</t>
  </si>
  <si>
    <t>Brocklebank</t>
  </si>
  <si>
    <t>Herman</t>
  </si>
  <si>
    <t>Gavey</t>
  </si>
  <si>
    <t>Yasbeck</t>
  </si>
  <si>
    <t>Kimball</t>
  </si>
  <si>
    <t>Hansen</t>
  </si>
  <si>
    <t>Bowen</t>
  </si>
  <si>
    <t>Sutton</t>
  </si>
  <si>
    <t>Kirkland</t>
  </si>
  <si>
    <t>Longley</t>
  </si>
  <si>
    <t>Bostandyeff</t>
  </si>
  <si>
    <t>O'Connell</t>
  </si>
  <si>
    <t>Barkworth</t>
  </si>
  <si>
    <t>Lundahl</t>
  </si>
  <si>
    <t>Stahelin-Maeglin</t>
  </si>
  <si>
    <t>Parr</t>
  </si>
  <si>
    <t>Davis</t>
  </si>
  <si>
    <t>Leinonen</t>
  </si>
  <si>
    <t>Jensen</t>
  </si>
  <si>
    <t>Sagesser</t>
  </si>
  <si>
    <t>Foo</t>
  </si>
  <si>
    <t>Cor</t>
  </si>
  <si>
    <t>Simonius-Blumer</t>
  </si>
  <si>
    <t>Willey</t>
  </si>
  <si>
    <t>Mitkoff</t>
  </si>
  <si>
    <t>Kalvik</t>
  </si>
  <si>
    <t>O'Leary</t>
  </si>
  <si>
    <t>Hegarty</t>
  </si>
  <si>
    <t>Radeff</t>
  </si>
  <si>
    <t>Eitemiller</t>
  </si>
  <si>
    <t>Badt</t>
  </si>
  <si>
    <t>Colley</t>
  </si>
  <si>
    <t>Lindqvist</t>
  </si>
  <si>
    <t>Butler</t>
  </si>
  <si>
    <t>Rommetvedt</t>
  </si>
  <si>
    <t>Cook</t>
  </si>
  <si>
    <t>Taylor</t>
  </si>
  <si>
    <t>Davidson</t>
  </si>
  <si>
    <t>Mitchell</t>
  </si>
  <si>
    <t>Wilhelms</t>
  </si>
  <si>
    <t>Watson</t>
  </si>
  <si>
    <t>Edvardsson</t>
  </si>
  <si>
    <t>Sawyer</t>
  </si>
  <si>
    <t>Turja</t>
  </si>
  <si>
    <t>Cardeza</t>
  </si>
  <si>
    <t>Peters</t>
  </si>
  <si>
    <t>Hassab</t>
  </si>
  <si>
    <t>Olsvigen</t>
  </si>
  <si>
    <t>Dakic</t>
  </si>
  <si>
    <t>Fischer</t>
  </si>
  <si>
    <t>Madill</t>
  </si>
  <si>
    <t>Dick</t>
  </si>
  <si>
    <t>Karun</t>
  </si>
  <si>
    <t>Lam</t>
  </si>
  <si>
    <t>Saad</t>
  </si>
  <si>
    <t>Weir</t>
  </si>
  <si>
    <t>Mullens</t>
  </si>
  <si>
    <t>Humblen</t>
  </si>
  <si>
    <t>Astor</t>
  </si>
  <si>
    <t>Silverthorne</t>
  </si>
  <si>
    <t>Gallagher</t>
  </si>
  <si>
    <t>Calderhead</t>
  </si>
  <si>
    <t>Cleaver</t>
  </si>
  <si>
    <t>Mayne</t>
  </si>
  <si>
    <t>Klaber</t>
  </si>
  <si>
    <t>Greenberg</t>
  </si>
  <si>
    <t>Soholt</t>
  </si>
  <si>
    <t>Endres</t>
  </si>
  <si>
    <t>Troutt</t>
  </si>
  <si>
    <t>McEvoy</t>
  </si>
  <si>
    <t>Gillespie</t>
  </si>
  <si>
    <t>Hodges</t>
  </si>
  <si>
    <t>Chambers</t>
  </si>
  <si>
    <t>Mannion</t>
  </si>
  <si>
    <t>Bryhl</t>
  </si>
  <si>
    <t>Ilmakangas</t>
  </si>
  <si>
    <t>Hassan</t>
  </si>
  <si>
    <t>Knight</t>
  </si>
  <si>
    <t>Berriman</t>
  </si>
  <si>
    <t>Troupiansky</t>
  </si>
  <si>
    <t>Lesurer</t>
  </si>
  <si>
    <t>Ivanoff</t>
  </si>
  <si>
    <t>Nankoff</t>
  </si>
  <si>
    <t>Hawksford</t>
  </si>
  <si>
    <t>Cavendish</t>
  </si>
  <si>
    <t>McNamee</t>
  </si>
  <si>
    <t>Stranden</t>
  </si>
  <si>
    <t>Sinkkonen</t>
  </si>
  <si>
    <t>Marvin</t>
  </si>
  <si>
    <t>Connaghton</t>
  </si>
  <si>
    <t>Wells</t>
  </si>
  <si>
    <t>Moor</t>
  </si>
  <si>
    <t>Vande Velde</t>
  </si>
  <si>
    <t>Jonkoff</t>
  </si>
  <si>
    <t>Carlsson</t>
  </si>
  <si>
    <t>Bailey</t>
  </si>
  <si>
    <t>Theobald</t>
  </si>
  <si>
    <t>Rothes</t>
  </si>
  <si>
    <t>Garfirth</t>
  </si>
  <si>
    <t>Nirva</t>
  </si>
  <si>
    <t>Barah</t>
  </si>
  <si>
    <t>Eklund</t>
  </si>
  <si>
    <t>Hogeboom</t>
  </si>
  <si>
    <t>Brewe</t>
  </si>
  <si>
    <t>Mangan</t>
  </si>
  <si>
    <t>Gronnestad</t>
  </si>
  <si>
    <t>Lievens</t>
  </si>
  <si>
    <t>Mack</t>
  </si>
  <si>
    <t>Myhrman</t>
  </si>
  <si>
    <t>Tobin</t>
  </si>
  <si>
    <t>Emanuel</t>
  </si>
  <si>
    <t>Kilgannon</t>
  </si>
  <si>
    <t>Robert</t>
  </si>
  <si>
    <t>Ayoub</t>
  </si>
  <si>
    <t>Long</t>
  </si>
  <si>
    <t>Johnston</t>
  </si>
  <si>
    <t>Harmer</t>
  </si>
  <si>
    <t>Sjoblom</t>
  </si>
  <si>
    <t>Guggenheim</t>
  </si>
  <si>
    <t>Gaskell</t>
  </si>
  <si>
    <t>Dantcheff</t>
  </si>
  <si>
    <t>Otter</t>
  </si>
  <si>
    <t>Leader</t>
  </si>
  <si>
    <t>Osman</t>
  </si>
  <si>
    <t>Ibrahim Shawah</t>
  </si>
  <si>
    <t>Ponesell</t>
  </si>
  <si>
    <t>Thomas</t>
  </si>
  <si>
    <t>Hedman</t>
  </si>
  <si>
    <t>Pettersson</t>
  </si>
  <si>
    <t>Alexander</t>
  </si>
  <si>
    <t>Lester</t>
  </si>
  <si>
    <t>Slemen</t>
  </si>
  <si>
    <t>Tomlin</t>
  </si>
  <si>
    <t>Fry</t>
  </si>
  <si>
    <t>Heininen</t>
  </si>
  <si>
    <t>Mallet</t>
  </si>
  <si>
    <t>Holm</t>
  </si>
  <si>
    <t>Lulic</t>
  </si>
  <si>
    <t>Reuchlin</t>
  </si>
  <si>
    <t>McCormack</t>
  </si>
  <si>
    <t>Stone</t>
  </si>
  <si>
    <t>Augustsson</t>
  </si>
  <si>
    <t>Allum</t>
  </si>
  <si>
    <t>Compton</t>
  </si>
  <si>
    <t>Pasic</t>
  </si>
  <si>
    <t>Sirota</t>
  </si>
  <si>
    <t>Chip</t>
  </si>
  <si>
    <t>Marechal</t>
  </si>
  <si>
    <t>Alhomaki</t>
  </si>
  <si>
    <t>Mudd</t>
  </si>
  <si>
    <t>Serepeca</t>
  </si>
  <si>
    <t>Lemberopolous</t>
  </si>
  <si>
    <t>Culumovic</t>
  </si>
  <si>
    <t>Abbing</t>
  </si>
  <si>
    <t>Markoff</t>
  </si>
  <si>
    <t>Lines</t>
  </si>
  <si>
    <t>Aks</t>
  </si>
  <si>
    <t>Razi</t>
  </si>
  <si>
    <t>Giles</t>
  </si>
  <si>
    <t>Swift</t>
  </si>
  <si>
    <t>Gill</t>
  </si>
  <si>
    <t>Bystrom</t>
  </si>
  <si>
    <t>Duran y More</t>
  </si>
  <si>
    <t>Roebling</t>
  </si>
  <si>
    <t>van Melkebeke</t>
  </si>
  <si>
    <t>Balkic</t>
  </si>
  <si>
    <t>Vander Cruyssen</t>
  </si>
  <si>
    <t>Najib</t>
  </si>
  <si>
    <t>Laleff</t>
  </si>
  <si>
    <t>Potter</t>
  </si>
  <si>
    <t>Shelley</t>
  </si>
  <si>
    <t>Markun</t>
  </si>
  <si>
    <t>Dahlberg</t>
  </si>
  <si>
    <t>Banfield</t>
  </si>
  <si>
    <t>Sutehall</t>
  </si>
  <si>
    <t>Montvila</t>
  </si>
  <si>
    <t>Behr</t>
  </si>
  <si>
    <t>Dooley</t>
  </si>
  <si>
    <t xml:space="preserve"> Mr.</t>
  </si>
  <si>
    <t xml:space="preserve"> Mrs.</t>
  </si>
  <si>
    <t xml:space="preserve"> Miss.</t>
  </si>
  <si>
    <t xml:space="preserve"> Master.</t>
  </si>
  <si>
    <t xml:space="preserve"> Don.</t>
  </si>
  <si>
    <t xml:space="preserve"> Rev.</t>
  </si>
  <si>
    <t xml:space="preserve"> Dr.</t>
  </si>
  <si>
    <t xml:space="preserve"> Mme.</t>
  </si>
  <si>
    <t xml:space="preserve"> Ms.</t>
  </si>
  <si>
    <t xml:space="preserve"> Major.</t>
  </si>
  <si>
    <t xml:space="preserve"> Lady.</t>
  </si>
  <si>
    <t xml:space="preserve"> Sir.</t>
  </si>
  <si>
    <t xml:space="preserve"> Mlle.</t>
  </si>
  <si>
    <t xml:space="preserve"> Col.</t>
  </si>
  <si>
    <t xml:space="preserve"> Capt.</t>
  </si>
  <si>
    <t xml:space="preserve"> the Countess.</t>
  </si>
  <si>
    <t xml:space="preserve"> Jonkheer.</t>
  </si>
  <si>
    <t xml:space="preserve"> Owen Harris</t>
  </si>
  <si>
    <t xml:space="preserve"> John Bradley </t>
  </si>
  <si>
    <t xml:space="preserve"> Laina</t>
  </si>
  <si>
    <t xml:space="preserve"> Jacques Heath </t>
  </si>
  <si>
    <t xml:space="preserve"> William Henry</t>
  </si>
  <si>
    <t xml:space="preserve"> James</t>
  </si>
  <si>
    <t xml:space="preserve"> Timothy J</t>
  </si>
  <si>
    <t xml:space="preserve"> Gosta Leonard</t>
  </si>
  <si>
    <t xml:space="preserve"> Oscar W </t>
  </si>
  <si>
    <t xml:space="preserve"> Nicholas </t>
  </si>
  <si>
    <t xml:space="preserve"> Marguerite Rut</t>
  </si>
  <si>
    <t xml:space="preserve"> Elizabeth</t>
  </si>
  <si>
    <t xml:space="preserve"> Anders Johan</t>
  </si>
  <si>
    <t xml:space="preserve"> Hulda Amanda Adolfina</t>
  </si>
  <si>
    <t xml:space="preserve"> </t>
  </si>
  <si>
    <t xml:space="preserve"> Eugene</t>
  </si>
  <si>
    <t xml:space="preserve"> Charles Eugene</t>
  </si>
  <si>
    <t xml:space="preserve"> Julius </t>
  </si>
  <si>
    <t xml:space="preserve"> Fatima</t>
  </si>
  <si>
    <t xml:space="preserve"> Joseph J</t>
  </si>
  <si>
    <t xml:space="preserve"> Lawrence</t>
  </si>
  <si>
    <t xml:space="preserve"> Anna "Annie"</t>
  </si>
  <si>
    <t xml:space="preserve"> William Thompson</t>
  </si>
  <si>
    <t xml:space="preserve"> Torborg Danira</t>
  </si>
  <si>
    <t xml:space="preserve"> Carl Oscar </t>
  </si>
  <si>
    <t xml:space="preserve"> Farred Chehab</t>
  </si>
  <si>
    <t xml:space="preserve"> Charles Alexander</t>
  </si>
  <si>
    <t xml:space="preserve"> Ellen "Nellie"</t>
  </si>
  <si>
    <t xml:space="preserve"> Lalio</t>
  </si>
  <si>
    <t xml:space="preserve"> Manuel E</t>
  </si>
  <si>
    <t xml:space="preserve"> William Augustus </t>
  </si>
  <si>
    <t xml:space="preserve"> Mary Agatha</t>
  </si>
  <si>
    <t xml:space="preserve"> Edward H</t>
  </si>
  <si>
    <t xml:space="preserve"> Edgar Joseph</t>
  </si>
  <si>
    <t xml:space="preserve"> Alexander Oskar</t>
  </si>
  <si>
    <t xml:space="preserve"> Hanna</t>
  </si>
  <si>
    <t xml:space="preserve"> Ernest Charles</t>
  </si>
  <si>
    <t xml:space="preserve"> Augusta Maria</t>
  </si>
  <si>
    <t xml:space="preserve"> Jamila</t>
  </si>
  <si>
    <t xml:space="preserve"> Johan </t>
  </si>
  <si>
    <t xml:space="preserve"> William John Robert </t>
  </si>
  <si>
    <t xml:space="preserve"> Theodor</t>
  </si>
  <si>
    <t xml:space="preserve"> Simonne Marie Anne Andree</t>
  </si>
  <si>
    <t xml:space="preserve"> Margaret Delia</t>
  </si>
  <si>
    <t xml:space="preserve"> William John</t>
  </si>
  <si>
    <t xml:space="preserve"> Denis</t>
  </si>
  <si>
    <t xml:space="preserve"> Bridget</t>
  </si>
  <si>
    <t xml:space="preserve"> Youssef</t>
  </si>
  <si>
    <t xml:space="preserve"> Josef </t>
  </si>
  <si>
    <t xml:space="preserve"> Juha Niilo</t>
  </si>
  <si>
    <t xml:space="preserve"> Richard Cater</t>
  </si>
  <si>
    <t xml:space="preserve"> Henry Sleeper </t>
  </si>
  <si>
    <t xml:space="preserve"> Lizzie </t>
  </si>
  <si>
    <t xml:space="preserve"> Engelhart Cornelius</t>
  </si>
  <si>
    <t xml:space="preserve"> Hugh</t>
  </si>
  <si>
    <t xml:space="preserve"> Emily</t>
  </si>
  <si>
    <t xml:space="preserve"> Mansouer</t>
  </si>
  <si>
    <t xml:space="preserve"> Constance Mirium</t>
  </si>
  <si>
    <t xml:space="preserve"> William Frederick</t>
  </si>
  <si>
    <t xml:space="preserve"> Orsen</t>
  </si>
  <si>
    <t xml:space="preserve"> Amelie</t>
  </si>
  <si>
    <t xml:space="preserve"> Henry Birkhardt</t>
  </si>
  <si>
    <t xml:space="preserve"> Harald</t>
  </si>
  <si>
    <t xml:space="preserve"> Albert A</t>
  </si>
  <si>
    <t xml:space="preserve"> Gerios</t>
  </si>
  <si>
    <t xml:space="preserve"> Ernest James</t>
  </si>
  <si>
    <t xml:space="preserve"> Erna Alexandra</t>
  </si>
  <si>
    <t xml:space="preserve"> Vincenz</t>
  </si>
  <si>
    <t xml:space="preserve"> Stephen Curnow</t>
  </si>
  <si>
    <t xml:space="preserve"> Lillian Amy</t>
  </si>
  <si>
    <t xml:space="preserve"> Ambrose Jr</t>
  </si>
  <si>
    <t xml:space="preserve"> Apostolos</t>
  </si>
  <si>
    <t xml:space="preserve"> Lee</t>
  </si>
  <si>
    <t xml:space="preserve"> Sigurd Hansen</t>
  </si>
  <si>
    <t xml:space="preserve"> Ivan</t>
  </si>
  <si>
    <t xml:space="preserve"> Rahamin Haim</t>
  </si>
  <si>
    <t xml:space="preserve"> Alden Gates</t>
  </si>
  <si>
    <t xml:space="preserve"> Achille</t>
  </si>
  <si>
    <t xml:space="preserve"> Jan Baptist</t>
  </si>
  <si>
    <t xml:space="preserve"> Brigdet Delia</t>
  </si>
  <si>
    <t xml:space="preserve"> Francisco M</t>
  </si>
  <si>
    <t xml:space="preserve"> Bertha</t>
  </si>
  <si>
    <t xml:space="preserve"> Karl Alfred </t>
  </si>
  <si>
    <t xml:space="preserve"> William Neal</t>
  </si>
  <si>
    <t xml:space="preserve"> Selman Francis</t>
  </si>
  <si>
    <t xml:space="preserve"> Mabel Helen</t>
  </si>
  <si>
    <t xml:space="preserve"> Francesco</t>
  </si>
  <si>
    <t xml:space="preserve"> Emil</t>
  </si>
  <si>
    <t xml:space="preserve"> Paul Edvin</t>
  </si>
  <si>
    <t xml:space="preserve"> Herbert Fuller</t>
  </si>
  <si>
    <t xml:space="preserve"> Bertram Frank</t>
  </si>
  <si>
    <t xml:space="preserve"> Daniel</t>
  </si>
  <si>
    <t xml:space="preserve"> Charles Joseph</t>
  </si>
  <si>
    <t xml:space="preserve"> George B</t>
  </si>
  <si>
    <t xml:space="preserve"> William Bertram</t>
  </si>
  <si>
    <t xml:space="preserve"> John T </t>
  </si>
  <si>
    <t xml:space="preserve"> Sinai</t>
  </si>
  <si>
    <t xml:space="preserve"> Matilda</t>
  </si>
  <si>
    <t xml:space="preserve"> Pastcho </t>
  </si>
  <si>
    <t xml:space="preserve"> Richard Frasar</t>
  </si>
  <si>
    <t xml:space="preserve"> Gustaf Joel</t>
  </si>
  <si>
    <t xml:space="preserve"> Anders Vilhelm</t>
  </si>
  <si>
    <t xml:space="preserve"> Stoytcho</t>
  </si>
  <si>
    <t xml:space="preserve"> Anna Kristine</t>
  </si>
  <si>
    <t xml:space="preserve"> Albert Johan</t>
  </si>
  <si>
    <t xml:space="preserve"> Tido</t>
  </si>
  <si>
    <t xml:space="preserve"> Walter Chamberlain</t>
  </si>
  <si>
    <t xml:space="preserve"> Hileni</t>
  </si>
  <si>
    <t xml:space="preserve"> David John</t>
  </si>
  <si>
    <t xml:space="preserve"> Katriina</t>
  </si>
  <si>
    <t xml:space="preserve"> Malake</t>
  </si>
  <si>
    <t xml:space="preserve"> Edvard</t>
  </si>
  <si>
    <t xml:space="preserve"> Patrick</t>
  </si>
  <si>
    <t xml:space="preserve"> William John Robert</t>
  </si>
  <si>
    <t xml:space="preserve"> Quigg Edmond</t>
  </si>
  <si>
    <t xml:space="preserve"> Ellis Anna Maria</t>
  </si>
  <si>
    <t xml:space="preserve"> Stanley George</t>
  </si>
  <si>
    <t xml:space="preserve"> Leonard Charles</t>
  </si>
  <si>
    <t xml:space="preserve"> Nicholas</t>
  </si>
  <si>
    <t xml:space="preserve"> Susan</t>
  </si>
  <si>
    <t xml:space="preserve"> Percival Wayland</t>
  </si>
  <si>
    <t xml:space="preserve"> Elias</t>
  </si>
  <si>
    <t xml:space="preserve"> Martin</t>
  </si>
  <si>
    <t xml:space="preserve"> Fridtjof Arne</t>
  </si>
  <si>
    <t xml:space="preserve"> Anna</t>
  </si>
  <si>
    <t xml:space="preserve"> Johan</t>
  </si>
  <si>
    <t xml:space="preserve"> Jozef</t>
  </si>
  <si>
    <t xml:space="preserve"> Domingos Fernandeo</t>
  </si>
  <si>
    <t xml:space="preserve"> Alexander A </t>
  </si>
  <si>
    <t xml:space="preserve"> Leopold </t>
  </si>
  <si>
    <t xml:space="preserve"> Samuel James Hayden</t>
  </si>
  <si>
    <t xml:space="preserve"> Emile</t>
  </si>
  <si>
    <t xml:space="preserve"> Helen Monypeny</t>
  </si>
  <si>
    <t xml:space="preserve"> Jacques Heath</t>
  </si>
  <si>
    <t xml:space="preserve"> Olaf Elon</t>
  </si>
  <si>
    <t xml:space="preserve"> Victor</t>
  </si>
  <si>
    <t xml:space="preserve"> Joseph </t>
  </si>
  <si>
    <t xml:space="preserve"> Anna Sofia</t>
  </si>
  <si>
    <t xml:space="preserve"> Pekka Pietari </t>
  </si>
  <si>
    <t xml:space="preserve"> Jeremiah</t>
  </si>
  <si>
    <t xml:space="preserve"> Edgardo Samuel</t>
  </si>
  <si>
    <t xml:space="preserve"> Joseph Charles</t>
  </si>
  <si>
    <t xml:space="preserve"> August Edvard </t>
  </si>
  <si>
    <t xml:space="preserve"> Robina Maggie "Ruby"</t>
  </si>
  <si>
    <t xml:space="preserve"> Michel </t>
  </si>
  <si>
    <t xml:space="preserve"> Thomas Roussel Davids</t>
  </si>
  <si>
    <t xml:space="preserve"> Robert James</t>
  </si>
  <si>
    <t xml:space="preserve"> Thomas </t>
  </si>
  <si>
    <t xml:space="preserve"> Alfonzo</t>
  </si>
  <si>
    <t xml:space="preserve"> Austin Blyler</t>
  </si>
  <si>
    <t xml:space="preserve"> Ole Martin</t>
  </si>
  <si>
    <t xml:space="preserve"> Charles Duane</t>
  </si>
  <si>
    <t xml:space="preserve"> Katherine "Katie"</t>
  </si>
  <si>
    <t xml:space="preserve"> Harry</t>
  </si>
  <si>
    <t xml:space="preserve"> Mile</t>
  </si>
  <si>
    <t xml:space="preserve"> Thomas Henry</t>
  </si>
  <si>
    <t xml:space="preserve"> John Hatfield</t>
  </si>
  <si>
    <t xml:space="preserve"> James </t>
  </si>
  <si>
    <t xml:space="preserve"> John Viktor</t>
  </si>
  <si>
    <t xml:space="preserve"> Jovo</t>
  </si>
  <si>
    <t xml:space="preserve"> Eino Viljami</t>
  </si>
  <si>
    <t xml:space="preserve"> Frank John William "Frankie"</t>
  </si>
  <si>
    <t xml:space="preserve"> William </t>
  </si>
  <si>
    <t xml:space="preserve"> John D</t>
  </si>
  <si>
    <t xml:space="preserve"> Wyckoff</t>
  </si>
  <si>
    <t xml:space="preserve"> Arthur</t>
  </si>
  <si>
    <t xml:space="preserve"> Eleanor Ileen</t>
  </si>
  <si>
    <t xml:space="preserve"> Antti Wilhelm</t>
  </si>
  <si>
    <t xml:space="preserve"> James Clinch</t>
  </si>
  <si>
    <t xml:space="preserve"> Klas Albin</t>
  </si>
  <si>
    <t xml:space="preserve"> Henry Forbes</t>
  </si>
  <si>
    <t xml:space="preserve"> Ann Elizabeth</t>
  </si>
  <si>
    <t xml:space="preserve"> Reginald</t>
  </si>
  <si>
    <t xml:space="preserve"> Lionel</t>
  </si>
  <si>
    <t xml:space="preserve"> Constance Gladys</t>
  </si>
  <si>
    <t xml:space="preserve"> Rene</t>
  </si>
  <si>
    <t xml:space="preserve"> Clarence Gustaf Hugo</t>
  </si>
  <si>
    <t xml:space="preserve"> Richard F</t>
  </si>
  <si>
    <t xml:space="preserve"> Luise Gretchen</t>
  </si>
  <si>
    <t xml:space="preserve"> Hugh Roscoe</t>
  </si>
  <si>
    <t xml:space="preserve"> Charles Hallace </t>
  </si>
  <si>
    <t xml:space="preserve"> John</t>
  </si>
  <si>
    <t xml:space="preserve"> Stjepan</t>
  </si>
  <si>
    <t xml:space="preserve"> William</t>
  </si>
  <si>
    <t xml:space="preserve"> Carla Christine Nielsine</t>
  </si>
  <si>
    <t xml:space="preserve"> Michel M</t>
  </si>
  <si>
    <t xml:space="preserve"> James Joseph </t>
  </si>
  <si>
    <t xml:space="preserve"> Elise</t>
  </si>
  <si>
    <t xml:space="preserve"> Robert</t>
  </si>
  <si>
    <t xml:space="preserve"> Karl Siegwart Andreas</t>
  </si>
  <si>
    <t xml:space="preserve"> Margaret "Maggie"</t>
  </si>
  <si>
    <t xml:space="preserve"> Henriette </t>
  </si>
  <si>
    <t xml:space="preserve"> Nestor Cyriel</t>
  </si>
  <si>
    <t xml:space="preserve"> Frederick</t>
  </si>
  <si>
    <t xml:space="preserve"> Jakob Alfred</t>
  </si>
  <si>
    <t xml:space="preserve"> Gerious</t>
  </si>
  <si>
    <t xml:space="preserve"> Gurshon "Gus"</t>
  </si>
  <si>
    <t xml:space="preserve"> Telma Matilda</t>
  </si>
  <si>
    <t xml:space="preserve"> Karl Alfred</t>
  </si>
  <si>
    <t xml:space="preserve"> Nassef Cassem</t>
  </si>
  <si>
    <t xml:space="preserve"> Helen "Ellen"</t>
  </si>
  <si>
    <t xml:space="preserve"> Henry</t>
  </si>
  <si>
    <t xml:space="preserve"> Ahmed</t>
  </si>
  <si>
    <t xml:space="preserve"> Clear Annie</t>
  </si>
  <si>
    <t xml:space="preserve"> John Henry</t>
  </si>
  <si>
    <t xml:space="preserve"> Hans Kristensen</t>
  </si>
  <si>
    <t xml:space="preserve"> Philip</t>
  </si>
  <si>
    <t xml:space="preserve"> Madeleine</t>
  </si>
  <si>
    <t xml:space="preserve"> Eliina</t>
  </si>
  <si>
    <t xml:space="preserve"> Sidney Samuel</t>
  </si>
  <si>
    <t xml:space="preserve"> Albina</t>
  </si>
  <si>
    <t xml:space="preserve"> Walter</t>
  </si>
  <si>
    <t xml:space="preserve"> Victor Francis</t>
  </si>
  <si>
    <t xml:space="preserve"> James H</t>
  </si>
  <si>
    <t xml:space="preserve"> George Henry</t>
  </si>
  <si>
    <t xml:space="preserve"> Christo</t>
  </si>
  <si>
    <t xml:space="preserve"> Frederick Maxfield</t>
  </si>
  <si>
    <t xml:space="preserve"> Karl Ivar Sven</t>
  </si>
  <si>
    <t xml:space="preserve"> John Hall </t>
  </si>
  <si>
    <t xml:space="preserve"> Arne Jonas</t>
  </si>
  <si>
    <t xml:space="preserve"> Mathilde</t>
  </si>
  <si>
    <t xml:space="preserve"> Henry Birkhardt </t>
  </si>
  <si>
    <t xml:space="preserve"> Bengt Edvin</t>
  </si>
  <si>
    <t xml:space="preserve"> Ernst Adolf</t>
  </si>
  <si>
    <t xml:space="preserve"> Lillian Gertrud</t>
  </si>
  <si>
    <t xml:space="preserve"> Robert William Norman</t>
  </si>
  <si>
    <t xml:space="preserve"> Alice Phoebe</t>
  </si>
  <si>
    <t xml:space="preserve"> Stephen</t>
  </si>
  <si>
    <t xml:space="preserve"> Marjorie "Lottie"</t>
  </si>
  <si>
    <t xml:space="preserve"> Frederick William</t>
  </si>
  <si>
    <t xml:space="preserve"> Thamine</t>
  </si>
  <si>
    <t xml:space="preserve"> Katherine "Kate"</t>
  </si>
  <si>
    <t xml:space="preserve"> Reginald Charles</t>
  </si>
  <si>
    <t xml:space="preserve"> Matti Alexanteri</t>
  </si>
  <si>
    <t xml:space="preserve"> Sleiman</t>
  </si>
  <si>
    <t xml:space="preserve"> William Edward</t>
  </si>
  <si>
    <t xml:space="preserve"> Agda Thorilda Viktoria</t>
  </si>
  <si>
    <t xml:space="preserve"> Richard Leonard</t>
  </si>
  <si>
    <t xml:space="preserve"> Ernest Courtenay</t>
  </si>
  <si>
    <t xml:space="preserve"> James George</t>
  </si>
  <si>
    <t xml:space="preserve"> Wilhelm </t>
  </si>
  <si>
    <t xml:space="preserve"> William Thomas</t>
  </si>
  <si>
    <t xml:space="preserve"> William Arthur</t>
  </si>
  <si>
    <t xml:space="preserve"> Viktor </t>
  </si>
  <si>
    <t xml:space="preserve"> Darwis </t>
  </si>
  <si>
    <t xml:space="preserve"> Gertrude Maybelle</t>
  </si>
  <si>
    <t xml:space="preserve"> Gladys</t>
  </si>
  <si>
    <t xml:space="preserve"> Thomas</t>
  </si>
  <si>
    <t xml:space="preserve"> Edvin Rojj Felix</t>
  </si>
  <si>
    <t xml:space="preserve"> Delia</t>
  </si>
  <si>
    <t xml:space="preserve"> David</t>
  </si>
  <si>
    <t xml:space="preserve"> Ernesti Arvid</t>
  </si>
  <si>
    <t xml:space="preserve"> Ernst Ulrik</t>
  </si>
  <si>
    <t xml:space="preserve"> William Thompson </t>
  </si>
  <si>
    <t xml:space="preserve"> Amelia</t>
  </si>
  <si>
    <t xml:space="preserve"> Alexander</t>
  </si>
  <si>
    <t xml:space="preserve"> Charles H</t>
  </si>
  <si>
    <t xml:space="preserve"> Hanora "Nora"</t>
  </si>
  <si>
    <t xml:space="preserve"> Kornelia Theodosia</t>
  </si>
  <si>
    <t xml:space="preserve"> Augusta Charlotta</t>
  </si>
  <si>
    <t xml:space="preserve"> Francis "Frank"</t>
  </si>
  <si>
    <t xml:space="preserve"> Eric</t>
  </si>
  <si>
    <t xml:space="preserve"> Stanton </t>
  </si>
  <si>
    <t xml:space="preserve"> Frank</t>
  </si>
  <si>
    <t xml:space="preserve"> Nils Johan Goransson</t>
  </si>
  <si>
    <t xml:space="preserve"> Alfons</t>
  </si>
  <si>
    <t xml:space="preserve"> Edward Arthur</t>
  </si>
  <si>
    <t xml:space="preserve"> Richard William</t>
  </si>
  <si>
    <t xml:space="preserve"> Theodore</t>
  </si>
  <si>
    <t xml:space="preserve"> Penko</t>
  </si>
  <si>
    <t xml:space="preserve"> Masabumi</t>
  </si>
  <si>
    <t xml:space="preserve"> Kate</t>
  </si>
  <si>
    <t xml:space="preserve"> Dickinson H </t>
  </si>
  <si>
    <t xml:space="preserve"> Rene Jacques</t>
  </si>
  <si>
    <t xml:space="preserve"> Aloisia</t>
  </si>
  <si>
    <t xml:space="preserve"> Ervin G</t>
  </si>
  <si>
    <t xml:space="preserve"> Mansour</t>
  </si>
  <si>
    <t xml:space="preserve"> Helen Loraine</t>
  </si>
  <si>
    <t xml:space="preserve"> Adolphe</t>
  </si>
  <si>
    <t xml:space="preserve"> Anna Katherine "Annie Kate"</t>
  </si>
  <si>
    <t xml:space="preserve"> Bernard</t>
  </si>
  <si>
    <t xml:space="preserve"> William Cahoone Jr</t>
  </si>
  <si>
    <t xml:space="preserve"> Nora A</t>
  </si>
  <si>
    <t xml:space="preserve"> Howard Hugh "Harry"</t>
  </si>
  <si>
    <t xml:space="preserve"> Hudson Trevor</t>
  </si>
  <si>
    <t xml:space="preserve"> Margaret</t>
  </si>
  <si>
    <t xml:space="preserve"> Victor de Satode </t>
  </si>
  <si>
    <t xml:space="preserve"> Samuel</t>
  </si>
  <si>
    <t xml:space="preserve"> Laura Mabel</t>
  </si>
  <si>
    <t xml:space="preserve"> Margaret Bechstein</t>
  </si>
  <si>
    <t xml:space="preserve"> Emily Borie</t>
  </si>
  <si>
    <t xml:space="preserve"> Ignjac</t>
  </si>
  <si>
    <t xml:space="preserve"> Benjamin</t>
  </si>
  <si>
    <t xml:space="preserve"> Helmina Josefina</t>
  </si>
  <si>
    <t xml:space="preserve"> Sinai </t>
  </si>
  <si>
    <t xml:space="preserve"> Ernest</t>
  </si>
  <si>
    <t xml:space="preserve"> Mary Natalie</t>
  </si>
  <si>
    <t xml:space="preserve"> Frederic Oakley </t>
  </si>
  <si>
    <t xml:space="preserve"> Yoto</t>
  </si>
  <si>
    <t xml:space="preserve"> Hilda Mary</t>
  </si>
  <si>
    <t xml:space="preserve"> Albert Francis </t>
  </si>
  <si>
    <t xml:space="preserve"> George John Jr</t>
  </si>
  <si>
    <t xml:space="preserve"> Marie Grice</t>
  </si>
  <si>
    <t xml:space="preserve"> Johan Hansen</t>
  </si>
  <si>
    <t xml:space="preserve"> Frank John </t>
  </si>
  <si>
    <t xml:space="preserve"> Jean Gertrude</t>
  </si>
  <si>
    <t xml:space="preserve"> Agnes</t>
  </si>
  <si>
    <t xml:space="preserve"> Austen</t>
  </si>
  <si>
    <t xml:space="preserve"> George Edward</t>
  </si>
  <si>
    <t xml:space="preserve"> Leo Edmondus</t>
  </si>
  <si>
    <t xml:space="preserve"> Henry William </t>
  </si>
  <si>
    <t xml:space="preserve"> Mitto</t>
  </si>
  <si>
    <t xml:space="preserve"> Thomas Clinton</t>
  </si>
  <si>
    <t xml:space="preserve"> Elizabeth Margaret</t>
  </si>
  <si>
    <t xml:space="preserve"> Karl Edwart</t>
  </si>
  <si>
    <t xml:space="preserve"> Stephen Weart</t>
  </si>
  <si>
    <t xml:space="preserve"> Edmond Roger</t>
  </si>
  <si>
    <t xml:space="preserve"> Alice Elizabeth</t>
  </si>
  <si>
    <t xml:space="preserve"> Erik Gustaf</t>
  </si>
  <si>
    <t xml:space="preserve"> Charles Frederick Waddington</t>
  </si>
  <si>
    <t xml:space="preserve"> Stanley Hubert</t>
  </si>
  <si>
    <t xml:space="preserve"> Amelia "Mildred"</t>
  </si>
  <si>
    <t xml:space="preserve"> Marion Elsie</t>
  </si>
  <si>
    <t xml:space="preserve"> Thomas Henry </t>
  </si>
  <si>
    <t xml:space="preserve"> William Loch "William"</t>
  </si>
  <si>
    <t xml:space="preserve"> Jovan</t>
  </si>
  <si>
    <t xml:space="preserve"> Nils Martin</t>
  </si>
  <si>
    <t xml:space="preserve"> Fletcher Fellows</t>
  </si>
  <si>
    <t xml:space="preserve"> Tannous</t>
  </si>
  <si>
    <t xml:space="preserve"> Josef</t>
  </si>
  <si>
    <t xml:space="preserve"> Wazli</t>
  </si>
  <si>
    <t xml:space="preserve"> Leo Peter</t>
  </si>
  <si>
    <t xml:space="preserve"> Elsie Edith</t>
  </si>
  <si>
    <t xml:space="preserve"> Annie Clemmer</t>
  </si>
  <si>
    <t xml:space="preserve"> Mary</t>
  </si>
  <si>
    <t xml:space="preserve"> Helen Mary "Ellie"</t>
  </si>
  <si>
    <t xml:space="preserve"> Wilhelm</t>
  </si>
  <si>
    <t xml:space="preserve"> Sebastiano</t>
  </si>
  <si>
    <t xml:space="preserve"> Adola</t>
  </si>
  <si>
    <t xml:space="preserve"> Mauritz Nils Martin</t>
  </si>
  <si>
    <t xml:space="preserve"> Frank Manley </t>
  </si>
  <si>
    <t xml:space="preserve"> Annie</t>
  </si>
  <si>
    <t xml:space="preserve"> Leontine Pauline</t>
  </si>
  <si>
    <t xml:space="preserve"> George Achilles</t>
  </si>
  <si>
    <t xml:space="preserve"> Sante</t>
  </si>
  <si>
    <t xml:space="preserve"> Stina Viola</t>
  </si>
  <si>
    <t xml:space="preserve"> Edgar Joseph </t>
  </si>
  <si>
    <t xml:space="preserve"> Aurora Adelia</t>
  </si>
  <si>
    <t xml:space="preserve"> Harry Elkins</t>
  </si>
  <si>
    <t xml:space="preserve"> Karl Gideon</t>
  </si>
  <si>
    <t xml:space="preserve"> Rosalie</t>
  </si>
  <si>
    <t xml:space="preserve"> Maria </t>
  </si>
  <si>
    <t xml:space="preserve"> Juho</t>
  </si>
  <si>
    <t xml:space="preserve"> Alexander Oskar </t>
  </si>
  <si>
    <t xml:space="preserve"> Vasil</t>
  </si>
  <si>
    <t xml:space="preserve"> Charles Henry</t>
  </si>
  <si>
    <t xml:space="preserve"> Sidney Leonard</t>
  </si>
  <si>
    <t xml:space="preserve"> Matthew</t>
  </si>
  <si>
    <t xml:space="preserve"> William Ernest</t>
  </si>
  <si>
    <t xml:space="preserve"> Carl Olof</t>
  </si>
  <si>
    <t xml:space="preserve"> Johan Birger</t>
  </si>
  <si>
    <t xml:space="preserve"> Marjorie</t>
  </si>
  <si>
    <t xml:space="preserve"> Hjalmar </t>
  </si>
  <si>
    <t xml:space="preserve"> Erik</t>
  </si>
  <si>
    <t xml:space="preserve"> Elina</t>
  </si>
  <si>
    <t xml:space="preserve"> Peter David</t>
  </si>
  <si>
    <t xml:space="preserve"> Alfred</t>
  </si>
  <si>
    <t xml:space="preserve"> William H </t>
  </si>
  <si>
    <t xml:space="preserve"> Juha</t>
  </si>
  <si>
    <t xml:space="preserve"> Mari Aina</t>
  </si>
  <si>
    <t xml:space="preserve"> Pekka Pietari</t>
  </si>
  <si>
    <t xml:space="preserve"> Marija</t>
  </si>
  <si>
    <t xml:space="preserve"> Shadrach</t>
  </si>
  <si>
    <t xml:space="preserve"> Carl/Charles Peter</t>
  </si>
  <si>
    <t xml:space="preserve"> William Rowe</t>
  </si>
  <si>
    <t xml:space="preserve"> Hans Martin Monsen</t>
  </si>
  <si>
    <t xml:space="preserve"> Ida</t>
  </si>
  <si>
    <t xml:space="preserve"> Todor</t>
  </si>
  <si>
    <t xml:space="preserve"> Daisy E</t>
  </si>
  <si>
    <t xml:space="preserve"> Alfred Fleming</t>
  </si>
  <si>
    <t xml:space="preserve"> Johan Julian</t>
  </si>
  <si>
    <t xml:space="preserve"> James Vivian </t>
  </si>
  <si>
    <t xml:space="preserve"> Lyyli Karoliina</t>
  </si>
  <si>
    <t xml:space="preserve"> Catharina</t>
  </si>
  <si>
    <t xml:space="preserve"> Stanio</t>
  </si>
  <si>
    <t xml:space="preserve"> Leo</t>
  </si>
  <si>
    <t xml:space="preserve"> Ernst Gilbert </t>
  </si>
  <si>
    <t xml:space="preserve"> Viktor Richard</t>
  </si>
  <si>
    <t xml:space="preserve"> Phillippe</t>
  </si>
  <si>
    <t xml:space="preserve"> Charles V </t>
  </si>
  <si>
    <t xml:space="preserve"> Kate Florence </t>
  </si>
  <si>
    <t xml:space="preserve"> Berk </t>
  </si>
  <si>
    <t xml:space="preserve"> Mauritz Hakan</t>
  </si>
  <si>
    <t xml:space="preserve"> Percival </t>
  </si>
  <si>
    <t xml:space="preserve"> Charles Alexander </t>
  </si>
  <si>
    <t xml:space="preserve"> Nikolai Erland</t>
  </si>
  <si>
    <t xml:space="preserve"> William Baird</t>
  </si>
  <si>
    <t xml:space="preserve"> Lucile Polk</t>
  </si>
  <si>
    <t xml:space="preserve"> Doolina Margaret "Daisy"</t>
  </si>
  <si>
    <t xml:space="preserve"> Sidney </t>
  </si>
  <si>
    <t xml:space="preserve"> Mark</t>
  </si>
  <si>
    <t xml:space="preserve"> Johan Henrik Johannesson</t>
  </si>
  <si>
    <t xml:space="preserve"> Benjamin </t>
  </si>
  <si>
    <t xml:space="preserve"> Leon</t>
  </si>
  <si>
    <t xml:space="preserve"> Johan Emil</t>
  </si>
  <si>
    <t xml:space="preserve"> Encarnacion</t>
  </si>
  <si>
    <t xml:space="preserve"> Bernt</t>
  </si>
  <si>
    <t xml:space="preserve"> Washington</t>
  </si>
  <si>
    <t xml:space="preserve"> Madeleine Violet</t>
  </si>
  <si>
    <t xml:space="preserve"> Frederic Kimber</t>
  </si>
  <si>
    <t xml:space="preserve"> Marie Catherine</t>
  </si>
  <si>
    <t xml:space="preserve"> Arthur Godfrey</t>
  </si>
  <si>
    <t xml:space="preserve"> Edwy Arthur</t>
  </si>
  <si>
    <t xml:space="preserve"> Ingvald Olai Olsen</t>
  </si>
  <si>
    <t xml:space="preserve"> Benjamin Laventall</t>
  </si>
  <si>
    <t xml:space="preserve"> Samuel L</t>
  </si>
  <si>
    <t xml:space="preserve"> Joseph</t>
  </si>
  <si>
    <t xml:space="preserve"> Francis Davis</t>
  </si>
  <si>
    <t xml:space="preserve"> Frederick R </t>
  </si>
  <si>
    <t xml:space="preserve"> Ellen</t>
  </si>
  <si>
    <t xml:space="preserve"> Maurice</t>
  </si>
  <si>
    <t xml:space="preserve"> Arthur H</t>
  </si>
  <si>
    <t xml:space="preserve"> Jacob Christian</t>
  </si>
  <si>
    <t xml:space="preserve"> Simon</t>
  </si>
  <si>
    <t xml:space="preserve"> Manuel Estanslas</t>
  </si>
  <si>
    <t xml:space="preserve"> John Montgomery</t>
  </si>
  <si>
    <t xml:space="preserve"> Helene Barbara</t>
  </si>
  <si>
    <t xml:space="preserve"> Luka</t>
  </si>
  <si>
    <t xml:space="preserve"> Edwy Arthur </t>
  </si>
  <si>
    <t xml:space="preserve"> Amin S </t>
  </si>
  <si>
    <t xml:space="preserve"> Ida Sofia</t>
  </si>
  <si>
    <t xml:space="preserve"> George Quincy</t>
  </si>
  <si>
    <t xml:space="preserve"> Peter Henry</t>
  </si>
  <si>
    <t xml:space="preserve"> Lewis Richard</t>
  </si>
  <si>
    <t xml:space="preserve"> Nils August</t>
  </si>
  <si>
    <t xml:space="preserve"> Hildur E</t>
  </si>
  <si>
    <t xml:space="preserve"> Harold Victor</t>
  </si>
  <si>
    <t xml:space="preserve"> Anthony Wood "Archie"</t>
  </si>
  <si>
    <t xml:space="preserve"> Richard Henry</t>
  </si>
  <si>
    <t xml:space="preserve"> Dickinson H</t>
  </si>
  <si>
    <t xml:space="preserve"> Jeannie</t>
  </si>
  <si>
    <t xml:space="preserve"> Frederick Maxfield </t>
  </si>
  <si>
    <t xml:space="preserve"> Edward Austin</t>
  </si>
  <si>
    <t xml:space="preserve"> Francis William</t>
  </si>
  <si>
    <t xml:space="preserve"> Eden Leslie "Neville"</t>
  </si>
  <si>
    <t xml:space="preserve"> Konrad Mathias Reiersen</t>
  </si>
  <si>
    <t xml:space="preserve"> Einar</t>
  </si>
  <si>
    <t xml:space="preserve"> Harry Markland</t>
  </si>
  <si>
    <t xml:space="preserve"> Ramon</t>
  </si>
  <si>
    <t xml:space="preserve"> Edward Roland</t>
  </si>
  <si>
    <t xml:space="preserve"> Elizabeth Mussey</t>
  </si>
  <si>
    <t xml:space="preserve"> Hudson J C </t>
  </si>
  <si>
    <t xml:space="preserve"> Olof</t>
  </si>
  <si>
    <t xml:space="preserve"> Petar</t>
  </si>
  <si>
    <t xml:space="preserve"> Bridget Mary</t>
  </si>
  <si>
    <t xml:space="preserve"> Kristina Sofia</t>
  </si>
  <si>
    <t xml:space="preserve"> Roberta</t>
  </si>
  <si>
    <t xml:space="preserve"> Victor de Satode</t>
  </si>
  <si>
    <t xml:space="preserve"> Frederick Charles </t>
  </si>
  <si>
    <t xml:space="preserve"> George </t>
  </si>
  <si>
    <t xml:space="preserve"> Henry Margido</t>
  </si>
  <si>
    <t xml:space="preserve"> Fang</t>
  </si>
  <si>
    <t xml:space="preserve"> Eugene Patrick</t>
  </si>
  <si>
    <t xml:space="preserve"> James Robert</t>
  </si>
  <si>
    <t xml:space="preserve"> Martin </t>
  </si>
  <si>
    <t xml:space="preserve"> Satio</t>
  </si>
  <si>
    <t xml:space="preserve"> William Anderson</t>
  </si>
  <si>
    <t xml:space="preserve"> William A </t>
  </si>
  <si>
    <t xml:space="preserve"> Stefo</t>
  </si>
  <si>
    <t xml:space="preserve"> Anne</t>
  </si>
  <si>
    <t xml:space="preserve"> Janko</t>
  </si>
  <si>
    <t xml:space="preserve"> Sarkis</t>
  </si>
  <si>
    <t xml:space="preserve"> Louis Albert </t>
  </si>
  <si>
    <t xml:space="preserve"> Fared</t>
  </si>
  <si>
    <t xml:space="preserve"> Lucy</t>
  </si>
  <si>
    <t xml:space="preserve"> Johan Werner</t>
  </si>
  <si>
    <t xml:space="preserve"> Richard George</t>
  </si>
  <si>
    <t xml:space="preserve"> Phyllis May</t>
  </si>
  <si>
    <t xml:space="preserve"> Nakli</t>
  </si>
  <si>
    <t xml:space="preserve"> Joseph Jr</t>
  </si>
  <si>
    <t xml:space="preserve"> Catherine </t>
  </si>
  <si>
    <t xml:space="preserve"> Eva Miriam</t>
  </si>
  <si>
    <t xml:space="preserve"> Archibald Willingham</t>
  </si>
  <si>
    <t xml:space="preserve"> Samuel Beard</t>
  </si>
  <si>
    <t xml:space="preserve"> Hedwig Margaritha</t>
  </si>
  <si>
    <t xml:space="preserve"> Harriet R</t>
  </si>
  <si>
    <t xml:space="preserve"> Ingeborg Constanzia</t>
  </si>
  <si>
    <t xml:space="preserve"> Sigrid Elisabeth</t>
  </si>
  <si>
    <t xml:space="preserve"> Edward</t>
  </si>
  <si>
    <t xml:space="preserve"> Walter Donald</t>
  </si>
  <si>
    <t xml:space="preserve"> Arthur Ernest</t>
  </si>
  <si>
    <t xml:space="preserve"> Edward </t>
  </si>
  <si>
    <t xml:space="preserve"> Julian</t>
  </si>
  <si>
    <t xml:space="preserve"> Frank John</t>
  </si>
  <si>
    <t xml:space="preserve"> John Morgan Jr</t>
  </si>
  <si>
    <t xml:space="preserve"> John Borland Jr</t>
  </si>
  <si>
    <t xml:space="preserve"> Percival James R</t>
  </si>
  <si>
    <t xml:space="preserve"> Timothy</t>
  </si>
  <si>
    <t xml:space="preserve"> Fahim </t>
  </si>
  <si>
    <t xml:space="preserve"> Velin</t>
  </si>
  <si>
    <t xml:space="preserve"> George</t>
  </si>
  <si>
    <t xml:space="preserve"> Emil </t>
  </si>
  <si>
    <t xml:space="preserve"> Guillaume Joseph </t>
  </si>
  <si>
    <t xml:space="preserve"> Thomas Rowan</t>
  </si>
  <si>
    <t xml:space="preserve"> Husein</t>
  </si>
  <si>
    <t xml:space="preserve"> Robert Douglas</t>
  </si>
  <si>
    <t xml:space="preserve"> Alfred J</t>
  </si>
  <si>
    <t xml:space="preserve"> Ilia</t>
  </si>
  <si>
    <t xml:space="preserve"> Nils </t>
  </si>
  <si>
    <t xml:space="preserve"> Carl</t>
  </si>
  <si>
    <t xml:space="preserve"> Edward Dale </t>
  </si>
  <si>
    <t xml:space="preserve"> John Irwin </t>
  </si>
  <si>
    <t xml:space="preserve"> Alfred George John</t>
  </si>
  <si>
    <t xml:space="preserve"> Ethel</t>
  </si>
  <si>
    <t xml:space="preserve"> William Baird </t>
  </si>
  <si>
    <t xml:space="preserve"> Eiriik</t>
  </si>
  <si>
    <t xml:space="preserve"> Julie Rachel</t>
  </si>
  <si>
    <t xml:space="preserve"> John Borland </t>
  </si>
  <si>
    <t xml:space="preserve"> William James</t>
  </si>
  <si>
    <t xml:space="preserve"> John Hugo</t>
  </si>
  <si>
    <t xml:space="preserve"> Uscher</t>
  </si>
  <si>
    <t xml:space="preserve"> Ruth</t>
  </si>
  <si>
    <t xml:space="preserve"> John Denzil</t>
  </si>
  <si>
    <t xml:space="preserve"> Maxmillian</t>
  </si>
  <si>
    <t xml:space="preserve"> Eliezer</t>
  </si>
  <si>
    <t xml:space="preserve"> Matti</t>
  </si>
  <si>
    <t xml:space="preserve"> Walter Bertram </t>
  </si>
  <si>
    <t xml:space="preserve"> Jean Baptiste</t>
  </si>
  <si>
    <t xml:space="preserve"> Jessie Wills</t>
  </si>
  <si>
    <t xml:space="preserve"> Cosmo Edmund </t>
  </si>
  <si>
    <t xml:space="preserve"> Sidney Samuel </t>
  </si>
  <si>
    <t xml:space="preserve"> Petco</t>
  </si>
  <si>
    <t xml:space="preserve"> Ernst William</t>
  </si>
  <si>
    <t xml:space="preserve"> Harry </t>
  </si>
  <si>
    <t xml:space="preserve"> Edvard Bengtsson</t>
  </si>
  <si>
    <t xml:space="preserve"> Milan</t>
  </si>
  <si>
    <t xml:space="preserve"> Robert Williams</t>
  </si>
  <si>
    <t xml:space="preserve"> Elizabeth W</t>
  </si>
  <si>
    <t xml:space="preserve"> Anders Johan </t>
  </si>
  <si>
    <t xml:space="preserve"> Jose Neto</t>
  </si>
  <si>
    <t xml:space="preserve"> Margaret Jane</t>
  </si>
  <si>
    <t xml:space="preserve"> William Alfred</t>
  </si>
  <si>
    <t xml:space="preserve"> Alice</t>
  </si>
  <si>
    <t xml:space="preserve"> Ernst Gilbert</t>
  </si>
  <si>
    <t xml:space="preserve"> William Arthur </t>
  </si>
  <si>
    <t xml:space="preserve"> Marion Louise</t>
  </si>
  <si>
    <t xml:space="preserve"> Antoni</t>
  </si>
  <si>
    <t xml:space="preserve"> Edwin Nelson Jr</t>
  </si>
  <si>
    <t xml:space="preserve"> Sahid</t>
  </si>
  <si>
    <t xml:space="preserve"> Henry Damsgaard</t>
  </si>
  <si>
    <t xml:space="preserve"> David John "Dai"</t>
  </si>
  <si>
    <t xml:space="preserve"> Charles Leonard</t>
  </si>
  <si>
    <t xml:space="preserve"> Gretchen Fiske</t>
  </si>
  <si>
    <t xml:space="preserve"> Guentcho</t>
  </si>
  <si>
    <t xml:space="preserve"> Patrick D</t>
  </si>
  <si>
    <t xml:space="preserve"> Algernon Henry Wilson</t>
  </si>
  <si>
    <t xml:space="preserve"> Johan Svensson</t>
  </si>
  <si>
    <t xml:space="preserve"> Max</t>
  </si>
  <si>
    <t xml:space="preserve"> William Henry Marsh</t>
  </si>
  <si>
    <t xml:space="preserve"> Mabel</t>
  </si>
  <si>
    <t xml:space="preserve"> Antti Gustaf</t>
  </si>
  <si>
    <t xml:space="preserve"> Harvey</t>
  </si>
  <si>
    <t xml:space="preserve"> Juha </t>
  </si>
  <si>
    <t xml:space="preserve"> Percival</t>
  </si>
  <si>
    <t xml:space="preserve"> Hans Peder</t>
  </si>
  <si>
    <t xml:space="preserve"> Emma</t>
  </si>
  <si>
    <t xml:space="preserve"> Margit Elizabeth</t>
  </si>
  <si>
    <t xml:space="preserve"> Choong</t>
  </si>
  <si>
    <t xml:space="preserve"> Eugenie</t>
  </si>
  <si>
    <t xml:space="preserve"> Henry Sleeper</t>
  </si>
  <si>
    <t xml:space="preserve"> Liudevit</t>
  </si>
  <si>
    <t xml:space="preserve"> Oberst Alfons</t>
  </si>
  <si>
    <t xml:space="preserve"> Amy Zillah Elsie</t>
  </si>
  <si>
    <t xml:space="preserve"> Mito</t>
  </si>
  <si>
    <t xml:space="preserve"> Elsie</t>
  </si>
  <si>
    <t xml:space="preserve"> Johannes Halvorsen</t>
  </si>
  <si>
    <t xml:space="preserve"> Hanora "Norah"</t>
  </si>
  <si>
    <t xml:space="preserve"> Leonard Mark</t>
  </si>
  <si>
    <t xml:space="preserve"> John </t>
  </si>
  <si>
    <t xml:space="preserve"> George Floyd</t>
  </si>
  <si>
    <t xml:space="preserve"> Arthur Webster</t>
  </si>
  <si>
    <t xml:space="preserve"> Henry William</t>
  </si>
  <si>
    <t xml:space="preserve"> Mohamed</t>
  </si>
  <si>
    <t xml:space="preserve"> Edward Pomeroy</t>
  </si>
  <si>
    <t xml:space="preserve"> Peju</t>
  </si>
  <si>
    <t xml:space="preserve"> Eino William</t>
  </si>
  <si>
    <t xml:space="preserve"> Lewis</t>
  </si>
  <si>
    <t xml:space="preserve"> Reginald Fenton</t>
  </si>
  <si>
    <t xml:space="preserve"> Knud Paust</t>
  </si>
  <si>
    <t xml:space="preserve"> Jacob</t>
  </si>
  <si>
    <t xml:space="preserve"> Elmer Zebley </t>
  </si>
  <si>
    <t xml:space="preserve"> Thomas William Solomon </t>
  </si>
  <si>
    <t xml:space="preserve"> Thornton</t>
  </si>
  <si>
    <t xml:space="preserve"> Henry Michael</t>
  </si>
  <si>
    <t xml:space="preserve"> Charles</t>
  </si>
  <si>
    <t xml:space="preserve"> Ennis Hastings</t>
  </si>
  <si>
    <t xml:space="preserve"> Gustaf Hjalmar</t>
  </si>
  <si>
    <t xml:space="preserve"> Frederick Charles</t>
  </si>
  <si>
    <t xml:space="preserve"> Frederick </t>
  </si>
  <si>
    <t xml:space="preserve"> Thomas Drake Martinez</t>
  </si>
  <si>
    <t xml:space="preserve"> Katie</t>
  </si>
  <si>
    <t xml:space="preserve"> Hammad</t>
  </si>
  <si>
    <t xml:space="preserve"> Thor Anderson</t>
  </si>
  <si>
    <t xml:space="preserve"> Charles Edward</t>
  </si>
  <si>
    <t xml:space="preserve"> Thomas William Solomon</t>
  </si>
  <si>
    <t xml:space="preserve"> Joseph Philippe Lemercier</t>
  </si>
  <si>
    <t xml:space="preserve"> Jaako Arnold</t>
  </si>
  <si>
    <t xml:space="preserve"> Branko</t>
  </si>
  <si>
    <t xml:space="preserve"> Eberhard Thelander</t>
  </si>
  <si>
    <t xml:space="preserve"> Georgette Alexandra</t>
  </si>
  <si>
    <t xml:space="preserve"> Albert Adrian</t>
  </si>
  <si>
    <t xml:space="preserve"> Manca</t>
  </si>
  <si>
    <t xml:space="preserve"> Ali</t>
  </si>
  <si>
    <t xml:space="preserve"> Khalil</t>
  </si>
  <si>
    <t xml:space="preserve"> John Borland</t>
  </si>
  <si>
    <t xml:space="preserve"> Adolf Mathias Nicolai Olsen</t>
  </si>
  <si>
    <t xml:space="preserve"> John Jacob </t>
  </si>
  <si>
    <t xml:space="preserve"> Spencer Victor</t>
  </si>
  <si>
    <t xml:space="preserve"> Saiide</t>
  </si>
  <si>
    <t xml:space="preserve"> Henrik Juul</t>
  </si>
  <si>
    <t xml:space="preserve"> Henry Samuel </t>
  </si>
  <si>
    <t xml:space="preserve"> Florence "Fannie"</t>
  </si>
  <si>
    <t xml:space="preserve"> Edward Pennington</t>
  </si>
  <si>
    <t xml:space="preserve"> Halim Gonios </t>
  </si>
  <si>
    <t xml:space="preserve"> Berthe Antonine </t>
  </si>
  <si>
    <t xml:space="preserve"> Herman</t>
  </si>
  <si>
    <t xml:space="preserve"> Elmer Zebley</t>
  </si>
  <si>
    <t xml:space="preserve"> August Viktor</t>
  </si>
  <si>
    <t xml:space="preserve"> Peter Andreas Lauritz Andersen</t>
  </si>
  <si>
    <t xml:space="preserve"> Caroline Louise</t>
  </si>
  <si>
    <t xml:space="preserve"> Edwina Celia "Winnie"</t>
  </si>
  <si>
    <t xml:space="preserve"> Michael</t>
  </si>
  <si>
    <t xml:space="preserve"> Malkolm Joackim</t>
  </si>
  <si>
    <t xml:space="preserve"> Annie Jessie "Nina"</t>
  </si>
  <si>
    <t xml:space="preserve"> Svend Lauritz</t>
  </si>
  <si>
    <t xml:space="preserve"> Henry Price</t>
  </si>
  <si>
    <t xml:space="preserve"> Norman Campbell</t>
  </si>
  <si>
    <t xml:space="preserve"> Peter Henry </t>
  </si>
  <si>
    <t xml:space="preserve"> Margareth</t>
  </si>
  <si>
    <t xml:space="preserve"> Kurt Arnold Gottfrid</t>
  </si>
  <si>
    <t xml:space="preserve"> Pieta Sofia</t>
  </si>
  <si>
    <t xml:space="preserve"> Elisabeth Walton</t>
  </si>
  <si>
    <t xml:space="preserve"> Houssein G N</t>
  </si>
  <si>
    <t xml:space="preserve"> Robert J</t>
  </si>
  <si>
    <t xml:space="preserve"> Moses Aaron</t>
  </si>
  <si>
    <t xml:space="preserve"> Leslie</t>
  </si>
  <si>
    <t xml:space="preserve"> Gustave J</t>
  </si>
  <si>
    <t xml:space="preserve"> Kanio</t>
  </si>
  <si>
    <t xml:space="preserve"> Minko</t>
  </si>
  <si>
    <t xml:space="preserve"> Walter James</t>
  </si>
  <si>
    <t xml:space="preserve"> Tyrell William</t>
  </si>
  <si>
    <t xml:space="preserve"> Susan Parker "Suzette"</t>
  </si>
  <si>
    <t xml:space="preserve"> Neal</t>
  </si>
  <si>
    <t xml:space="preserve"> Edward Gifford</t>
  </si>
  <si>
    <t xml:space="preserve"> Rossmore Edward</t>
  </si>
  <si>
    <t xml:space="preserve"> Daniel Warner</t>
  </si>
  <si>
    <t xml:space="preserve"> Joan</t>
  </si>
  <si>
    <t xml:space="preserve"> Meier</t>
  </si>
  <si>
    <t xml:space="preserve"> Johannes Joseph</t>
  </si>
  <si>
    <t xml:space="preserve"> Samuel </t>
  </si>
  <si>
    <t xml:space="preserve"> Viljo</t>
  </si>
  <si>
    <t xml:space="preserve"> August Sigfrid</t>
  </si>
  <si>
    <t xml:space="preserve"> Percy Andrew</t>
  </si>
  <si>
    <t xml:space="preserve"> Thomas Leonard</t>
  </si>
  <si>
    <t xml:space="preserve"> of </t>
  </si>
  <si>
    <t xml:space="preserve"> Iisakki Antino Aijo</t>
  </si>
  <si>
    <t xml:space="preserve"> Hanna Assi</t>
  </si>
  <si>
    <t xml:space="preserve"> William Ernest </t>
  </si>
  <si>
    <t xml:space="preserve"> Hans Linus</t>
  </si>
  <si>
    <t xml:space="preserve"> John C </t>
  </si>
  <si>
    <t xml:space="preserve"> Arthur Jackson</t>
  </si>
  <si>
    <t xml:space="preserve"> Daniel J</t>
  </si>
  <si>
    <t xml:space="preserve"> Daniel Danielsen</t>
  </si>
  <si>
    <t xml:space="preserve"> Rene Aime</t>
  </si>
  <si>
    <t xml:space="preserve"> Niels Peder</t>
  </si>
  <si>
    <t xml:space="preserve"> Dibo</t>
  </si>
  <si>
    <t xml:space="preserve"> Elizabeth </t>
  </si>
  <si>
    <t xml:space="preserve"> Pehr Fabian Oliver Malkolm</t>
  </si>
  <si>
    <t xml:space="preserve"> Roger</t>
  </si>
  <si>
    <t xml:space="preserve"> Virginia Ethel</t>
  </si>
  <si>
    <t xml:space="preserve"> Thomas J</t>
  </si>
  <si>
    <t xml:space="preserve"> Edward Scott </t>
  </si>
  <si>
    <t xml:space="preserve"> Banoura</t>
  </si>
  <si>
    <t xml:space="preserve"> Albert Adrian </t>
  </si>
  <si>
    <t xml:space="preserve"> Milton Clyde</t>
  </si>
  <si>
    <t xml:space="preserve"> Andrew G</t>
  </si>
  <si>
    <t xml:space="preserve"> Abraham </t>
  </si>
  <si>
    <t xml:space="preserve"> George Hugh</t>
  </si>
  <si>
    <t xml:space="preserve"> Bertram Vere</t>
  </si>
  <si>
    <t xml:space="preserve"> Andrew "Andy"</t>
  </si>
  <si>
    <t xml:space="preserve"> Stella Anna</t>
  </si>
  <si>
    <t xml:space="preserve"> William Fisher</t>
  </si>
  <si>
    <t xml:space="preserve"> Ristiu</t>
  </si>
  <si>
    <t xml:space="preserve"> Richard</t>
  </si>
  <si>
    <t xml:space="preserve"> Alice </t>
  </si>
  <si>
    <t xml:space="preserve"> Mara</t>
  </si>
  <si>
    <t xml:space="preserve"> Yousseff</t>
  </si>
  <si>
    <t xml:space="preserve"> Jean Baptiste </t>
  </si>
  <si>
    <t xml:space="preserve"> Harvey </t>
  </si>
  <si>
    <t xml:space="preserve"> William Thornton II</t>
  </si>
  <si>
    <t xml:space="preserve"> Assad Alexander</t>
  </si>
  <si>
    <t xml:space="preserve"> Oskar Arvid</t>
  </si>
  <si>
    <t xml:space="preserve"> Karl Johan</t>
  </si>
  <si>
    <t xml:space="preserve"> Thomas Jr</t>
  </si>
  <si>
    <t xml:space="preserve"> Ellen Natalia</t>
  </si>
  <si>
    <t xml:space="preserve"> August</t>
  </si>
  <si>
    <t xml:space="preserve"> Norman Campbell </t>
  </si>
  <si>
    <t xml:space="preserve"> Richard James</t>
  </si>
  <si>
    <t xml:space="preserve"> Ebba Iris Alfrida</t>
  </si>
  <si>
    <t xml:space="preserve"> Ernest Portage</t>
  </si>
  <si>
    <t xml:space="preserve"> Wendla Maria</t>
  </si>
  <si>
    <t xml:space="preserve"> Albert</t>
  </si>
  <si>
    <t xml:space="preserve"> John Fredrik Alexander</t>
  </si>
  <si>
    <t xml:space="preserve"> Karl Thorsten</t>
  </si>
  <si>
    <t xml:space="preserve"> Charles Melville </t>
  </si>
  <si>
    <t xml:space="preserve"> Nikola</t>
  </si>
  <si>
    <t xml:space="preserve"> John George</t>
  </si>
  <si>
    <t xml:space="preserve"> Urho Abraham</t>
  </si>
  <si>
    <t xml:space="preserve"> Len</t>
  </si>
  <si>
    <t xml:space="preserve"> Andre</t>
  </si>
  <si>
    <t xml:space="preserve"> Thomas Joseph</t>
  </si>
  <si>
    <t xml:space="preserve"> George Nelson </t>
  </si>
  <si>
    <t xml:space="preserve"> Antoni </t>
  </si>
  <si>
    <t xml:space="preserve"> George Sibley</t>
  </si>
  <si>
    <t xml:space="preserve"> Amin</t>
  </si>
  <si>
    <t xml:space="preserve"> Owen George</t>
  </si>
  <si>
    <t xml:space="preserve"> Sara Rebecca</t>
  </si>
  <si>
    <t xml:space="preserve"> Jakob</t>
  </si>
  <si>
    <t xml:space="preserve"> Chang</t>
  </si>
  <si>
    <t xml:space="preserve"> Pierre</t>
  </si>
  <si>
    <t xml:space="preserve"> Ilmari Rudolf</t>
  </si>
  <si>
    <t xml:space="preserve"> Thomas Charles</t>
  </si>
  <si>
    <t xml:space="preserve"> Augusta</t>
  </si>
  <si>
    <t xml:space="preserve"> Peter L</t>
  </si>
  <si>
    <t xml:space="preserve"> Jeso</t>
  </si>
  <si>
    <t xml:space="preserve"> Anthony</t>
  </si>
  <si>
    <t xml:space="preserve"> Douglas Bullen</t>
  </si>
  <si>
    <t xml:space="preserve"> Marin</t>
  </si>
  <si>
    <t xml:space="preserve"> Samuel L </t>
  </si>
  <si>
    <t xml:space="preserve"> Sigvard Harald Elias</t>
  </si>
  <si>
    <t xml:space="preserve"> Nourelain</t>
  </si>
  <si>
    <t xml:space="preserve"> Mary Conover</t>
  </si>
  <si>
    <t xml:space="preserve"> Ernest Courtenay </t>
  </si>
  <si>
    <t xml:space="preserve"> Sam </t>
  </si>
  <si>
    <t xml:space="preserve"> George Dennick </t>
  </si>
  <si>
    <t xml:space="preserve"> Peter Denis </t>
  </si>
  <si>
    <t xml:space="preserve"> Solomon </t>
  </si>
  <si>
    <t xml:space="preserve"> Raihed</t>
  </si>
  <si>
    <t xml:space="preserve"> Claus Peter</t>
  </si>
  <si>
    <t xml:space="preserve"> Frederick Edward</t>
  </si>
  <si>
    <t xml:space="preserve"> Frederick Joel </t>
  </si>
  <si>
    <t xml:space="preserve"> Dorothy Edith "Dolly"</t>
  </si>
  <si>
    <t xml:space="preserve"> John William</t>
  </si>
  <si>
    <t xml:space="preserve"> Asuncion</t>
  </si>
  <si>
    <t xml:space="preserve"> Washington Augustus II</t>
  </si>
  <si>
    <t xml:space="preserve"> Philemon</t>
  </si>
  <si>
    <t xml:space="preserve"> Harold Theodor</t>
  </si>
  <si>
    <t xml:space="preserve"> Cerin</t>
  </si>
  <si>
    <t xml:space="preserve"> Richard Leonard </t>
  </si>
  <si>
    <t xml:space="preserve"> Frans Olof</t>
  </si>
  <si>
    <t xml:space="preserve"> Adele Kiamie "Jane"</t>
  </si>
  <si>
    <t xml:space="preserve"> Alfred Ossian</t>
  </si>
  <si>
    <t xml:space="preserve"> Nedelio</t>
  </si>
  <si>
    <t xml:space="preserve"> Kristo</t>
  </si>
  <si>
    <t xml:space="preserve"> Thomas Jr </t>
  </si>
  <si>
    <t xml:space="preserve"> Johann</t>
  </si>
  <si>
    <t xml:space="preserve"> Gerda Ulrika</t>
  </si>
  <si>
    <t xml:space="preserve"> Frederick James</t>
  </si>
  <si>
    <t xml:space="preserve"> Henry Jr</t>
  </si>
  <si>
    <t xml:space="preserve"> Juozas</t>
  </si>
  <si>
    <t xml:space="preserve"> Margaret Edith</t>
  </si>
  <si>
    <t xml:space="preserve"> Catherine Helen "Carrie"</t>
  </si>
  <si>
    <t xml:space="preserve"> Karl Howell</t>
  </si>
  <si>
    <t>Family Size</t>
  </si>
  <si>
    <t>Age Group</t>
  </si>
  <si>
    <t>Southampton</t>
  </si>
  <si>
    <t>Cherbourg</t>
  </si>
  <si>
    <t>Queenstown</t>
  </si>
  <si>
    <t>Fare Category</t>
  </si>
  <si>
    <t>Age Group ifs</t>
  </si>
  <si>
    <t>Not Survived</t>
  </si>
  <si>
    <t>Male</t>
  </si>
  <si>
    <t>Adult</t>
  </si>
  <si>
    <t>Low</t>
  </si>
  <si>
    <t>Female</t>
  </si>
  <si>
    <t>Child</t>
  </si>
  <si>
    <t>Teen</t>
  </si>
  <si>
    <t>Medium</t>
  </si>
  <si>
    <t>Old Age</t>
  </si>
  <si>
    <t>High</t>
  </si>
  <si>
    <t>Count of PassengerId</t>
  </si>
  <si>
    <t>KPI- Key Performance Indicator</t>
  </si>
  <si>
    <t>Total Passanger</t>
  </si>
  <si>
    <t>Row Labels</t>
  </si>
  <si>
    <t>Grand Total</t>
  </si>
  <si>
    <t>Survival Rate (%)</t>
  </si>
  <si>
    <t>Survival Rate by Gender</t>
  </si>
  <si>
    <t>Min of Age</t>
  </si>
  <si>
    <t>Max of Age2</t>
  </si>
  <si>
    <t>Average of Age3</t>
  </si>
  <si>
    <t>Min Age</t>
  </si>
  <si>
    <t>Max Age</t>
  </si>
  <si>
    <t>Avg. Age</t>
  </si>
  <si>
    <t>Survival Rate of Embarked</t>
  </si>
  <si>
    <t>Family size</t>
  </si>
  <si>
    <t>Min of Fare</t>
  </si>
  <si>
    <t>Max of Fare2</t>
  </si>
  <si>
    <t>Average of Fare3</t>
  </si>
  <si>
    <t>Min Fare</t>
  </si>
  <si>
    <t>Max Fare</t>
  </si>
  <si>
    <t>Avg. Fare</t>
  </si>
  <si>
    <t>TITANIC SURVIVAL ANALYSIS DASHBOARD</t>
  </si>
  <si>
    <t>Count of New Survived</t>
  </si>
  <si>
    <t>Third</t>
  </si>
  <si>
    <t>First</t>
  </si>
  <si>
    <t>Second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</si>
</sst>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33" borderId="0" xfId="0" applyFill="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0" borderId="0" xfId="0" pivotButton="1" applyAlignment="1">
      <alignment horizontal="left"/>
    </xf>
    <xf numFmtId="10" fontId="0" fillId="0" borderId="0" xfId="0" applyNumberFormat="1" applyAlignment="1">
      <alignment horizontal="left"/>
    </xf>
    <xf numFmtId="0" fontId="0" fillId="34" borderId="0" xfId="0" applyFill="1"/>
    <xf numFmtId="0" fontId="19" fillId="34" borderId="0" xfId="0" applyFont="1" applyFill="1" applyAlignment="1">
      <alignment horizontal="center"/>
    </xf>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left"/>
    </dxf>
    <dxf>
      <alignment horizontal="left"/>
    </dxf>
    <dxf>
      <alignment horizontal="left"/>
    </dxf>
    <dxf>
      <alignment horizontal="left"/>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wrapText="0"/>
    </dxf>
    <dxf>
      <alignment wrapText="0"/>
    </dxf>
    <dxf>
      <alignment wrapText="0"/>
    </dxf>
    <dxf>
      <alignment wrapText="0"/>
    </dxf>
  </dxfs>
  <tableStyles count="0" defaultTableStyle="TableStyleMedium2" defaultPivotStyle="PivotStyleLight16"/>
  <colors>
    <mruColors>
      <color rgb="FFFF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[Titanic-Dataset.xlsx]Pivot Table!PivotTable2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accent6">
            <a:lumMod val="75000"/>
          </a:schemeClr>
        </a:solidFill>
        <a:ln>
          <a:noFill/>
        </a:ln>
        <a:effectLst/>
        <a:sp3d/>
      </c:spPr>
    </c:floor>
    <c:sideWall>
      <c:thickness val="0"/>
      <c:spPr>
        <a:solidFill>
          <a:schemeClr val="accent6">
            <a:lumMod val="75000"/>
          </a:schemeClr>
        </a:solidFill>
        <a:ln>
          <a:noFill/>
        </a:ln>
        <a:effectLst/>
        <a:sp3d/>
      </c:spPr>
    </c:sideWall>
    <c:backWall>
      <c:thickness val="0"/>
      <c:spPr>
        <a:solidFill>
          <a:schemeClr val="accent6">
            <a:lumMod val="75000"/>
          </a:schemeClr>
        </a:solidFill>
        <a:ln>
          <a:noFill/>
        </a:ln>
        <a:effectLst/>
        <a:sp3d/>
      </c:spPr>
    </c:backWall>
    <c:plotArea>
      <c:layout>
        <c:manualLayout>
          <c:layoutTarget val="inner"/>
          <c:xMode val="edge"/>
          <c:yMode val="edge"/>
          <c:x val="0.20178816357632715"/>
          <c:y val="0"/>
          <c:w val="0.73346428470634717"/>
          <c:h val="0.85426817233984464"/>
        </c:manualLayout>
      </c:layout>
      <c:bar3DChart>
        <c:barDir val="bar"/>
        <c:grouping val="clustered"/>
        <c:varyColors val="0"/>
        <c:ser>
          <c:idx val="0"/>
          <c:order val="0"/>
          <c:tx>
            <c:strRef>
              <c:f>'Pivot Table'!$B$5</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Table'!$A$6:$A$8</c:f>
              <c:strCache>
                <c:ptCount val="2"/>
                <c:pt idx="0">
                  <c:v>Not Survived</c:v>
                </c:pt>
                <c:pt idx="1">
                  <c:v>Survived</c:v>
                </c:pt>
              </c:strCache>
            </c:strRef>
          </c:cat>
          <c:val>
            <c:numRef>
              <c:f>'Pivot Table'!$B$6:$B$8</c:f>
              <c:numCache>
                <c:formatCode>General</c:formatCode>
                <c:ptCount val="2"/>
                <c:pt idx="0">
                  <c:v>549</c:v>
                </c:pt>
                <c:pt idx="1">
                  <c:v>342</c:v>
                </c:pt>
              </c:numCache>
            </c:numRef>
          </c:val>
          <c:shape val="cylinder"/>
          <c:extLst>
            <c:ext xmlns:c16="http://schemas.microsoft.com/office/drawing/2014/chart" uri="{C3380CC4-5D6E-409C-BE32-E72D297353CC}">
              <c16:uniqueId val="{00000000-8000-40BA-9190-CF3815B5829D}"/>
            </c:ext>
          </c:extLst>
        </c:ser>
        <c:dLbls>
          <c:showLegendKey val="0"/>
          <c:showVal val="1"/>
          <c:showCatName val="0"/>
          <c:showSerName val="0"/>
          <c:showPercent val="0"/>
          <c:showBubbleSize val="0"/>
        </c:dLbls>
        <c:gapWidth val="160"/>
        <c:gapDepth val="0"/>
        <c:shape val="box"/>
        <c:axId val="1822248383"/>
        <c:axId val="1822248863"/>
        <c:axId val="0"/>
      </c:bar3DChart>
      <c:catAx>
        <c:axId val="1822248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2248863"/>
        <c:crosses val="autoZero"/>
        <c:auto val="1"/>
        <c:lblAlgn val="ctr"/>
        <c:lblOffset val="100"/>
        <c:noMultiLvlLbl val="0"/>
      </c:catAx>
      <c:valAx>
        <c:axId val="18222488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822248383"/>
        <c:crosses val="autoZero"/>
        <c:crossBetween val="between"/>
      </c:valAx>
      <c:spPr>
        <a:solidFill>
          <a:schemeClr val="accent6">
            <a:lumMod val="75000"/>
          </a:schemeClr>
        </a:solidFill>
        <a:ln>
          <a:noFill/>
        </a:ln>
        <a:effectLst>
          <a:glow rad="127000">
            <a:schemeClr val="accent6">
              <a:lumMod val="50000"/>
              <a:alpha val="75000"/>
            </a:schemeClr>
          </a:glow>
          <a:outerShdw blurRad="50800" dist="50800" dir="5400000" algn="ctr" rotWithShape="0">
            <a:schemeClr val="accent6">
              <a:lumMod val="20000"/>
              <a:lumOff val="80000"/>
            </a:schemeClr>
          </a:outerShdw>
          <a:softEdge rad="1016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[Titanic-Dataset.xlsx]Pivot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chemeClr val="bg1">
                    <a:lumMod val="85000"/>
                  </a:schemeClr>
                </a:solidFill>
              </a:rPr>
              <a:t>Servivals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lumMod val="60000"/>
              <a:lumOff val="4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outerShdw blurRad="317500" algn="ctr" rotWithShape="0">
              <a:prstClr val="black">
                <a:alpha val="25000"/>
              </a:prstClr>
            </a:outerShdw>
          </a:effectLst>
        </c:spPr>
      </c:pivotFmt>
      <c:pivotFmt>
        <c:idx val="6"/>
        <c:spPr>
          <a:solidFill>
            <a:schemeClr val="accent4">
              <a:lumMod val="60000"/>
              <a:lumOff val="40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Table'!$B$11</c:f>
              <c:strCache>
                <c:ptCount val="1"/>
                <c:pt idx="0">
                  <c:v>Total</c:v>
                </c:pt>
              </c:strCache>
            </c:strRef>
          </c:tx>
          <c:spPr>
            <a:solidFill>
              <a:schemeClr val="accent4">
                <a:lumMod val="60000"/>
                <a:lumOff val="40000"/>
              </a:schemeClr>
            </a:solidFill>
          </c:spPr>
          <c:dPt>
            <c:idx val="0"/>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DE7-4992-9175-39BECEA2A787}"/>
              </c:ext>
            </c:extLst>
          </c:dPt>
          <c:dPt>
            <c:idx val="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DE7-4992-9175-39BECEA2A7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Table'!$A$12:$A$14</c:f>
              <c:strCache>
                <c:ptCount val="2"/>
                <c:pt idx="0">
                  <c:v>Female</c:v>
                </c:pt>
                <c:pt idx="1">
                  <c:v>Male</c:v>
                </c:pt>
              </c:strCache>
            </c:strRef>
          </c:cat>
          <c:val>
            <c:numRef>
              <c:f>'Pivot Table'!$B$12:$B$14</c:f>
              <c:numCache>
                <c:formatCode>General</c:formatCode>
                <c:ptCount val="2"/>
                <c:pt idx="0">
                  <c:v>314</c:v>
                </c:pt>
                <c:pt idx="1">
                  <c:v>577</c:v>
                </c:pt>
              </c:numCache>
            </c:numRef>
          </c:val>
          <c:extLst>
            <c:ext xmlns:c16="http://schemas.microsoft.com/office/drawing/2014/chart" uri="{C3380CC4-5D6E-409C-BE32-E72D297353CC}">
              <c16:uniqueId val="{00000004-CDE7-4992-9175-39BECEA2A78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[Titanic-Dataset.xlsx]Pivot Table!PivotTable5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lumMod val="85000"/>
                  </a:schemeClr>
                </a:solidFill>
              </a:rPr>
              <a:t>Servival</a:t>
            </a:r>
            <a:r>
              <a:rPr lang="en-US" b="1" baseline="0">
                <a:solidFill>
                  <a:schemeClr val="bg1">
                    <a:lumMod val="85000"/>
                  </a:schemeClr>
                </a:solidFill>
              </a:rPr>
              <a:t> By Embarked</a:t>
            </a:r>
            <a:endParaRPr lang="en-US" b="1">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diagBrick">
            <a:fgClr>
              <a:schemeClr val="accent6">
                <a:lumMod val="40000"/>
                <a:lumOff val="60000"/>
              </a:schemeClr>
            </a:fgClr>
            <a:bgClr>
              <a:schemeClr val="bg1"/>
            </a:bgClr>
          </a:pattFill>
          <a:ln>
            <a:noFill/>
          </a:ln>
          <a:effectLst>
            <a:glow rad="101600">
              <a:schemeClr val="accent6">
                <a:lumMod val="50000"/>
              </a:schemeClr>
            </a:glow>
            <a:outerShdw blurRad="50800" dist="38100" dir="5400000" algn="t"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pattFill prst="diagBrick">
              <a:fgClr>
                <a:schemeClr val="accent6">
                  <a:lumMod val="40000"/>
                  <a:lumOff val="60000"/>
                </a:schemeClr>
              </a:fgClr>
              <a:bgClr>
                <a:schemeClr val="bg1"/>
              </a:bgClr>
            </a:pattFill>
            <a:ln>
              <a:noFill/>
            </a:ln>
            <a:effectLst>
              <a:glow rad="101600">
                <a:schemeClr val="accent6">
                  <a:lumMod val="50000"/>
                </a:schemeClr>
              </a:glow>
              <a:outerShdw blurRad="50800" dist="38100" dir="5400000" algn="t" rotWithShape="0">
                <a:prstClr val="black">
                  <a:alpha val="40000"/>
                </a:prstClr>
              </a:outerShdw>
              <a:softEdge rad="12700"/>
            </a:effectLst>
          </c:spPr>
          <c:invertIfNegative val="0"/>
          <c:cat>
            <c:strRef>
              <c:f>'Pivot Table'!$A$21:$A$24</c:f>
              <c:strCache>
                <c:ptCount val="3"/>
                <c:pt idx="0">
                  <c:v>Queenstown</c:v>
                </c:pt>
                <c:pt idx="1">
                  <c:v>Cherbourg</c:v>
                </c:pt>
                <c:pt idx="2">
                  <c:v>Southampton</c:v>
                </c:pt>
              </c:strCache>
            </c:strRef>
          </c:cat>
          <c:val>
            <c:numRef>
              <c:f>'Pivot Table'!$B$21:$B$24</c:f>
              <c:numCache>
                <c:formatCode>General</c:formatCode>
                <c:ptCount val="3"/>
                <c:pt idx="0">
                  <c:v>77</c:v>
                </c:pt>
                <c:pt idx="1">
                  <c:v>168</c:v>
                </c:pt>
                <c:pt idx="2">
                  <c:v>646</c:v>
                </c:pt>
              </c:numCache>
            </c:numRef>
          </c:val>
          <c:extLst>
            <c:ext xmlns:c16="http://schemas.microsoft.com/office/drawing/2014/chart" uri="{C3380CC4-5D6E-409C-BE32-E72D297353CC}">
              <c16:uniqueId val="{00000000-575E-492D-9B94-7398044740A7}"/>
            </c:ext>
          </c:extLst>
        </c:ser>
        <c:dLbls>
          <c:showLegendKey val="0"/>
          <c:showVal val="0"/>
          <c:showCatName val="0"/>
          <c:showSerName val="0"/>
          <c:showPercent val="0"/>
          <c:showBubbleSize val="0"/>
        </c:dLbls>
        <c:gapWidth val="182"/>
        <c:axId val="1955042783"/>
        <c:axId val="1955043263"/>
      </c:barChart>
      <c:catAx>
        <c:axId val="1955042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crossAx val="1955043263"/>
        <c:crosses val="autoZero"/>
        <c:auto val="1"/>
        <c:lblAlgn val="ctr"/>
        <c:lblOffset val="100"/>
        <c:noMultiLvlLbl val="0"/>
      </c:catAx>
      <c:valAx>
        <c:axId val="1955043263"/>
        <c:scaling>
          <c:orientation val="minMax"/>
        </c:scaling>
        <c:delete val="1"/>
        <c:axPos val="b"/>
        <c:numFmt formatCode="General" sourceLinked="1"/>
        <c:majorTickMark val="out"/>
        <c:minorTickMark val="none"/>
        <c:tickLblPos val="nextTo"/>
        <c:crossAx val="1955042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[Titanic-Dataset.xlsx]Pivot Table!PivotTable6</c:name>
    <c:fmtId val="3"/>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sz="1400">
                <a:solidFill>
                  <a:schemeClr val="bg1">
                    <a:lumMod val="85000"/>
                  </a:schemeClr>
                </a:solidFill>
              </a:rPr>
              <a:t>Survivals</a:t>
            </a:r>
            <a:r>
              <a:rPr lang="en-US" sz="1400" baseline="0">
                <a:solidFill>
                  <a:schemeClr val="bg1">
                    <a:lumMod val="85000"/>
                  </a:schemeClr>
                </a:solidFill>
              </a:rPr>
              <a:t> By Family-Size</a:t>
            </a:r>
            <a:endParaRPr lang="en-US" sz="1400">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2728425621242"/>
          <c:y val="0.17370881419733847"/>
          <c:w val="0.83488846202859313"/>
          <c:h val="0.66437340649255361"/>
        </c:manualLayout>
      </c:layout>
      <c:barChart>
        <c:barDir val="col"/>
        <c:grouping val="clustered"/>
        <c:varyColors val="0"/>
        <c:ser>
          <c:idx val="0"/>
          <c:order val="0"/>
          <c:tx>
            <c:strRef>
              <c:f>'Pivot Table'!$B$27</c:f>
              <c:strCache>
                <c:ptCount val="1"/>
                <c:pt idx="0">
                  <c:v>Total</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Table'!$A$28:$A$37</c:f>
              <c:strCache>
                <c:ptCount val="9"/>
                <c:pt idx="0">
                  <c:v>1</c:v>
                </c:pt>
                <c:pt idx="1">
                  <c:v>2</c:v>
                </c:pt>
                <c:pt idx="2">
                  <c:v>3</c:v>
                </c:pt>
                <c:pt idx="3">
                  <c:v>4</c:v>
                </c:pt>
                <c:pt idx="4">
                  <c:v>6</c:v>
                </c:pt>
                <c:pt idx="5">
                  <c:v>5</c:v>
                </c:pt>
                <c:pt idx="6">
                  <c:v>7</c:v>
                </c:pt>
                <c:pt idx="7">
                  <c:v>11</c:v>
                </c:pt>
                <c:pt idx="8">
                  <c:v>8</c:v>
                </c:pt>
              </c:strCache>
            </c:strRef>
          </c:cat>
          <c:val>
            <c:numRef>
              <c:f>'Pivot Table'!$B$28:$B$37</c:f>
              <c:numCache>
                <c:formatCode>General</c:formatCode>
                <c:ptCount val="9"/>
                <c:pt idx="0">
                  <c:v>537</c:v>
                </c:pt>
                <c:pt idx="1">
                  <c:v>161</c:v>
                </c:pt>
                <c:pt idx="2">
                  <c:v>102</c:v>
                </c:pt>
                <c:pt idx="3">
                  <c:v>29</c:v>
                </c:pt>
                <c:pt idx="4">
                  <c:v>22</c:v>
                </c:pt>
                <c:pt idx="5">
                  <c:v>15</c:v>
                </c:pt>
                <c:pt idx="6">
                  <c:v>12</c:v>
                </c:pt>
                <c:pt idx="7">
                  <c:v>7</c:v>
                </c:pt>
                <c:pt idx="8">
                  <c:v>6</c:v>
                </c:pt>
              </c:numCache>
            </c:numRef>
          </c:val>
          <c:extLst>
            <c:ext xmlns:c16="http://schemas.microsoft.com/office/drawing/2014/chart" uri="{C3380CC4-5D6E-409C-BE32-E72D297353CC}">
              <c16:uniqueId val="{00000000-5E30-4F4C-9A3E-6145EFB4C774}"/>
            </c:ext>
          </c:extLst>
        </c:ser>
        <c:dLbls>
          <c:dLblPos val="outEnd"/>
          <c:showLegendKey val="0"/>
          <c:showVal val="1"/>
          <c:showCatName val="0"/>
          <c:showSerName val="0"/>
          <c:showPercent val="0"/>
          <c:showBubbleSize val="0"/>
        </c:dLbls>
        <c:gapWidth val="100"/>
        <c:overlap val="-24"/>
        <c:axId val="18021375"/>
        <c:axId val="18018495"/>
      </c:barChart>
      <c:catAx>
        <c:axId val="18021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18495"/>
        <c:crosses val="autoZero"/>
        <c:auto val="1"/>
        <c:lblAlgn val="ctr"/>
        <c:lblOffset val="100"/>
        <c:noMultiLvlLbl val="0"/>
      </c:catAx>
      <c:valAx>
        <c:axId val="18018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21375"/>
        <c:crosses val="autoZero"/>
        <c:crossBetween val="between"/>
      </c:valAx>
      <c:spPr>
        <a:solidFill>
          <a:schemeClr val="accent6">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50000"/>
          <a:alpha val="92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[Titanic-Dataset.xlsx]Pivot Table!PivotTable10</c:name>
    <c:fmtId val="3"/>
  </c:pivotSource>
  <c:chart>
    <c:title>
      <c:tx>
        <c:rich>
          <a:bodyPr rot="0" spcFirstLastPara="1" vertOverflow="ellipsis" vert="horz" wrap="square" anchor="ctr" anchorCtr="1"/>
          <a:lstStyle/>
          <a:p>
            <a:pPr>
              <a:defRPr sz="1400" b="1" i="0" u="none" strike="noStrike" kern="1200" baseline="0">
                <a:solidFill>
                  <a:schemeClr val="bg1">
                    <a:lumMod val="85000"/>
                  </a:schemeClr>
                </a:solidFill>
                <a:latin typeface="+mn-lt"/>
                <a:ea typeface="+mn-ea"/>
                <a:cs typeface="+mn-cs"/>
              </a:defRPr>
            </a:pPr>
            <a:r>
              <a:rPr lang="en-US" sz="1400">
                <a:solidFill>
                  <a:schemeClr val="bg1">
                    <a:lumMod val="85000"/>
                  </a:schemeClr>
                </a:solidFill>
              </a:rPr>
              <a:t>Survivals By Class</a:t>
            </a:r>
          </a:p>
        </c:rich>
      </c:tx>
      <c:layout>
        <c:manualLayout>
          <c:xMode val="edge"/>
          <c:yMode val="edge"/>
          <c:x val="0.17781179684458492"/>
          <c:y val="6.679186755225256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lumMod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outerShdw blurRad="317500" algn="ctr" rotWithShape="0">
              <a:prstClr val="black">
                <a:alpha val="25000"/>
              </a:prstClr>
            </a:outerShdw>
          </a:effectLst>
        </c:spPr>
      </c:pivotFmt>
      <c:pivotFmt>
        <c:idx val="7"/>
        <c:spPr>
          <a:solidFill>
            <a:schemeClr val="accent6">
              <a:lumMod val="60000"/>
              <a:lumOff val="40000"/>
            </a:schemeClr>
          </a:solidFill>
          <a:ln>
            <a:noFill/>
          </a:ln>
          <a:effectLst>
            <a:outerShdw blurRad="317500" algn="ctr" rotWithShape="0">
              <a:prstClr val="black">
                <a:alpha val="25000"/>
              </a:prstClr>
            </a:outerShdw>
          </a:effectLst>
        </c:spPr>
      </c:pivotFmt>
      <c:pivotFmt>
        <c:idx val="8"/>
        <c:spPr>
          <a:solidFill>
            <a:schemeClr val="accent4">
              <a:lumMod val="7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9330117651716608"/>
          <c:y val="0.31497095445389406"/>
          <c:w val="0.54125992253330601"/>
          <c:h val="0.59952959956029694"/>
        </c:manualLayout>
      </c:layout>
      <c:doughnutChart>
        <c:varyColors val="1"/>
        <c:ser>
          <c:idx val="0"/>
          <c:order val="0"/>
          <c:tx>
            <c:strRef>
              <c:f>'Pivot Table'!$C$53</c:f>
              <c:strCache>
                <c:ptCount val="1"/>
                <c:pt idx="0">
                  <c:v>Total</c:v>
                </c:pt>
              </c:strCache>
            </c:strRef>
          </c:tx>
          <c:spPr>
            <a:solidFill>
              <a:schemeClr val="accent6">
                <a:lumMod val="50000"/>
              </a:schemeClr>
            </a:solidFill>
          </c:spPr>
          <c:dPt>
            <c:idx val="0"/>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730-4069-81AF-36173665EB01}"/>
              </c:ext>
            </c:extLst>
          </c:dPt>
          <c:dPt>
            <c:idx val="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730-4069-81AF-36173665EB01}"/>
              </c:ext>
            </c:extLst>
          </c:dPt>
          <c:dPt>
            <c:idx val="2"/>
            <c:bubble3D val="0"/>
            <c:spPr>
              <a:solidFill>
                <a:schemeClr val="accent4">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730-4069-81AF-36173665EB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Table'!$B$54:$B$57</c:f>
              <c:strCache>
                <c:ptCount val="3"/>
                <c:pt idx="0">
                  <c:v>1</c:v>
                </c:pt>
                <c:pt idx="1">
                  <c:v>2</c:v>
                </c:pt>
                <c:pt idx="2">
                  <c:v>3</c:v>
                </c:pt>
              </c:strCache>
            </c:strRef>
          </c:cat>
          <c:val>
            <c:numRef>
              <c:f>'Pivot Table'!$C$54:$C$57</c:f>
              <c:numCache>
                <c:formatCode>General</c:formatCode>
                <c:ptCount val="3"/>
                <c:pt idx="0">
                  <c:v>216</c:v>
                </c:pt>
                <c:pt idx="1">
                  <c:v>184</c:v>
                </c:pt>
                <c:pt idx="2">
                  <c:v>491</c:v>
                </c:pt>
              </c:numCache>
            </c:numRef>
          </c:val>
          <c:extLst>
            <c:ext xmlns:c16="http://schemas.microsoft.com/office/drawing/2014/chart" uri="{C3380CC4-5D6E-409C-BE32-E72D297353CC}">
              <c16:uniqueId val="{00000006-1730-4069-81AF-36173665EB0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9638224820575088"/>
          <c:y val="0.38076757033836284"/>
          <c:w val="0.17009724027652223"/>
          <c:h val="0.43085542324832604"/>
        </c:manualLayout>
      </c:layout>
      <c:overlay val="0"/>
      <c:spPr>
        <a:solidFill>
          <a:schemeClr val="accent6">
            <a:lumMod val="50000"/>
          </a:schemeClr>
        </a:solidFill>
        <a:ln>
          <a:noFill/>
        </a:ln>
        <a:effectLst/>
      </c:spPr>
      <c:txPr>
        <a:bodyPr rot="0" spcFirstLastPara="1" vertOverflow="ellipsis" vert="horz" wrap="square" anchor="ctr" anchorCtr="1"/>
        <a:lstStyle/>
        <a:p>
          <a:pPr>
            <a:defRPr sz="105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60000"/>
          <a:lumOff val="40000"/>
        </a:schemeClr>
      </a:solidFill>
      <a:round/>
    </a:ln>
    <a:effectLst>
      <a:outerShdw blurRad="50800" dist="38100" dir="16200000" rotWithShape="0">
        <a:schemeClr val="tx1">
          <a:lumMod val="75000"/>
          <a:lumOff val="25000"/>
          <a:alpha val="40000"/>
        </a:schemeClr>
      </a:outerShdw>
      <a:softEdge rad="50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[Titanic-Dataset.xlsx]Pivot Table!PivotTable7</c:name>
    <c:fmtId val="12"/>
  </c:pivotSource>
  <c:chart>
    <c:title>
      <c:tx>
        <c:rich>
          <a:bodyPr rot="0" spcFirstLastPara="1" vertOverflow="ellipsis" vert="horz" wrap="square" anchor="ctr" anchorCtr="1"/>
          <a:lstStyle/>
          <a:p>
            <a:pPr>
              <a:defRPr sz="1050" b="1" i="0" u="none" strike="noStrike" kern="1200" spc="0" baseline="0">
                <a:solidFill>
                  <a:schemeClr val="bg1">
                    <a:lumMod val="85000"/>
                  </a:schemeClr>
                </a:solidFill>
                <a:latin typeface="+mn-lt"/>
                <a:ea typeface="+mn-ea"/>
                <a:cs typeface="+mn-cs"/>
              </a:defRPr>
            </a:pPr>
            <a:r>
              <a:rPr lang="en-IN" sz="1050" b="1">
                <a:solidFill>
                  <a:schemeClr val="bg1">
                    <a:lumMod val="85000"/>
                  </a:schemeClr>
                </a:solidFill>
              </a:rPr>
              <a:t>Total Servivals By Fare-Category</a:t>
            </a:r>
          </a:p>
        </c:rich>
      </c:tx>
      <c:layout>
        <c:manualLayout>
          <c:xMode val="edge"/>
          <c:yMode val="edge"/>
          <c:x val="0.13976160068114091"/>
          <c:y val="3.776156200056989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dLbl>
          <c:idx val="0"/>
          <c:layout>
            <c:manualLayout>
              <c:x val="-9.717553721394571E-17"/>
              <c:y val="-0.3067130839847864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Table'!$B$40</c:f>
              <c:strCache>
                <c:ptCount val="1"/>
                <c:pt idx="0">
                  <c:v>Total</c:v>
                </c:pt>
              </c:strCache>
            </c:strRef>
          </c:tx>
          <c:spPr>
            <a:solidFill>
              <a:schemeClr val="accent6">
                <a:lumMod val="40000"/>
                <a:lumOff val="60000"/>
              </a:schemeClr>
            </a:solidFill>
            <a:ln>
              <a:noFill/>
            </a:ln>
            <a:effectLst/>
          </c:spPr>
          <c:invertIfNegative val="0"/>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169A-4AA7-BF04-5B568E4EE740}"/>
              </c:ext>
            </c:extLst>
          </c:dPt>
          <c:dLbls>
            <c:dLbl>
              <c:idx val="2"/>
              <c:layout>
                <c:manualLayout>
                  <c:x val="-9.717553721394571E-17"/>
                  <c:y val="-0.306713083984786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9A-4AA7-BF04-5B568E4EE740}"/>
                </c:ext>
              </c:extLst>
            </c:dLbl>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Table'!$A$41:$A$44</c:f>
              <c:strCache>
                <c:ptCount val="3"/>
                <c:pt idx="0">
                  <c:v>Low</c:v>
                </c:pt>
                <c:pt idx="1">
                  <c:v>Medium</c:v>
                </c:pt>
                <c:pt idx="2">
                  <c:v>High</c:v>
                </c:pt>
              </c:strCache>
            </c:strRef>
          </c:cat>
          <c:val>
            <c:numRef>
              <c:f>'Pivot Table'!$B$41:$B$44</c:f>
              <c:numCache>
                <c:formatCode>General</c:formatCode>
                <c:ptCount val="3"/>
                <c:pt idx="0">
                  <c:v>10</c:v>
                </c:pt>
                <c:pt idx="1">
                  <c:v>40</c:v>
                </c:pt>
                <c:pt idx="2">
                  <c:v>841</c:v>
                </c:pt>
              </c:numCache>
            </c:numRef>
          </c:val>
          <c:extLst>
            <c:ext xmlns:c16="http://schemas.microsoft.com/office/drawing/2014/chart" uri="{C3380CC4-5D6E-409C-BE32-E72D297353CC}">
              <c16:uniqueId val="{00000000-169A-4AA7-BF04-5B568E4EE740}"/>
            </c:ext>
          </c:extLst>
        </c:ser>
        <c:dLbls>
          <c:dLblPos val="ctr"/>
          <c:showLegendKey val="0"/>
          <c:showVal val="1"/>
          <c:showCatName val="0"/>
          <c:showSerName val="0"/>
          <c:showPercent val="0"/>
          <c:showBubbleSize val="0"/>
        </c:dLbls>
        <c:gapWidth val="150"/>
        <c:overlap val="100"/>
        <c:axId val="2060982255"/>
        <c:axId val="2060984175"/>
      </c:barChart>
      <c:catAx>
        <c:axId val="2060982255"/>
        <c:scaling>
          <c:orientation val="minMax"/>
        </c:scaling>
        <c:delete val="0"/>
        <c:axPos val="b"/>
        <c:numFmt formatCode="General" sourceLinked="1"/>
        <c:majorTickMark val="none"/>
        <c:minorTickMark val="none"/>
        <c:tickLblPos val="nextTo"/>
        <c:spPr>
          <a:noFill/>
          <a:ln w="9525" cap="flat" cmpd="sng" algn="ctr">
            <a:solidFill>
              <a:sysClr val="windowText" lastClr="000000">
                <a:lumMod val="25000"/>
                <a:lumOff val="75000"/>
              </a:sys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0984175"/>
        <c:crosses val="autoZero"/>
        <c:auto val="1"/>
        <c:lblAlgn val="ctr"/>
        <c:lblOffset val="100"/>
        <c:noMultiLvlLbl val="0"/>
      </c:catAx>
      <c:valAx>
        <c:axId val="206098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0982255"/>
        <c:crosses val="autoZero"/>
        <c:crossBetween val="between"/>
      </c:valAx>
      <c:spPr>
        <a:noFill/>
        <a:ln>
          <a:solidFill>
            <a:schemeClr val="accent6">
              <a:lumMod val="60000"/>
              <a:lumOff val="40000"/>
            </a:schemeClr>
          </a:solidFill>
        </a:ln>
        <a:effectLst>
          <a:outerShdw blurRad="50800" dist="50800" dir="5400000" algn="ctr" rotWithShape="0">
            <a:schemeClr val="accent6">
              <a:lumMod val="5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6">
          <a:lumMod val="60000"/>
          <a:lumOff val="40000"/>
        </a:schemeClr>
      </a:solidFill>
      <a:round/>
    </a:ln>
    <a:effectLst>
      <a:outerShdw blurRad="50800" dist="50800" dir="5400000" algn="ctr" rotWithShape="0">
        <a:schemeClr val="accent6">
          <a:lumMod val="60000"/>
          <a:lumOff val="40000"/>
        </a:scheme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jpe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5</xdr:col>
      <xdr:colOff>200024</xdr:colOff>
      <xdr:row>30</xdr:row>
      <xdr:rowOff>9525</xdr:rowOff>
    </xdr:from>
    <xdr:to>
      <xdr:col>8</xdr:col>
      <xdr:colOff>85724</xdr:colOff>
      <xdr:row>44</xdr:row>
      <xdr:rowOff>0</xdr:rowOff>
    </xdr:to>
    <mc:AlternateContent xmlns:mc="http://schemas.openxmlformats.org/markup-compatibility/2006" xmlns:a14="http://schemas.microsoft.com/office/drawing/2010/main">
      <mc:Choice Requires="a14">
        <xdr:graphicFrame macro="">
          <xdr:nvGraphicFramePr>
            <xdr:cNvPr id="20" name="Fare Category">
              <a:extLst>
                <a:ext uri="{FF2B5EF4-FFF2-40B4-BE49-F238E27FC236}">
                  <a16:creationId xmlns:a16="http://schemas.microsoft.com/office/drawing/2014/main" id="{589A2FC7-AA02-ADDE-08E7-9E3833C56B90}"/>
                </a:ext>
              </a:extLst>
            </xdr:cNvPr>
            <xdr:cNvGraphicFramePr/>
          </xdr:nvGraphicFramePr>
          <xdr:xfrm>
            <a:off x="0" y="0"/>
            <a:ext cx="0" cy="0"/>
          </xdr:xfrm>
          <a:graphic>
            <a:graphicData uri="http://schemas.microsoft.com/office/drawing/2010/slicer">
              <sle:slicer xmlns:sle="http://schemas.microsoft.com/office/drawing/2010/slicer" name="Fare Category"/>
            </a:graphicData>
          </a:graphic>
        </xdr:graphicFrame>
      </mc:Choice>
      <mc:Fallback xmlns="">
        <xdr:sp macro="" textlink="">
          <xdr:nvSpPr>
            <xdr:cNvPr id="0" name=""/>
            <xdr:cNvSpPr>
              <a:spLocks noTextEdit="1"/>
            </xdr:cNvSpPr>
          </xdr:nvSpPr>
          <xdr:spPr>
            <a:xfrm>
              <a:off x="4090987" y="5438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242886</xdr:colOff>
      <xdr:row>41</xdr:row>
      <xdr:rowOff>133349</xdr:rowOff>
    </xdr:from>
    <xdr:to>
      <xdr:col>10</xdr:col>
      <xdr:colOff>128586</xdr:colOff>
      <xdr:row>55</xdr:row>
      <xdr:rowOff>123824</xdr:rowOff>
    </xdr:to>
    <mc:AlternateContent xmlns:mc="http://schemas.openxmlformats.org/markup-compatibility/2006" xmlns:a14="http://schemas.microsoft.com/office/drawing/2010/main">
      <mc:Choice Requires="a14">
        <xdr:graphicFrame macro="">
          <xdr:nvGraphicFramePr>
            <xdr:cNvPr id="21" name="Pclass">
              <a:extLst>
                <a:ext uri="{FF2B5EF4-FFF2-40B4-BE49-F238E27FC236}">
                  <a16:creationId xmlns:a16="http://schemas.microsoft.com/office/drawing/2014/main" id="{2B69E34F-DFFB-C1AC-2CE1-FD18B6295552}"/>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5429249" y="755332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14287</xdr:colOff>
      <xdr:row>8</xdr:row>
      <xdr:rowOff>9525</xdr:rowOff>
    </xdr:from>
    <xdr:to>
      <xdr:col>10</xdr:col>
      <xdr:colOff>547687</xdr:colOff>
      <xdr:row>22</xdr:row>
      <xdr:rowOff>0</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82273514-A637-85B8-0167-FC90318871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48350" y="1457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27688</xdr:colOff>
      <xdr:row>32</xdr:row>
      <xdr:rowOff>11076</xdr:rowOff>
    </xdr:to>
    <xdr:pic>
      <xdr:nvPicPr>
        <xdr:cNvPr id="32" name="Picture 31">
          <a:extLst>
            <a:ext uri="{FF2B5EF4-FFF2-40B4-BE49-F238E27FC236}">
              <a16:creationId xmlns:a16="http://schemas.microsoft.com/office/drawing/2014/main" id="{D8BB30B5-047D-2237-4CE8-AF1C3F7060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279622" cy="5903285"/>
        </a:xfrm>
        <a:prstGeom prst="rect">
          <a:avLst/>
        </a:prstGeom>
      </xdr:spPr>
    </xdr:pic>
    <xdr:clientData/>
  </xdr:twoCellAnchor>
  <xdr:twoCellAnchor>
    <xdr:from>
      <xdr:col>2</xdr:col>
      <xdr:colOff>520552</xdr:colOff>
      <xdr:row>3</xdr:row>
      <xdr:rowOff>110300</xdr:rowOff>
    </xdr:from>
    <xdr:to>
      <xdr:col>4</xdr:col>
      <xdr:colOff>166134</xdr:colOff>
      <xdr:row>8</xdr:row>
      <xdr:rowOff>5541</xdr:rowOff>
    </xdr:to>
    <xdr:sp macro="" textlink="">
      <xdr:nvSpPr>
        <xdr:cNvPr id="2" name="Rectangle: Rounded Corners 1">
          <a:extLst>
            <a:ext uri="{FF2B5EF4-FFF2-40B4-BE49-F238E27FC236}">
              <a16:creationId xmlns:a16="http://schemas.microsoft.com/office/drawing/2014/main" id="{B8A83139-C8AA-0454-FB4C-0334B5496553}"/>
            </a:ext>
          </a:extLst>
        </xdr:cNvPr>
        <xdr:cNvSpPr/>
      </xdr:nvSpPr>
      <xdr:spPr>
        <a:xfrm>
          <a:off x="1816395" y="702844"/>
          <a:ext cx="1362297" cy="808976"/>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Total </a:t>
          </a:r>
        </a:p>
        <a:p>
          <a:pPr algn="l"/>
          <a:r>
            <a:rPr lang="en-IN" sz="1100" b="1">
              <a:solidFill>
                <a:schemeClr val="tx1"/>
              </a:solidFill>
            </a:rPr>
            <a:t>Passengers</a:t>
          </a:r>
        </a:p>
        <a:p>
          <a:pPr algn="l"/>
          <a:r>
            <a:rPr lang="en-IN" sz="1400">
              <a:solidFill>
                <a:schemeClr val="tx1"/>
              </a:solidFill>
            </a:rPr>
            <a:t>              </a:t>
          </a:r>
          <a:r>
            <a:rPr lang="en-IN" sz="1800" b="1">
              <a:solidFill>
                <a:schemeClr val="bg2"/>
              </a:solidFill>
            </a:rPr>
            <a:t>891</a:t>
          </a:r>
          <a:r>
            <a:rPr lang="en-IN" sz="1100" b="0">
              <a:solidFill>
                <a:sysClr val="windowText" lastClr="000000"/>
              </a:solidFill>
            </a:rPr>
            <a:t>	</a:t>
          </a:r>
        </a:p>
      </xdr:txBody>
    </xdr:sp>
    <xdr:clientData/>
  </xdr:twoCellAnchor>
  <xdr:twoCellAnchor>
    <xdr:from>
      <xdr:col>6</xdr:col>
      <xdr:colOff>509419</xdr:colOff>
      <xdr:row>3</xdr:row>
      <xdr:rowOff>160597</xdr:rowOff>
    </xdr:from>
    <xdr:to>
      <xdr:col>8</xdr:col>
      <xdr:colOff>443022</xdr:colOff>
      <xdr:row>7</xdr:row>
      <xdr:rowOff>147676</xdr:rowOff>
    </xdr:to>
    <xdr:sp macro="" textlink="">
      <xdr:nvSpPr>
        <xdr:cNvPr id="3" name="Rectangle: Rounded Corners 2">
          <a:extLst>
            <a:ext uri="{FF2B5EF4-FFF2-40B4-BE49-F238E27FC236}">
              <a16:creationId xmlns:a16="http://schemas.microsoft.com/office/drawing/2014/main" id="{EFDB0368-CDB6-E102-1709-72036BC2F332}"/>
            </a:ext>
          </a:extLst>
        </xdr:cNvPr>
        <xdr:cNvSpPr/>
      </xdr:nvSpPr>
      <xdr:spPr>
        <a:xfrm>
          <a:off x="4690452" y="753141"/>
          <a:ext cx="1229446" cy="71806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Total </a:t>
          </a:r>
          <a:endParaRPr lang="en-IN" sz="1100">
            <a:solidFill>
              <a:schemeClr val="lt1"/>
            </a:solidFill>
          </a:endParaRPr>
        </a:p>
        <a:p>
          <a:pPr algn="l"/>
          <a:r>
            <a:rPr lang="en-IN" sz="1100" b="1">
              <a:solidFill>
                <a:schemeClr val="tx1"/>
              </a:solidFill>
            </a:rPr>
            <a:t>Survived</a:t>
          </a:r>
        </a:p>
        <a:p>
          <a:pPr algn="l"/>
          <a:r>
            <a:rPr lang="en-IN" sz="1100">
              <a:solidFill>
                <a:schemeClr val="tx1"/>
              </a:solidFill>
            </a:rPr>
            <a:t>         </a:t>
          </a:r>
          <a:r>
            <a:rPr lang="en-IN" sz="1200" b="1">
              <a:solidFill>
                <a:schemeClr val="bg2"/>
              </a:solidFill>
            </a:rPr>
            <a:t>61.62%</a:t>
          </a:r>
          <a:endParaRPr lang="en-IN" sz="1100" b="1">
            <a:solidFill>
              <a:schemeClr val="bg2"/>
            </a:solidFill>
          </a:endParaRPr>
        </a:p>
      </xdr:txBody>
    </xdr:sp>
    <xdr:clientData/>
  </xdr:twoCellAnchor>
  <xdr:twoCellAnchor>
    <xdr:from>
      <xdr:col>4</xdr:col>
      <xdr:colOff>291762</xdr:colOff>
      <xdr:row>3</xdr:row>
      <xdr:rowOff>149520</xdr:rowOff>
    </xdr:from>
    <xdr:to>
      <xdr:col>6</xdr:col>
      <xdr:colOff>387645</xdr:colOff>
      <xdr:row>7</xdr:row>
      <xdr:rowOff>138441</xdr:rowOff>
    </xdr:to>
    <xdr:sp macro="" textlink="">
      <xdr:nvSpPr>
        <xdr:cNvPr id="4" name="Rectangle: Rounded Corners 3">
          <a:extLst>
            <a:ext uri="{FF2B5EF4-FFF2-40B4-BE49-F238E27FC236}">
              <a16:creationId xmlns:a16="http://schemas.microsoft.com/office/drawing/2014/main" id="{042B4627-03F4-979C-6B1C-140E7A9C09FD}"/>
            </a:ext>
          </a:extLst>
        </xdr:cNvPr>
        <xdr:cNvSpPr/>
      </xdr:nvSpPr>
      <xdr:spPr>
        <a:xfrm>
          <a:off x="3304320" y="742064"/>
          <a:ext cx="1264358" cy="71991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solidFill>
                <a:sysClr val="windowText" lastClr="000000"/>
              </a:solidFill>
            </a:rPr>
            <a:t>Total</a:t>
          </a:r>
          <a:r>
            <a:rPr lang="en-IN" sz="1050" baseline="0">
              <a:solidFill>
                <a:sysClr val="windowText" lastClr="000000"/>
              </a:solidFill>
            </a:rPr>
            <a:t> </a:t>
          </a:r>
        </a:p>
        <a:p>
          <a:pPr algn="l"/>
          <a:r>
            <a:rPr lang="en-IN" sz="1050" b="1" baseline="0">
              <a:solidFill>
                <a:sysClr val="windowText" lastClr="000000"/>
              </a:solidFill>
            </a:rPr>
            <a:t>Not Suevived</a:t>
          </a:r>
        </a:p>
        <a:p>
          <a:pPr algn="l"/>
          <a:r>
            <a:rPr lang="en-IN" sz="1050" baseline="0">
              <a:solidFill>
                <a:sysClr val="windowText" lastClr="000000"/>
              </a:solidFill>
            </a:rPr>
            <a:t>          </a:t>
          </a:r>
          <a:r>
            <a:rPr lang="en-IN" sz="1200" b="1" baseline="0">
              <a:solidFill>
                <a:schemeClr val="bg2"/>
              </a:solidFill>
            </a:rPr>
            <a:t>38.38%</a:t>
          </a:r>
          <a:endParaRPr lang="en-IN" sz="1050" b="1">
            <a:solidFill>
              <a:schemeClr val="bg2"/>
            </a:solidFill>
          </a:endParaRPr>
        </a:p>
      </xdr:txBody>
    </xdr:sp>
    <xdr:clientData/>
  </xdr:twoCellAnchor>
  <xdr:twoCellAnchor>
    <xdr:from>
      <xdr:col>5</xdr:col>
      <xdr:colOff>88605</xdr:colOff>
      <xdr:row>8</xdr:row>
      <xdr:rowOff>77529</xdr:rowOff>
    </xdr:from>
    <xdr:to>
      <xdr:col>8</xdr:col>
      <xdr:colOff>332266</xdr:colOff>
      <xdr:row>13</xdr:row>
      <xdr:rowOff>96197</xdr:rowOff>
    </xdr:to>
    <xdr:sp macro="" textlink="">
      <xdr:nvSpPr>
        <xdr:cNvPr id="7" name="Rectangle: Rounded Corners 6">
          <a:extLst>
            <a:ext uri="{FF2B5EF4-FFF2-40B4-BE49-F238E27FC236}">
              <a16:creationId xmlns:a16="http://schemas.microsoft.com/office/drawing/2014/main" id="{DAF95098-04A4-BB04-E2B8-121DC5FEA15D}"/>
            </a:ext>
          </a:extLst>
        </xdr:cNvPr>
        <xdr:cNvSpPr/>
      </xdr:nvSpPr>
      <xdr:spPr>
        <a:xfrm>
          <a:off x="3621715" y="1583808"/>
          <a:ext cx="2187427" cy="932404"/>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Higest Survival</a:t>
          </a:r>
          <a:r>
            <a:rPr lang="en-IN" sz="1100" b="1" baseline="0">
              <a:solidFill>
                <a:schemeClr val="tx1"/>
              </a:solidFill>
            </a:rPr>
            <a:t> Are </a:t>
          </a:r>
        </a:p>
        <a:p>
          <a:pPr algn="l"/>
          <a:r>
            <a:rPr lang="en-IN" sz="1100">
              <a:solidFill>
                <a:schemeClr val="tx1"/>
              </a:solidFill>
            </a:rPr>
            <a:t>3rd Class </a:t>
          </a:r>
        </a:p>
        <a:p>
          <a:pPr algn="l"/>
          <a:r>
            <a:rPr lang="en-IN" sz="1100">
              <a:solidFill>
                <a:schemeClr val="tx1"/>
              </a:solidFill>
            </a:rPr>
            <a:t>Passengers     </a:t>
          </a:r>
          <a:r>
            <a:rPr lang="en-IN" sz="1400" b="1">
              <a:solidFill>
                <a:schemeClr val="lt1"/>
              </a:solidFill>
              <a:effectLst/>
              <a:latin typeface="+mn-lt"/>
              <a:ea typeface="+mn-ea"/>
              <a:cs typeface="+mn-cs"/>
            </a:rPr>
            <a:t>55.11%</a:t>
          </a:r>
          <a:r>
            <a:rPr lang="en-IN" sz="1400"/>
            <a:t>        </a:t>
          </a:r>
          <a:endParaRPr lang="en-IN" sz="1100" b="1"/>
        </a:p>
        <a:p>
          <a:pPr algn="l"/>
          <a:endParaRPr lang="en-IN" sz="1100"/>
        </a:p>
      </xdr:txBody>
    </xdr:sp>
    <xdr:clientData/>
  </xdr:twoCellAnchor>
  <xdr:twoCellAnchor>
    <xdr:from>
      <xdr:col>8</xdr:col>
      <xdr:colOff>598081</xdr:colOff>
      <xdr:row>3</xdr:row>
      <xdr:rowOff>99680</xdr:rowOff>
    </xdr:from>
    <xdr:to>
      <xdr:col>14</xdr:col>
      <xdr:colOff>254738</xdr:colOff>
      <xdr:row>14</xdr:row>
      <xdr:rowOff>60915</xdr:rowOff>
    </xdr:to>
    <xdr:graphicFrame macro="">
      <xdr:nvGraphicFramePr>
        <xdr:cNvPr id="9" name="Chart 8">
          <a:extLst>
            <a:ext uri="{FF2B5EF4-FFF2-40B4-BE49-F238E27FC236}">
              <a16:creationId xmlns:a16="http://schemas.microsoft.com/office/drawing/2014/main" id="{D2D1A8D9-9CB7-484C-A875-A2BADFEF0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371031</xdr:colOff>
      <xdr:row>3</xdr:row>
      <xdr:rowOff>138444</xdr:rowOff>
    </xdr:from>
    <xdr:to>
      <xdr:col>19</xdr:col>
      <xdr:colOff>454097</xdr:colOff>
      <xdr:row>14</xdr:row>
      <xdr:rowOff>55378</xdr:rowOff>
    </xdr:to>
    <xdr:graphicFrame macro="">
      <xdr:nvGraphicFramePr>
        <xdr:cNvPr id="10" name="Chart 9">
          <a:extLst>
            <a:ext uri="{FF2B5EF4-FFF2-40B4-BE49-F238E27FC236}">
              <a16:creationId xmlns:a16="http://schemas.microsoft.com/office/drawing/2014/main" id="{4EA21808-F698-4335-A98A-3F433EACE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486069</xdr:colOff>
      <xdr:row>14</xdr:row>
      <xdr:rowOff>153275</xdr:rowOff>
    </xdr:from>
    <xdr:to>
      <xdr:col>6</xdr:col>
      <xdr:colOff>525347</xdr:colOff>
      <xdr:row>29</xdr:row>
      <xdr:rowOff>153276</xdr:rowOff>
    </xdr:to>
    <xdr:graphicFrame macro="">
      <xdr:nvGraphicFramePr>
        <xdr:cNvPr id="11" name="Chart 10">
          <a:extLst>
            <a:ext uri="{FF2B5EF4-FFF2-40B4-BE49-F238E27FC236}">
              <a16:creationId xmlns:a16="http://schemas.microsoft.com/office/drawing/2014/main" id="{02F65300-A82F-44BB-9FEF-399DD8440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108016</xdr:colOff>
      <xdr:row>15</xdr:row>
      <xdr:rowOff>38764</xdr:rowOff>
    </xdr:from>
    <xdr:to>
      <xdr:col>11</xdr:col>
      <xdr:colOff>58917</xdr:colOff>
      <xdr:row>29</xdr:row>
      <xdr:rowOff>166133</xdr:rowOff>
    </xdr:to>
    <xdr:graphicFrame macro="">
      <xdr:nvGraphicFramePr>
        <xdr:cNvPr id="12" name="Chart 11">
          <a:extLst>
            <a:ext uri="{FF2B5EF4-FFF2-40B4-BE49-F238E27FC236}">
              <a16:creationId xmlns:a16="http://schemas.microsoft.com/office/drawing/2014/main" id="{8095C59F-59AF-44B0-947B-3C3E82E71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240580</xdr:colOff>
      <xdr:row>15</xdr:row>
      <xdr:rowOff>116292</xdr:rowOff>
    </xdr:from>
    <xdr:to>
      <xdr:col>14</xdr:col>
      <xdr:colOff>579355</xdr:colOff>
      <xdr:row>29</xdr:row>
      <xdr:rowOff>132905</xdr:rowOff>
    </xdr:to>
    <xdr:graphicFrame macro="">
      <xdr:nvGraphicFramePr>
        <xdr:cNvPr id="13" name="Chart 12">
          <a:extLst>
            <a:ext uri="{FF2B5EF4-FFF2-40B4-BE49-F238E27FC236}">
              <a16:creationId xmlns:a16="http://schemas.microsoft.com/office/drawing/2014/main" id="{B90F16B1-747A-42DF-A36E-D85E7C9EC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54006</xdr:colOff>
      <xdr:row>15</xdr:row>
      <xdr:rowOff>77528</xdr:rowOff>
    </xdr:from>
    <xdr:to>
      <xdr:col>19</xdr:col>
      <xdr:colOff>465173</xdr:colOff>
      <xdr:row>29</xdr:row>
      <xdr:rowOff>66453</xdr:rowOff>
    </xdr:to>
    <xdr:graphicFrame macro="">
      <xdr:nvGraphicFramePr>
        <xdr:cNvPr id="14" name="Chart 13">
          <a:extLst>
            <a:ext uri="{FF2B5EF4-FFF2-40B4-BE49-F238E27FC236}">
              <a16:creationId xmlns:a16="http://schemas.microsoft.com/office/drawing/2014/main" id="{F333C0A6-A07E-42C8-8C6A-F94DD092F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155058</xdr:colOff>
      <xdr:row>1</xdr:row>
      <xdr:rowOff>210436</xdr:rowOff>
    </xdr:from>
    <xdr:to>
      <xdr:col>2</xdr:col>
      <xdr:colOff>293502</xdr:colOff>
      <xdr:row>9</xdr:row>
      <xdr:rowOff>110755</xdr:rowOff>
    </xdr:to>
    <mc:AlternateContent xmlns:mc="http://schemas.openxmlformats.org/markup-compatibility/2006" xmlns:a14="http://schemas.microsoft.com/office/drawing/2010/main">
      <mc:Choice Requires="a14">
        <xdr:graphicFrame macro="">
          <xdr:nvGraphicFramePr>
            <xdr:cNvPr id="16" name="Age Group 1">
              <a:extLst>
                <a:ext uri="{FF2B5EF4-FFF2-40B4-BE49-F238E27FC236}">
                  <a16:creationId xmlns:a16="http://schemas.microsoft.com/office/drawing/2014/main" id="{DD90DE2B-B73C-4475-9B19-280A9C46C17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55058" y="391083"/>
              <a:ext cx="1430341" cy="1394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149520</xdr:colOff>
      <xdr:row>17</xdr:row>
      <xdr:rowOff>138443</xdr:rowOff>
    </xdr:from>
    <xdr:to>
      <xdr:col>2</xdr:col>
      <xdr:colOff>304578</xdr:colOff>
      <xdr:row>24</xdr:row>
      <xdr:rowOff>88604</xdr:rowOff>
    </xdr:to>
    <mc:AlternateContent xmlns:mc="http://schemas.openxmlformats.org/markup-compatibility/2006" xmlns:a14="http://schemas.microsoft.com/office/drawing/2010/main">
      <mc:Choice Requires="a14">
        <xdr:graphicFrame macro="">
          <xdr:nvGraphicFramePr>
            <xdr:cNvPr id="17" name="Embarked 1">
              <a:extLst>
                <a:ext uri="{FF2B5EF4-FFF2-40B4-BE49-F238E27FC236}">
                  <a16:creationId xmlns:a16="http://schemas.microsoft.com/office/drawing/2014/main" id="{D8093815-08A0-4F72-8E3C-6162721DB142}"/>
                </a:ext>
              </a:extLst>
            </xdr:cNvPr>
            <xdr:cNvGraphicFramePr/>
          </xdr:nvGraphicFramePr>
          <xdr:xfrm>
            <a:off x="0" y="0"/>
            <a:ext cx="0" cy="0"/>
          </xdr:xfrm>
          <a:graphic>
            <a:graphicData uri="http://schemas.microsoft.com/office/drawing/2010/slicer">
              <sle:slicer xmlns:sle="http://schemas.microsoft.com/office/drawing/2010/slicer" name="Embarked 1"/>
            </a:graphicData>
          </a:graphic>
        </xdr:graphicFrame>
      </mc:Choice>
      <mc:Fallback xmlns="">
        <xdr:sp macro="" textlink="">
          <xdr:nvSpPr>
            <xdr:cNvPr id="0" name=""/>
            <xdr:cNvSpPr>
              <a:spLocks noTextEdit="1"/>
            </xdr:cNvSpPr>
          </xdr:nvSpPr>
          <xdr:spPr>
            <a:xfrm>
              <a:off x="149520" y="3258702"/>
              <a:ext cx="1446955" cy="1214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121832</xdr:colOff>
      <xdr:row>24</xdr:row>
      <xdr:rowOff>177211</xdr:rowOff>
    </xdr:from>
    <xdr:to>
      <xdr:col>2</xdr:col>
      <xdr:colOff>299040</xdr:colOff>
      <xdr:row>31</xdr:row>
      <xdr:rowOff>88604</xdr:rowOff>
    </xdr:to>
    <mc:AlternateContent xmlns:mc="http://schemas.openxmlformats.org/markup-compatibility/2006" xmlns:a14="http://schemas.microsoft.com/office/drawing/2010/main">
      <mc:Choice Requires="a14">
        <xdr:graphicFrame macro="">
          <xdr:nvGraphicFramePr>
            <xdr:cNvPr id="18" name="Fare Category 1">
              <a:extLst>
                <a:ext uri="{FF2B5EF4-FFF2-40B4-BE49-F238E27FC236}">
                  <a16:creationId xmlns:a16="http://schemas.microsoft.com/office/drawing/2014/main" id="{3A58311A-D824-4FD1-BBDE-A54D4CA97271}"/>
                </a:ext>
              </a:extLst>
            </xdr:cNvPr>
            <xdr:cNvGraphicFramePr/>
          </xdr:nvGraphicFramePr>
          <xdr:xfrm>
            <a:off x="0" y="0"/>
            <a:ext cx="0" cy="0"/>
          </xdr:xfrm>
          <a:graphic>
            <a:graphicData uri="http://schemas.microsoft.com/office/drawing/2010/slicer">
              <sle:slicer xmlns:sle="http://schemas.microsoft.com/office/drawing/2010/slicer" name="Fare Category 1"/>
            </a:graphicData>
          </a:graphic>
        </xdr:graphicFrame>
      </mc:Choice>
      <mc:Fallback xmlns="">
        <xdr:sp macro="" textlink="">
          <xdr:nvSpPr>
            <xdr:cNvPr id="0" name=""/>
            <xdr:cNvSpPr>
              <a:spLocks noTextEdit="1"/>
            </xdr:cNvSpPr>
          </xdr:nvSpPr>
          <xdr:spPr>
            <a:xfrm>
              <a:off x="121832" y="4561996"/>
              <a:ext cx="1469105" cy="1175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171671</xdr:colOff>
      <xdr:row>10</xdr:row>
      <xdr:rowOff>27690</xdr:rowOff>
    </xdr:from>
    <xdr:to>
      <xdr:col>2</xdr:col>
      <xdr:colOff>326729</xdr:colOff>
      <xdr:row>17</xdr:row>
      <xdr:rowOff>22152</xdr:rowOff>
    </xdr:to>
    <mc:AlternateContent xmlns:mc="http://schemas.openxmlformats.org/markup-compatibility/2006" xmlns:a14="http://schemas.microsoft.com/office/drawing/2010/main">
      <mc:Choice Requires="a14">
        <xdr:graphicFrame macro="">
          <xdr:nvGraphicFramePr>
            <xdr:cNvPr id="19" name="Pclass 1">
              <a:extLst>
                <a:ext uri="{FF2B5EF4-FFF2-40B4-BE49-F238E27FC236}">
                  <a16:creationId xmlns:a16="http://schemas.microsoft.com/office/drawing/2014/main" id="{A5488F43-49B7-4793-AEE3-857F5939952A}"/>
                </a:ext>
              </a:extLst>
            </xdr:cNvPr>
            <xdr:cNvGraphicFramePr/>
          </xdr:nvGraphicFramePr>
          <xdr:xfrm>
            <a:off x="0" y="0"/>
            <a:ext cx="0" cy="0"/>
          </xdr:xfrm>
          <a:graphic>
            <a:graphicData uri="http://schemas.microsoft.com/office/drawing/2010/slicer">
              <sle:slicer xmlns:sle="http://schemas.microsoft.com/office/drawing/2010/slicer" name="Pclass 1"/>
            </a:graphicData>
          </a:graphic>
        </xdr:graphicFrame>
      </mc:Choice>
      <mc:Fallback xmlns="">
        <xdr:sp macro="" textlink="">
          <xdr:nvSpPr>
            <xdr:cNvPr id="0" name=""/>
            <xdr:cNvSpPr>
              <a:spLocks noTextEdit="1"/>
            </xdr:cNvSpPr>
          </xdr:nvSpPr>
          <xdr:spPr>
            <a:xfrm>
              <a:off x="171671" y="1883423"/>
              <a:ext cx="1446955" cy="1258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393183</xdr:colOff>
      <xdr:row>8</xdr:row>
      <xdr:rowOff>121832</xdr:rowOff>
    </xdr:from>
    <xdr:to>
      <xdr:col>4</xdr:col>
      <xdr:colOff>476250</xdr:colOff>
      <xdr:row>13</xdr:row>
      <xdr:rowOff>116294</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95555E97-2ECB-4E7A-8D04-9044F1965A6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85080" y="1616272"/>
              <a:ext cx="1796472" cy="897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598082</xdr:colOff>
      <xdr:row>0</xdr:row>
      <xdr:rowOff>94142</xdr:rowOff>
    </xdr:from>
    <xdr:to>
      <xdr:col>15</xdr:col>
      <xdr:colOff>182747</xdr:colOff>
      <xdr:row>3</xdr:row>
      <xdr:rowOff>0</xdr:rowOff>
    </xdr:to>
    <xdr:sp macro="" textlink="">
      <xdr:nvSpPr>
        <xdr:cNvPr id="33" name="TextBox 32">
          <a:extLst>
            <a:ext uri="{FF2B5EF4-FFF2-40B4-BE49-F238E27FC236}">
              <a16:creationId xmlns:a16="http://schemas.microsoft.com/office/drawing/2014/main" id="{122B483F-B5DC-50BE-A605-3791545E512F}"/>
            </a:ext>
          </a:extLst>
        </xdr:cNvPr>
        <xdr:cNvSpPr txBox="1"/>
      </xdr:nvSpPr>
      <xdr:spPr>
        <a:xfrm>
          <a:off x="4131192" y="94142"/>
          <a:ext cx="6063881" cy="498402"/>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TITANIC SURVIVAL ANALYSIS DASHBOARD</a:t>
          </a:r>
        </a:p>
      </xdr:txBody>
    </xdr:sp>
    <xdr:clientData/>
  </xdr:twoCellAnchor>
  <xdr:twoCellAnchor editAs="oneCell">
    <xdr:from>
      <xdr:col>3</xdr:col>
      <xdr:colOff>941425</xdr:colOff>
      <xdr:row>0</xdr:row>
      <xdr:rowOff>77529</xdr:rowOff>
    </xdr:from>
    <xdr:to>
      <xdr:col>6</xdr:col>
      <xdr:colOff>221510</xdr:colOff>
      <xdr:row>3</xdr:row>
      <xdr:rowOff>11075</xdr:rowOff>
    </xdr:to>
    <xdr:pic>
      <xdr:nvPicPr>
        <xdr:cNvPr id="35" name="Picture 34">
          <a:extLst>
            <a:ext uri="{FF2B5EF4-FFF2-40B4-BE49-F238E27FC236}">
              <a16:creationId xmlns:a16="http://schemas.microsoft.com/office/drawing/2014/main" id="{017CC475-5D05-A184-C3F2-9289E0BB9B9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85190" y="77529"/>
          <a:ext cx="1517353" cy="526090"/>
        </a:xfrm>
        <a:prstGeom prst="rect">
          <a:avLst/>
        </a:prstGeom>
      </xdr:spPr>
    </xdr:pic>
    <xdr:clientData/>
  </xdr:twoCellAnchor>
  <xdr:twoCellAnchor editAs="oneCell">
    <xdr:from>
      <xdr:col>14</xdr:col>
      <xdr:colOff>564854</xdr:colOff>
      <xdr:row>0</xdr:row>
      <xdr:rowOff>77529</xdr:rowOff>
    </xdr:from>
    <xdr:to>
      <xdr:col>17</xdr:col>
      <xdr:colOff>393183</xdr:colOff>
      <xdr:row>3</xdr:row>
      <xdr:rowOff>33227</xdr:rowOff>
    </xdr:to>
    <xdr:pic>
      <xdr:nvPicPr>
        <xdr:cNvPr id="41" name="Picture 40">
          <a:extLst>
            <a:ext uri="{FF2B5EF4-FFF2-40B4-BE49-F238E27FC236}">
              <a16:creationId xmlns:a16="http://schemas.microsoft.com/office/drawing/2014/main" id="{478EA691-B7DD-D15A-307D-FC116C2E8C4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929259" y="77529"/>
          <a:ext cx="1772093" cy="54824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0.67433</cdr:x>
      <cdr:y>0.23038</cdr:y>
    </cdr:from>
    <cdr:to>
      <cdr:x>0.87628</cdr:x>
      <cdr:y>0.60345</cdr:y>
    </cdr:to>
    <cdr:pic>
      <cdr:nvPicPr>
        <cdr:cNvPr id="2" name="Graphic 1" descr="Woman with solid fill">
          <a:extLst xmlns:a="http://schemas.openxmlformats.org/drawingml/2006/main">
            <a:ext uri="{FF2B5EF4-FFF2-40B4-BE49-F238E27FC236}">
              <a16:creationId xmlns:a16="http://schemas.microsoft.com/office/drawing/2014/main" id="{C47CF6CA-D4ED-5818-C777-832A75C033C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022253" y="443983"/>
          <a:ext cx="605626" cy="718953"/>
        </a:xfrm>
        <a:prstGeom xmlns:a="http://schemas.openxmlformats.org/drawingml/2006/main" prst="rect">
          <a:avLst/>
        </a:prstGeom>
      </cdr:spPr>
    </cdr:pic>
  </cdr:relSizeAnchor>
  <cdr:relSizeAnchor xmlns:cdr="http://schemas.openxmlformats.org/drawingml/2006/chartDrawing">
    <cdr:from>
      <cdr:x>0.08342</cdr:x>
      <cdr:y>0.47414</cdr:y>
    </cdr:from>
    <cdr:to>
      <cdr:x>0.26875</cdr:x>
      <cdr:y>0.87108</cdr:y>
    </cdr:to>
    <cdr:pic>
      <cdr:nvPicPr>
        <cdr:cNvPr id="3" name="Graphic 1" descr="Man with solid fill">
          <a:extLst xmlns:a="http://schemas.openxmlformats.org/drawingml/2006/main">
            <a:ext uri="{FF2B5EF4-FFF2-40B4-BE49-F238E27FC236}">
              <a16:creationId xmlns:a16="http://schemas.microsoft.com/office/drawing/2014/main" id="{1CD53B78-600D-E21A-4A40-6F2CDB65D3F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250160" y="913736"/>
          <a:ext cx="555785" cy="764973"/>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9.772780092593" createdVersion="8" refreshedVersion="8" minRefreshableVersion="3" recordCount="891" xr:uid="{7FFF0699-5046-4604-A0DB-DFC87217A5B9}">
  <cacheSource type="worksheet">
    <worksheetSource ref="A1:R892" sheet="Clean Data"/>
  </cacheSource>
  <cacheFields count="18">
    <cacheField name="PassengerId" numFmtId="0">
      <sharedItems containsSemiMixedTypes="0" containsString="0" containsNumber="1" containsInteger="1" minValue="1" maxValue="891" count="8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sharedItems>
    </cacheField>
    <cacheField name="Survived" numFmtId="0">
      <sharedItems containsSemiMixedTypes="0" containsString="0" containsNumber="1" containsInteger="1" minValue="0" maxValue="1" count="2">
        <n v="0"/>
        <n v="1"/>
      </sharedItems>
    </cacheField>
    <cacheField name="New Survived" numFmtId="0">
      <sharedItems count="2">
        <s v="Not Survived"/>
        <s v="Survived"/>
      </sharedItems>
    </cacheField>
    <cacheField name="Pclass" numFmtId="0">
      <sharedItems containsSemiMixedTypes="0" containsString="0" containsNumber="1" containsInteger="1" minValue="1" maxValue="3" count="3">
        <n v="3"/>
        <n v="1"/>
        <n v="2"/>
      </sharedItems>
    </cacheField>
    <cacheField name="First Name" numFmtId="0">
      <sharedItems/>
    </cacheField>
    <cacheField name="Prefix" numFmtId="0">
      <sharedItems/>
    </cacheField>
    <cacheField name="Last Name" numFmtId="0">
      <sharedItems/>
    </cacheField>
    <cacheField name="Sex" numFmtId="0">
      <sharedItems/>
    </cacheField>
    <cacheField name="Gender" numFmtId="0">
      <sharedItems count="2">
        <s v="Male"/>
        <s v="Female"/>
      </sharedItems>
    </cacheField>
    <cacheField name="Age" numFmtId="0">
      <sharedItems containsSemiMixedTypes="0" containsString="0" containsNumber="1" minValue="0.42" maxValue="80" count="88">
        <n v="22"/>
        <n v="38"/>
        <n v="26"/>
        <n v="35"/>
        <n v="28"/>
        <n v="54"/>
        <n v="2"/>
        <n v="27"/>
        <n v="14"/>
        <n v="4"/>
        <n v="58"/>
        <n v="20"/>
        <n v="39"/>
        <n v="55"/>
        <n v="31"/>
        <n v="34"/>
        <n v="15"/>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cacheField>
    <cacheField name="Age Group" numFmtId="0">
      <sharedItems count="4">
        <s v="Adult"/>
        <s v="Child"/>
        <s v="Teen"/>
        <s v="Old Age"/>
      </sharedItems>
    </cacheField>
    <cacheField name="Age Group ifs" numFmtId="0">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mily Size" numFmtId="0">
      <sharedItems containsSemiMixedTypes="0" containsString="0" containsNumber="1" containsInteger="1" minValue="1" maxValue="11" count="9">
        <n v="2"/>
        <n v="1"/>
        <n v="5"/>
        <n v="3"/>
        <n v="7"/>
        <n v="6"/>
        <n v="4"/>
        <n v="8"/>
        <n v="11"/>
      </sharedItems>
    </cacheField>
    <cacheField name="Fare" numFmtId="0">
      <sharedItems containsMixedTypes="1" containsNumber="1" minValue="5" maxValue="1214.4541999999999" count="247">
        <n v="7.25"/>
        <n v="71.283299999999997"/>
        <n v="7.9249999999999998"/>
        <n v="53.1"/>
        <s v="8.14.45425"/>
        <n v="8.4582999999999995"/>
        <n v="51.862499999999997"/>
        <s v="21.14.454275"/>
        <n v="11.1333"/>
        <s v="314.4542.14.4542714.45428"/>
        <n v="16.7"/>
        <n v="26.55"/>
        <n v="31.274999999999999"/>
        <n v="7.8541999999999996"/>
        <n v="16"/>
        <n v="29.125"/>
        <n v="13"/>
        <n v="18"/>
        <n v="7.2249999999999996"/>
        <n v="26"/>
        <s v="8.14.4542292"/>
        <n v="35.5"/>
        <n v="31.387499999999999"/>
        <n v="263"/>
        <n v="7.8792"/>
        <n v="7.8958000000000004"/>
        <s v="27.7214.45428"/>
        <s v="146.5214.45428"/>
        <n v="7.75"/>
        <s v="114.4542.5"/>
        <s v="82.1714.45428"/>
        <n v="52"/>
        <n v="7.2291999999999996"/>
        <n v="11.2417"/>
        <n v="9.4749999999999996"/>
        <n v="21"/>
        <n v="41.5792"/>
        <n v="15.5"/>
        <n v="21.679200000000002"/>
        <n v="17.8"/>
        <n v="39.6875"/>
        <n v="7.8"/>
        <n v="76.729200000000006"/>
        <n v="61.979199999999999"/>
        <n v="27.75"/>
        <n v="46.9"/>
        <n v="814.45420000000001"/>
        <n v="83.474999999999994"/>
        <n v="27.9"/>
        <n v="15.245799999999999"/>
        <n v="8.1583000000000006"/>
        <n v="8.6624999999999996"/>
        <n v="73.5"/>
        <n v="14.4542"/>
        <n v="56.495800000000003"/>
        <n v="7.65"/>
        <n v="29"/>
        <n v="12.475"/>
        <n v="9"/>
        <n v="9.5"/>
        <n v="7.7874999999999996"/>
        <n v="47.1"/>
        <n v="15.85"/>
        <n v="34.375"/>
        <n v="61.174999999999997"/>
        <s v="214.4542.575"/>
        <n v="34.654200000000003"/>
        <n v="63.3583"/>
        <n v="23"/>
        <n v="77.287499999999994"/>
        <n v="8.6541999999999994"/>
        <n v="7.7750000000000004"/>
        <n v="24.15"/>
        <n v="9.8249999999999993"/>
        <n v="14.458299999999999"/>
        <s v="247.5214.45428"/>
        <n v="7.1417000000000002"/>
        <n v="22.3583"/>
        <n v="6.9749999999999996"/>
        <s v="7.14.45425"/>
        <n v="14.5"/>
        <s v="15.14.4542458"/>
        <n v="26.283300000000001"/>
        <n v="9.2166999999999994"/>
        <n v="79.2"/>
        <n v="6.75"/>
        <n v="11.5"/>
        <n v="36.75"/>
        <n v="7.7957999999999998"/>
        <n v="12.525"/>
        <n v="66.599999999999994"/>
        <n v="7.3125"/>
        <n v="61.379199999999997"/>
        <n v="7.7332999999999998"/>
        <n v="69.55"/>
        <n v="16.100000000000001"/>
        <n v="15.75"/>
        <s v="214.4542.525"/>
        <n v="55"/>
        <n v="25.925000000000001"/>
        <n v="33.5"/>
        <s v="314.4542.6958"/>
        <n v="25.466699999999999"/>
        <n v="28.712499999999999"/>
        <s v="15.14.45425"/>
        <n v="39"/>
        <s v="22.14.454225"/>
        <n v="514.45420000000001"/>
        <s v="8.414.454242"/>
        <n v="6.4958"/>
        <s v="114.4542.4625"/>
        <n v="18.787500000000001"/>
        <n v="31"/>
        <n v="113.27500000000001"/>
        <n v="27"/>
        <n v="76.291700000000006"/>
        <n v="914.45420000000001"/>
        <n v="9.35"/>
        <n v="13.5"/>
        <n v="7.55"/>
        <n v="26.25"/>
        <n v="12.275"/>
        <n v="7.125"/>
        <n v="52.554200000000002"/>
        <s v="214.4542.2125"/>
        <n v="86.5"/>
        <n v="512.32920000000001"/>
        <n v="79.650000000000006"/>
        <n v="153.46250000000001"/>
        <n v="135.63329999999999"/>
        <n v="19.5"/>
        <n v="29.7"/>
        <n v="77.958299999999994"/>
        <s v="214.4542.25"/>
        <n v="78.849999999999994"/>
        <s v="91.14.4542792"/>
        <n v="12.875"/>
        <n v="8.85"/>
        <n v="151.55000000000001"/>
        <s v="314.4542.5"/>
        <n v="23.25"/>
        <n v="12.35"/>
        <s v="1114.4542.8833"/>
        <s v="114.45428.9"/>
        <n v="24"/>
        <n v="56.929200000000002"/>
        <n v="83.158299999999997"/>
        <n v="262.375"/>
        <n v="14"/>
        <n v="164.86670000000001"/>
        <n v="134.5"/>
        <n v="6.2374999999999998"/>
        <n v="57.979199999999999"/>
        <n v="28.5"/>
        <n v="133.65"/>
        <n v="15.9"/>
        <n v="9.2249999999999996"/>
        <n v="35"/>
        <n v="75.25"/>
        <n v="69.3"/>
        <n v="55.441699999999997"/>
        <n v="211.5"/>
        <s v="4.14.4542125"/>
        <n v="227.52500000000001"/>
        <n v="15.7417"/>
        <n v="7.7291999999999996"/>
        <n v="12"/>
        <n v="1214.4541999999999"/>
        <n v="12.65"/>
        <n v="18.75"/>
        <n v="6.8582999999999998"/>
        <n v="32.5"/>
        <n v="7.875"/>
        <n v="14.4"/>
        <n v="55.9"/>
        <n v="8.1125000000000007"/>
        <n v="81.8583"/>
        <n v="19.258299999999998"/>
        <n v="19.966699999999999"/>
        <s v="89.114.454242"/>
        <n v="38.5"/>
        <n v="7.7249999999999996"/>
        <n v="13.791700000000001"/>
        <n v="9.8375000000000004"/>
        <s v="7.14.4542458"/>
        <s v="7.5214.45428"/>
        <n v="12.2875"/>
        <n v="9.5875000000000004"/>
        <s v="49.514.454242"/>
        <n v="78.2667"/>
        <n v="15.1"/>
        <n v="7.6292"/>
        <n v="22.524999999999999"/>
        <n v="26.287500000000001"/>
        <n v="59.4"/>
        <n v="7.4958"/>
        <s v="34.14.4542214.45428"/>
        <n v="93.5"/>
        <n v="221.7792"/>
        <s v="114.45426.425"/>
        <n v="49.5"/>
        <n v="71"/>
        <n v="13.862500000000001"/>
        <n v="7.8292000000000002"/>
        <n v="39.6"/>
        <n v="17.399999999999999"/>
        <n v="51.479199999999999"/>
        <n v="26.387499999999999"/>
        <n v="314.45420000000001"/>
        <s v="414.4542.125"/>
        <n v="8.7125000000000004"/>
        <n v="15"/>
        <n v="33"/>
        <n v="42.4"/>
        <n v="15.55"/>
        <n v="65"/>
        <s v="32.3214.45428"/>
        <s v="7.14.4542542"/>
        <n v="8.4332999999999991"/>
        <n v="25.587499999999999"/>
        <n v="9.8416999999999994"/>
        <n v="8.1374999999999993"/>
        <s v="114.4542.1714.45428"/>
        <n v="211.33750000000001"/>
        <n v="57"/>
        <n v="13.416700000000001"/>
        <n v="7.7416999999999998"/>
        <n v="9.4832999999999998"/>
        <n v="7.7374999999999998"/>
        <n v="8.3625000000000007"/>
        <n v="23.45"/>
        <n v="25.929200000000002"/>
        <n v="8.6832999999999991"/>
        <n v="8.5167000000000002"/>
        <n v="7.8875000000000002"/>
        <s v="37.14.454214.454242"/>
        <n v="6.45"/>
        <n v="6.95"/>
        <n v="8.3000000000000007"/>
        <n v="6.4375"/>
        <n v="39.4"/>
        <s v="14.114.454283"/>
        <n v="13.8583"/>
        <s v="514.4542.4958"/>
        <n v="5"/>
        <n v="9.8458000000000006"/>
        <s v="114.4542.5167"/>
      </sharedItems>
    </cacheField>
    <cacheField name="Fare Category" numFmtId="0">
      <sharedItems count="3">
        <s v="Low"/>
        <s v="Medium"/>
        <s v="High"/>
      </sharedItems>
    </cacheField>
    <cacheField name="Embarked" numFmtId="0">
      <sharedItems count="3">
        <s v="Southampton"/>
        <s v="Cherbourg"/>
        <s v="Queenstown"/>
      </sharedItems>
    </cacheField>
  </cacheFields>
  <extLst>
    <ext xmlns:x14="http://schemas.microsoft.com/office/spreadsheetml/2009/9/main" uri="{725AE2AE-9491-48be-B2B4-4EB974FC3084}">
      <x14:pivotCacheDefinition pivotCacheId="572519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x v="0"/>
    <x v="0"/>
    <s v=" Owen Harris"/>
    <s v=" Mr."/>
    <s v="Braund"/>
    <s v="male"/>
    <x v="0"/>
    <x v="0"/>
    <x v="0"/>
    <s v="Adult"/>
    <n v="1"/>
    <n v="0"/>
    <x v="0"/>
    <x v="0"/>
    <x v="0"/>
    <x v="0"/>
  </r>
  <r>
    <x v="1"/>
    <x v="1"/>
    <x v="1"/>
    <x v="1"/>
    <s v=" John Bradley "/>
    <s v=" Mrs."/>
    <s v="Cumings"/>
    <s v="female"/>
    <x v="1"/>
    <x v="1"/>
    <x v="0"/>
    <s v="Adult"/>
    <n v="1"/>
    <n v="0"/>
    <x v="0"/>
    <x v="1"/>
    <x v="0"/>
    <x v="1"/>
  </r>
  <r>
    <x v="2"/>
    <x v="1"/>
    <x v="1"/>
    <x v="0"/>
    <s v=" Laina"/>
    <s v=" Miss."/>
    <s v="Heikkinen"/>
    <s v="female"/>
    <x v="1"/>
    <x v="2"/>
    <x v="0"/>
    <s v="Adult"/>
    <n v="0"/>
    <n v="0"/>
    <x v="1"/>
    <x v="2"/>
    <x v="0"/>
    <x v="0"/>
  </r>
  <r>
    <x v="3"/>
    <x v="1"/>
    <x v="1"/>
    <x v="1"/>
    <s v=" Jacques Heath "/>
    <s v=" Mrs."/>
    <s v="Futrelle"/>
    <s v="female"/>
    <x v="1"/>
    <x v="3"/>
    <x v="0"/>
    <s v="Adult"/>
    <n v="1"/>
    <n v="0"/>
    <x v="0"/>
    <x v="3"/>
    <x v="0"/>
    <x v="0"/>
  </r>
  <r>
    <x v="4"/>
    <x v="0"/>
    <x v="0"/>
    <x v="0"/>
    <s v=" William Henry"/>
    <s v=" Mr."/>
    <s v="Allen"/>
    <s v="male"/>
    <x v="0"/>
    <x v="3"/>
    <x v="0"/>
    <s v="Adult"/>
    <n v="0"/>
    <n v="0"/>
    <x v="1"/>
    <x v="4"/>
    <x v="0"/>
    <x v="0"/>
  </r>
  <r>
    <x v="5"/>
    <x v="0"/>
    <x v="0"/>
    <x v="0"/>
    <s v=" James"/>
    <s v=" Mr."/>
    <s v="Moran"/>
    <s v="male"/>
    <x v="0"/>
    <x v="4"/>
    <x v="0"/>
    <s v="Adult"/>
    <n v="0"/>
    <n v="0"/>
    <x v="1"/>
    <x v="5"/>
    <x v="0"/>
    <x v="2"/>
  </r>
  <r>
    <x v="6"/>
    <x v="0"/>
    <x v="0"/>
    <x v="1"/>
    <s v=" Timothy J"/>
    <s v=" Mr."/>
    <s v="McCarthy"/>
    <s v="male"/>
    <x v="0"/>
    <x v="5"/>
    <x v="0"/>
    <s v="Adult"/>
    <n v="0"/>
    <n v="0"/>
    <x v="1"/>
    <x v="6"/>
    <x v="0"/>
    <x v="0"/>
  </r>
  <r>
    <x v="7"/>
    <x v="0"/>
    <x v="0"/>
    <x v="0"/>
    <s v=" Gosta Leonard"/>
    <s v=" Master."/>
    <s v="Palsson"/>
    <s v="male"/>
    <x v="0"/>
    <x v="6"/>
    <x v="1"/>
    <s v="Child"/>
    <n v="3"/>
    <n v="1"/>
    <x v="2"/>
    <x v="7"/>
    <x v="0"/>
    <x v="0"/>
  </r>
  <r>
    <x v="8"/>
    <x v="1"/>
    <x v="1"/>
    <x v="0"/>
    <s v=" Oscar W "/>
    <s v=" Mrs."/>
    <s v="Johnson"/>
    <s v="female"/>
    <x v="1"/>
    <x v="7"/>
    <x v="0"/>
    <s v="Adult"/>
    <n v="0"/>
    <n v="2"/>
    <x v="3"/>
    <x v="8"/>
    <x v="0"/>
    <x v="0"/>
  </r>
  <r>
    <x v="9"/>
    <x v="1"/>
    <x v="1"/>
    <x v="2"/>
    <s v=" Nicholas "/>
    <s v=" Mrs."/>
    <s v="Nasser"/>
    <s v="female"/>
    <x v="1"/>
    <x v="8"/>
    <x v="2"/>
    <s v="Teen"/>
    <n v="1"/>
    <n v="0"/>
    <x v="0"/>
    <x v="9"/>
    <x v="0"/>
    <x v="1"/>
  </r>
  <r>
    <x v="10"/>
    <x v="1"/>
    <x v="1"/>
    <x v="0"/>
    <s v=" Marguerite Rut"/>
    <s v=" Miss."/>
    <s v="Sandstrom"/>
    <s v="female"/>
    <x v="1"/>
    <x v="9"/>
    <x v="1"/>
    <s v="Child"/>
    <n v="1"/>
    <n v="1"/>
    <x v="3"/>
    <x v="10"/>
    <x v="1"/>
    <x v="0"/>
  </r>
  <r>
    <x v="11"/>
    <x v="1"/>
    <x v="1"/>
    <x v="1"/>
    <s v=" Elizabeth"/>
    <s v=" Miss."/>
    <s v="Bonnell"/>
    <s v="female"/>
    <x v="1"/>
    <x v="10"/>
    <x v="0"/>
    <s v="Adult"/>
    <n v="0"/>
    <n v="0"/>
    <x v="1"/>
    <x v="11"/>
    <x v="1"/>
    <x v="0"/>
  </r>
  <r>
    <x v="12"/>
    <x v="0"/>
    <x v="0"/>
    <x v="0"/>
    <s v=" William Henry"/>
    <s v=" Mr."/>
    <s v="Saundercock"/>
    <s v="male"/>
    <x v="0"/>
    <x v="11"/>
    <x v="0"/>
    <s v="Adult"/>
    <n v="0"/>
    <n v="0"/>
    <x v="1"/>
    <x v="4"/>
    <x v="1"/>
    <x v="0"/>
  </r>
  <r>
    <x v="13"/>
    <x v="0"/>
    <x v="0"/>
    <x v="0"/>
    <s v=" Anders Johan"/>
    <s v=" Mr."/>
    <s v="Andersson"/>
    <s v="male"/>
    <x v="0"/>
    <x v="12"/>
    <x v="0"/>
    <s v="Adult"/>
    <n v="1"/>
    <n v="5"/>
    <x v="4"/>
    <x v="12"/>
    <x v="1"/>
    <x v="0"/>
  </r>
  <r>
    <x v="14"/>
    <x v="0"/>
    <x v="0"/>
    <x v="0"/>
    <s v=" Hulda Amanda Adolfina"/>
    <s v=" Miss."/>
    <s v="Vestrom"/>
    <s v="female"/>
    <x v="1"/>
    <x v="8"/>
    <x v="2"/>
    <s v="Teen"/>
    <n v="0"/>
    <n v="0"/>
    <x v="1"/>
    <x v="13"/>
    <x v="1"/>
    <x v="0"/>
  </r>
  <r>
    <x v="15"/>
    <x v="1"/>
    <x v="1"/>
    <x v="2"/>
    <s v=" "/>
    <s v=" Mrs."/>
    <s v="Hewlett"/>
    <s v="female"/>
    <x v="1"/>
    <x v="13"/>
    <x v="0"/>
    <s v="Adult"/>
    <n v="0"/>
    <n v="0"/>
    <x v="1"/>
    <x v="14"/>
    <x v="1"/>
    <x v="0"/>
  </r>
  <r>
    <x v="16"/>
    <x v="0"/>
    <x v="0"/>
    <x v="0"/>
    <s v=" Eugene"/>
    <s v=" Master."/>
    <s v="Rice"/>
    <s v="male"/>
    <x v="0"/>
    <x v="6"/>
    <x v="1"/>
    <s v="Child"/>
    <n v="4"/>
    <n v="1"/>
    <x v="5"/>
    <x v="15"/>
    <x v="1"/>
    <x v="2"/>
  </r>
  <r>
    <x v="17"/>
    <x v="1"/>
    <x v="1"/>
    <x v="2"/>
    <s v=" Charles Eugene"/>
    <s v=" Mr."/>
    <s v="Williams"/>
    <s v="male"/>
    <x v="0"/>
    <x v="4"/>
    <x v="0"/>
    <s v="Adult"/>
    <n v="0"/>
    <n v="0"/>
    <x v="1"/>
    <x v="16"/>
    <x v="1"/>
    <x v="0"/>
  </r>
  <r>
    <x v="18"/>
    <x v="0"/>
    <x v="0"/>
    <x v="0"/>
    <s v=" Julius "/>
    <s v=" Mrs."/>
    <s v="Vander Planke"/>
    <s v="female"/>
    <x v="1"/>
    <x v="14"/>
    <x v="0"/>
    <s v="Adult"/>
    <n v="1"/>
    <n v="0"/>
    <x v="0"/>
    <x v="17"/>
    <x v="1"/>
    <x v="0"/>
  </r>
  <r>
    <x v="19"/>
    <x v="1"/>
    <x v="1"/>
    <x v="0"/>
    <s v=" Fatima"/>
    <s v=" Mrs."/>
    <s v="Masselmani"/>
    <s v="female"/>
    <x v="1"/>
    <x v="4"/>
    <x v="0"/>
    <s v="Adult"/>
    <n v="0"/>
    <n v="0"/>
    <x v="1"/>
    <x v="18"/>
    <x v="1"/>
    <x v="1"/>
  </r>
  <r>
    <x v="20"/>
    <x v="0"/>
    <x v="0"/>
    <x v="2"/>
    <s v=" Joseph J"/>
    <s v=" Mr."/>
    <s v="Fynney"/>
    <s v="male"/>
    <x v="0"/>
    <x v="3"/>
    <x v="0"/>
    <s v="Adult"/>
    <n v="0"/>
    <n v="0"/>
    <x v="1"/>
    <x v="19"/>
    <x v="1"/>
    <x v="0"/>
  </r>
  <r>
    <x v="21"/>
    <x v="1"/>
    <x v="1"/>
    <x v="2"/>
    <s v=" Lawrence"/>
    <s v=" Mr."/>
    <s v="Beesley"/>
    <s v="male"/>
    <x v="0"/>
    <x v="15"/>
    <x v="0"/>
    <s v="Adult"/>
    <n v="0"/>
    <n v="0"/>
    <x v="1"/>
    <x v="16"/>
    <x v="1"/>
    <x v="0"/>
  </r>
  <r>
    <x v="22"/>
    <x v="1"/>
    <x v="1"/>
    <x v="0"/>
    <s v=" Anna &quot;Annie&quot;"/>
    <s v=" Miss."/>
    <s v="McGowan"/>
    <s v="female"/>
    <x v="1"/>
    <x v="16"/>
    <x v="2"/>
    <s v="Teen"/>
    <n v="0"/>
    <n v="0"/>
    <x v="1"/>
    <x v="20"/>
    <x v="1"/>
    <x v="2"/>
  </r>
  <r>
    <x v="23"/>
    <x v="1"/>
    <x v="1"/>
    <x v="1"/>
    <s v=" William Thompson"/>
    <s v=" Mr."/>
    <s v="Sloper"/>
    <s v="male"/>
    <x v="0"/>
    <x v="4"/>
    <x v="0"/>
    <s v="Adult"/>
    <n v="0"/>
    <n v="0"/>
    <x v="1"/>
    <x v="21"/>
    <x v="1"/>
    <x v="0"/>
  </r>
  <r>
    <x v="24"/>
    <x v="0"/>
    <x v="0"/>
    <x v="0"/>
    <s v=" Torborg Danira"/>
    <s v=" Miss."/>
    <s v="Palsson"/>
    <s v="female"/>
    <x v="1"/>
    <x v="17"/>
    <x v="1"/>
    <s v="Child"/>
    <n v="3"/>
    <n v="1"/>
    <x v="2"/>
    <x v="7"/>
    <x v="1"/>
    <x v="0"/>
  </r>
  <r>
    <x v="25"/>
    <x v="1"/>
    <x v="1"/>
    <x v="0"/>
    <s v=" Carl Oscar "/>
    <s v=" Mrs."/>
    <s v="Asplund"/>
    <s v="female"/>
    <x v="1"/>
    <x v="1"/>
    <x v="0"/>
    <s v="Adult"/>
    <n v="1"/>
    <n v="5"/>
    <x v="4"/>
    <x v="22"/>
    <x v="1"/>
    <x v="0"/>
  </r>
  <r>
    <x v="26"/>
    <x v="0"/>
    <x v="0"/>
    <x v="0"/>
    <s v=" Farred Chehab"/>
    <s v=" Mr."/>
    <s v="Emir"/>
    <s v="male"/>
    <x v="0"/>
    <x v="4"/>
    <x v="0"/>
    <s v="Adult"/>
    <n v="0"/>
    <n v="0"/>
    <x v="1"/>
    <x v="18"/>
    <x v="1"/>
    <x v="1"/>
  </r>
  <r>
    <x v="27"/>
    <x v="0"/>
    <x v="0"/>
    <x v="1"/>
    <s v=" Charles Alexander"/>
    <s v=" Mr."/>
    <s v="Fortune"/>
    <s v="male"/>
    <x v="0"/>
    <x v="18"/>
    <x v="0"/>
    <s v="Adult"/>
    <n v="3"/>
    <n v="2"/>
    <x v="5"/>
    <x v="23"/>
    <x v="1"/>
    <x v="0"/>
  </r>
  <r>
    <x v="28"/>
    <x v="1"/>
    <x v="1"/>
    <x v="0"/>
    <s v=" Ellen &quot;Nellie&quot;"/>
    <s v=" Miss."/>
    <s v="O'Dwyer"/>
    <s v="female"/>
    <x v="1"/>
    <x v="4"/>
    <x v="0"/>
    <s v="Adult"/>
    <n v="0"/>
    <n v="0"/>
    <x v="1"/>
    <x v="24"/>
    <x v="1"/>
    <x v="2"/>
  </r>
  <r>
    <x v="29"/>
    <x v="0"/>
    <x v="0"/>
    <x v="0"/>
    <s v=" Lalio"/>
    <s v=" Mr."/>
    <s v="Todoroff"/>
    <s v="male"/>
    <x v="0"/>
    <x v="4"/>
    <x v="0"/>
    <s v="Adult"/>
    <n v="0"/>
    <n v="0"/>
    <x v="1"/>
    <x v="25"/>
    <x v="1"/>
    <x v="0"/>
  </r>
  <r>
    <x v="30"/>
    <x v="0"/>
    <x v="0"/>
    <x v="1"/>
    <s v=" Manuel E"/>
    <s v=" Don."/>
    <s v="Uruchurtu"/>
    <s v="male"/>
    <x v="0"/>
    <x v="19"/>
    <x v="0"/>
    <s v="Adult"/>
    <n v="0"/>
    <n v="0"/>
    <x v="1"/>
    <x v="26"/>
    <x v="1"/>
    <x v="1"/>
  </r>
  <r>
    <x v="31"/>
    <x v="1"/>
    <x v="1"/>
    <x v="1"/>
    <s v=" William Augustus "/>
    <s v=" Mrs."/>
    <s v="Spencer"/>
    <s v="female"/>
    <x v="1"/>
    <x v="4"/>
    <x v="0"/>
    <s v="Adult"/>
    <n v="1"/>
    <n v="0"/>
    <x v="0"/>
    <x v="27"/>
    <x v="1"/>
    <x v="1"/>
  </r>
  <r>
    <x v="32"/>
    <x v="1"/>
    <x v="1"/>
    <x v="0"/>
    <s v=" Mary Agatha"/>
    <s v=" Miss."/>
    <s v="Glynn"/>
    <s v="female"/>
    <x v="1"/>
    <x v="4"/>
    <x v="0"/>
    <s v="Adult"/>
    <n v="0"/>
    <n v="0"/>
    <x v="1"/>
    <x v="28"/>
    <x v="1"/>
    <x v="2"/>
  </r>
  <r>
    <x v="33"/>
    <x v="0"/>
    <x v="0"/>
    <x v="2"/>
    <s v=" Edward H"/>
    <s v=" Mr."/>
    <s v="Wheadon"/>
    <s v="male"/>
    <x v="0"/>
    <x v="20"/>
    <x v="3"/>
    <s v="Old Age"/>
    <n v="0"/>
    <n v="0"/>
    <x v="1"/>
    <x v="29"/>
    <x v="1"/>
    <x v="0"/>
  </r>
  <r>
    <x v="34"/>
    <x v="0"/>
    <x v="0"/>
    <x v="1"/>
    <s v=" Edgar Joseph"/>
    <s v=" Mr."/>
    <s v="Meyer"/>
    <s v="male"/>
    <x v="0"/>
    <x v="4"/>
    <x v="0"/>
    <s v="Adult"/>
    <n v="1"/>
    <n v="0"/>
    <x v="0"/>
    <x v="30"/>
    <x v="1"/>
    <x v="1"/>
  </r>
  <r>
    <x v="35"/>
    <x v="0"/>
    <x v="0"/>
    <x v="1"/>
    <s v=" Alexander Oskar"/>
    <s v=" Mr."/>
    <s v="Holverson"/>
    <s v="male"/>
    <x v="0"/>
    <x v="21"/>
    <x v="0"/>
    <s v="Adult"/>
    <n v="1"/>
    <n v="0"/>
    <x v="0"/>
    <x v="31"/>
    <x v="1"/>
    <x v="0"/>
  </r>
  <r>
    <x v="36"/>
    <x v="1"/>
    <x v="1"/>
    <x v="0"/>
    <s v=" Hanna"/>
    <s v=" Mr."/>
    <s v="Mamee"/>
    <s v="male"/>
    <x v="0"/>
    <x v="4"/>
    <x v="0"/>
    <s v="Adult"/>
    <n v="0"/>
    <n v="0"/>
    <x v="1"/>
    <x v="32"/>
    <x v="1"/>
    <x v="1"/>
  </r>
  <r>
    <x v="37"/>
    <x v="0"/>
    <x v="0"/>
    <x v="0"/>
    <s v=" Ernest Charles"/>
    <s v=" Mr."/>
    <s v="Cann"/>
    <s v="male"/>
    <x v="0"/>
    <x v="22"/>
    <x v="0"/>
    <s v="Adult"/>
    <n v="0"/>
    <n v="0"/>
    <x v="1"/>
    <x v="4"/>
    <x v="1"/>
    <x v="0"/>
  </r>
  <r>
    <x v="38"/>
    <x v="0"/>
    <x v="0"/>
    <x v="0"/>
    <s v=" Augusta Maria"/>
    <s v=" Miss."/>
    <s v="Vander Planke"/>
    <s v="female"/>
    <x v="1"/>
    <x v="23"/>
    <x v="0"/>
    <s v="Adult"/>
    <n v="2"/>
    <n v="0"/>
    <x v="3"/>
    <x v="17"/>
    <x v="1"/>
    <x v="0"/>
  </r>
  <r>
    <x v="39"/>
    <x v="1"/>
    <x v="1"/>
    <x v="0"/>
    <s v=" Jamila"/>
    <s v=" Miss."/>
    <s v="Nicola-Yarred"/>
    <s v="female"/>
    <x v="1"/>
    <x v="8"/>
    <x v="2"/>
    <s v="Teen"/>
    <n v="1"/>
    <n v="0"/>
    <x v="0"/>
    <x v="33"/>
    <x v="1"/>
    <x v="1"/>
  </r>
  <r>
    <x v="40"/>
    <x v="0"/>
    <x v="0"/>
    <x v="0"/>
    <s v=" Johan "/>
    <s v=" Mrs."/>
    <s v="Ahlin"/>
    <s v="female"/>
    <x v="1"/>
    <x v="19"/>
    <x v="0"/>
    <s v="Adult"/>
    <n v="1"/>
    <n v="0"/>
    <x v="0"/>
    <x v="34"/>
    <x v="1"/>
    <x v="0"/>
  </r>
  <r>
    <x v="41"/>
    <x v="0"/>
    <x v="0"/>
    <x v="2"/>
    <s v=" William John Robert "/>
    <s v=" Mrs."/>
    <s v="Turpin"/>
    <s v="female"/>
    <x v="1"/>
    <x v="7"/>
    <x v="0"/>
    <s v="Adult"/>
    <n v="1"/>
    <n v="0"/>
    <x v="0"/>
    <x v="35"/>
    <x v="1"/>
    <x v="0"/>
  </r>
  <r>
    <x v="42"/>
    <x v="0"/>
    <x v="0"/>
    <x v="0"/>
    <s v=" Theodor"/>
    <s v=" Mr."/>
    <s v="Kraeff"/>
    <s v="male"/>
    <x v="0"/>
    <x v="4"/>
    <x v="0"/>
    <s v="Adult"/>
    <n v="0"/>
    <n v="0"/>
    <x v="1"/>
    <x v="25"/>
    <x v="1"/>
    <x v="1"/>
  </r>
  <r>
    <x v="43"/>
    <x v="1"/>
    <x v="1"/>
    <x v="2"/>
    <s v=" Simonne Marie Anne Andree"/>
    <s v=" Miss."/>
    <s v="Laroche"/>
    <s v="female"/>
    <x v="1"/>
    <x v="24"/>
    <x v="1"/>
    <s v="Child"/>
    <n v="1"/>
    <n v="2"/>
    <x v="6"/>
    <x v="36"/>
    <x v="1"/>
    <x v="1"/>
  </r>
  <r>
    <x v="44"/>
    <x v="1"/>
    <x v="1"/>
    <x v="0"/>
    <s v=" Margaret Delia"/>
    <s v=" Miss."/>
    <s v="Devaney"/>
    <s v="female"/>
    <x v="1"/>
    <x v="18"/>
    <x v="0"/>
    <s v="Adult"/>
    <n v="0"/>
    <n v="0"/>
    <x v="1"/>
    <x v="24"/>
    <x v="1"/>
    <x v="2"/>
  </r>
  <r>
    <x v="45"/>
    <x v="0"/>
    <x v="0"/>
    <x v="0"/>
    <s v=" William John"/>
    <s v=" Mr."/>
    <s v="Rogers"/>
    <s v="male"/>
    <x v="0"/>
    <x v="4"/>
    <x v="0"/>
    <s v="Adult"/>
    <n v="0"/>
    <n v="0"/>
    <x v="1"/>
    <x v="4"/>
    <x v="1"/>
    <x v="0"/>
  </r>
  <r>
    <x v="46"/>
    <x v="0"/>
    <x v="0"/>
    <x v="0"/>
    <s v=" Denis"/>
    <s v=" Mr."/>
    <s v="Lennon"/>
    <s v="male"/>
    <x v="0"/>
    <x v="4"/>
    <x v="0"/>
    <s v="Adult"/>
    <n v="1"/>
    <n v="0"/>
    <x v="0"/>
    <x v="37"/>
    <x v="1"/>
    <x v="2"/>
  </r>
  <r>
    <x v="47"/>
    <x v="1"/>
    <x v="1"/>
    <x v="0"/>
    <s v=" Bridget"/>
    <s v=" Miss."/>
    <s v="O'Driscoll"/>
    <s v="female"/>
    <x v="1"/>
    <x v="4"/>
    <x v="0"/>
    <s v="Adult"/>
    <n v="0"/>
    <n v="0"/>
    <x v="1"/>
    <x v="28"/>
    <x v="1"/>
    <x v="2"/>
  </r>
  <r>
    <x v="48"/>
    <x v="0"/>
    <x v="0"/>
    <x v="0"/>
    <s v=" Youssef"/>
    <s v=" Mr."/>
    <s v="Samaan"/>
    <s v="male"/>
    <x v="0"/>
    <x v="4"/>
    <x v="0"/>
    <s v="Adult"/>
    <n v="2"/>
    <n v="0"/>
    <x v="3"/>
    <x v="38"/>
    <x v="1"/>
    <x v="1"/>
  </r>
  <r>
    <x v="49"/>
    <x v="0"/>
    <x v="0"/>
    <x v="0"/>
    <s v=" Josef "/>
    <s v=" Mrs."/>
    <s v="Arnold-Franchi"/>
    <s v="female"/>
    <x v="1"/>
    <x v="23"/>
    <x v="0"/>
    <s v="Adult"/>
    <n v="1"/>
    <n v="0"/>
    <x v="0"/>
    <x v="39"/>
    <x v="1"/>
    <x v="0"/>
  </r>
  <r>
    <x v="50"/>
    <x v="0"/>
    <x v="0"/>
    <x v="0"/>
    <s v=" Juha Niilo"/>
    <s v=" Master."/>
    <s v="Panula"/>
    <s v="male"/>
    <x v="0"/>
    <x v="25"/>
    <x v="1"/>
    <s v="Child"/>
    <n v="4"/>
    <n v="1"/>
    <x v="5"/>
    <x v="40"/>
    <x v="2"/>
    <x v="0"/>
  </r>
  <r>
    <x v="51"/>
    <x v="0"/>
    <x v="0"/>
    <x v="0"/>
    <s v=" Richard Cater"/>
    <s v=" Mr."/>
    <s v="Nosworthy"/>
    <s v="male"/>
    <x v="0"/>
    <x v="22"/>
    <x v="0"/>
    <s v="Adult"/>
    <n v="0"/>
    <n v="0"/>
    <x v="1"/>
    <x v="41"/>
    <x v="2"/>
    <x v="0"/>
  </r>
  <r>
    <x v="52"/>
    <x v="1"/>
    <x v="1"/>
    <x v="1"/>
    <s v=" Henry Sleeper "/>
    <s v=" Mrs."/>
    <s v="Harper"/>
    <s v="female"/>
    <x v="1"/>
    <x v="26"/>
    <x v="0"/>
    <s v="Adult"/>
    <n v="1"/>
    <n v="0"/>
    <x v="0"/>
    <x v="42"/>
    <x v="2"/>
    <x v="1"/>
  </r>
  <r>
    <x v="53"/>
    <x v="1"/>
    <x v="1"/>
    <x v="2"/>
    <s v=" Lizzie "/>
    <s v=" Mrs."/>
    <s v="Faunthorpe"/>
    <s v="female"/>
    <x v="1"/>
    <x v="27"/>
    <x v="0"/>
    <s v="Adult"/>
    <n v="1"/>
    <n v="0"/>
    <x v="0"/>
    <x v="19"/>
    <x v="2"/>
    <x v="0"/>
  </r>
  <r>
    <x v="54"/>
    <x v="0"/>
    <x v="0"/>
    <x v="1"/>
    <s v=" Engelhart Cornelius"/>
    <s v=" Mr."/>
    <s v="Ostby"/>
    <s v="male"/>
    <x v="0"/>
    <x v="28"/>
    <x v="3"/>
    <s v="Old Age"/>
    <n v="0"/>
    <n v="1"/>
    <x v="0"/>
    <x v="43"/>
    <x v="2"/>
    <x v="1"/>
  </r>
  <r>
    <x v="55"/>
    <x v="1"/>
    <x v="1"/>
    <x v="1"/>
    <s v=" Hugh"/>
    <s v=" Mr."/>
    <s v="Woolner"/>
    <s v="male"/>
    <x v="0"/>
    <x v="4"/>
    <x v="0"/>
    <s v="Adult"/>
    <n v="0"/>
    <n v="0"/>
    <x v="1"/>
    <x v="21"/>
    <x v="2"/>
    <x v="0"/>
  </r>
  <r>
    <x v="56"/>
    <x v="1"/>
    <x v="1"/>
    <x v="2"/>
    <s v=" Emily"/>
    <s v=" Miss."/>
    <s v="Rugg"/>
    <s v="female"/>
    <x v="1"/>
    <x v="22"/>
    <x v="0"/>
    <s v="Adult"/>
    <n v="0"/>
    <n v="0"/>
    <x v="1"/>
    <x v="29"/>
    <x v="2"/>
    <x v="0"/>
  </r>
  <r>
    <x v="57"/>
    <x v="0"/>
    <x v="0"/>
    <x v="0"/>
    <s v=" Mansouer"/>
    <s v=" Mr."/>
    <s v="Novel"/>
    <s v="male"/>
    <x v="0"/>
    <x v="29"/>
    <x v="0"/>
    <s v="Adult"/>
    <n v="0"/>
    <n v="0"/>
    <x v="1"/>
    <x v="32"/>
    <x v="2"/>
    <x v="1"/>
  </r>
  <r>
    <x v="58"/>
    <x v="1"/>
    <x v="1"/>
    <x v="2"/>
    <s v=" Constance Mirium"/>
    <s v=" Miss."/>
    <s v="West"/>
    <s v="female"/>
    <x v="1"/>
    <x v="30"/>
    <x v="1"/>
    <s v="Child"/>
    <n v="1"/>
    <n v="2"/>
    <x v="6"/>
    <x v="44"/>
    <x v="2"/>
    <x v="0"/>
  </r>
  <r>
    <x v="59"/>
    <x v="0"/>
    <x v="0"/>
    <x v="0"/>
    <s v=" William Frederick"/>
    <s v=" Master."/>
    <s v="Goodwin"/>
    <s v="male"/>
    <x v="0"/>
    <x v="31"/>
    <x v="1"/>
    <s v="Child"/>
    <n v="5"/>
    <n v="2"/>
    <x v="7"/>
    <x v="45"/>
    <x v="2"/>
    <x v="0"/>
  </r>
  <r>
    <x v="60"/>
    <x v="0"/>
    <x v="0"/>
    <x v="0"/>
    <s v=" Orsen"/>
    <s v=" Mr."/>
    <s v="Sirayanian"/>
    <s v="male"/>
    <x v="0"/>
    <x v="0"/>
    <x v="0"/>
    <s v="Adult"/>
    <n v="0"/>
    <n v="0"/>
    <x v="1"/>
    <x v="32"/>
    <x v="2"/>
    <x v="1"/>
  </r>
  <r>
    <x v="61"/>
    <x v="1"/>
    <x v="1"/>
    <x v="1"/>
    <s v=" Amelie"/>
    <s v=" Miss."/>
    <s v="Icard"/>
    <s v="female"/>
    <x v="1"/>
    <x v="1"/>
    <x v="0"/>
    <s v="Adult"/>
    <n v="0"/>
    <n v="0"/>
    <x v="1"/>
    <x v="46"/>
    <x v="2"/>
    <x v="0"/>
  </r>
  <r>
    <x v="62"/>
    <x v="0"/>
    <x v="0"/>
    <x v="1"/>
    <s v=" Henry Birkhardt"/>
    <s v=" Mr."/>
    <s v="Harris"/>
    <s v="male"/>
    <x v="0"/>
    <x v="32"/>
    <x v="0"/>
    <s v="Adult"/>
    <n v="1"/>
    <n v="0"/>
    <x v="0"/>
    <x v="47"/>
    <x v="2"/>
    <x v="0"/>
  </r>
  <r>
    <x v="63"/>
    <x v="0"/>
    <x v="0"/>
    <x v="0"/>
    <s v=" Harald"/>
    <s v=" Master."/>
    <s v="Skoog"/>
    <s v="male"/>
    <x v="0"/>
    <x v="9"/>
    <x v="1"/>
    <s v="Child"/>
    <n v="3"/>
    <n v="2"/>
    <x v="5"/>
    <x v="48"/>
    <x v="2"/>
    <x v="0"/>
  </r>
  <r>
    <x v="64"/>
    <x v="0"/>
    <x v="0"/>
    <x v="1"/>
    <s v=" Albert A"/>
    <s v=" Mr."/>
    <s v="Stewart"/>
    <s v="male"/>
    <x v="0"/>
    <x v="4"/>
    <x v="0"/>
    <s v="Adult"/>
    <n v="0"/>
    <n v="0"/>
    <x v="1"/>
    <x v="26"/>
    <x v="2"/>
    <x v="1"/>
  </r>
  <r>
    <x v="65"/>
    <x v="1"/>
    <x v="1"/>
    <x v="0"/>
    <s v=" Gerios"/>
    <s v=" Master."/>
    <s v="Moubarek"/>
    <s v="male"/>
    <x v="0"/>
    <x v="4"/>
    <x v="0"/>
    <s v="Adult"/>
    <n v="1"/>
    <n v="1"/>
    <x v="3"/>
    <x v="49"/>
    <x v="2"/>
    <x v="1"/>
  </r>
  <r>
    <x v="66"/>
    <x v="1"/>
    <x v="1"/>
    <x v="2"/>
    <s v=" "/>
    <s v=" Mrs."/>
    <s v="Nye"/>
    <s v="female"/>
    <x v="1"/>
    <x v="27"/>
    <x v="0"/>
    <s v="Adult"/>
    <n v="0"/>
    <n v="0"/>
    <x v="1"/>
    <x v="29"/>
    <x v="2"/>
    <x v="0"/>
  </r>
  <r>
    <x v="67"/>
    <x v="0"/>
    <x v="0"/>
    <x v="0"/>
    <s v=" Ernest James"/>
    <s v=" Mr."/>
    <s v="Crease"/>
    <s v="male"/>
    <x v="0"/>
    <x v="18"/>
    <x v="0"/>
    <s v="Adult"/>
    <n v="0"/>
    <n v="0"/>
    <x v="1"/>
    <x v="50"/>
    <x v="2"/>
    <x v="0"/>
  </r>
  <r>
    <x v="68"/>
    <x v="1"/>
    <x v="1"/>
    <x v="0"/>
    <s v=" Erna Alexandra"/>
    <s v=" Miss."/>
    <s v="Andersson"/>
    <s v="female"/>
    <x v="1"/>
    <x v="33"/>
    <x v="2"/>
    <s v="Teen"/>
    <n v="4"/>
    <n v="2"/>
    <x v="4"/>
    <x v="2"/>
    <x v="2"/>
    <x v="0"/>
  </r>
  <r>
    <x v="69"/>
    <x v="0"/>
    <x v="0"/>
    <x v="0"/>
    <s v=" Vincenz"/>
    <s v=" Mr."/>
    <s v="Kink"/>
    <s v="male"/>
    <x v="0"/>
    <x v="2"/>
    <x v="0"/>
    <s v="Adult"/>
    <n v="2"/>
    <n v="0"/>
    <x v="3"/>
    <x v="51"/>
    <x v="2"/>
    <x v="0"/>
  </r>
  <r>
    <x v="70"/>
    <x v="0"/>
    <x v="0"/>
    <x v="2"/>
    <s v=" Stephen Curnow"/>
    <s v=" Mr."/>
    <s v="Jenkin"/>
    <s v="male"/>
    <x v="0"/>
    <x v="34"/>
    <x v="0"/>
    <s v="Adult"/>
    <n v="0"/>
    <n v="0"/>
    <x v="1"/>
    <x v="29"/>
    <x v="2"/>
    <x v="0"/>
  </r>
  <r>
    <x v="71"/>
    <x v="0"/>
    <x v="0"/>
    <x v="0"/>
    <s v=" Lillian Amy"/>
    <s v=" Miss."/>
    <s v="Goodwin"/>
    <s v="female"/>
    <x v="1"/>
    <x v="35"/>
    <x v="2"/>
    <s v="Teen"/>
    <n v="5"/>
    <n v="2"/>
    <x v="7"/>
    <x v="45"/>
    <x v="2"/>
    <x v="0"/>
  </r>
  <r>
    <x v="72"/>
    <x v="0"/>
    <x v="0"/>
    <x v="2"/>
    <s v=" Ambrose Jr"/>
    <s v=" Mr."/>
    <s v="Hood"/>
    <s v="male"/>
    <x v="0"/>
    <x v="22"/>
    <x v="0"/>
    <s v="Adult"/>
    <n v="0"/>
    <n v="0"/>
    <x v="1"/>
    <x v="52"/>
    <x v="2"/>
    <x v="0"/>
  </r>
  <r>
    <x v="73"/>
    <x v="0"/>
    <x v="0"/>
    <x v="0"/>
    <s v=" Apostolos"/>
    <s v=" Mr."/>
    <s v="Chronopoulos"/>
    <s v="male"/>
    <x v="0"/>
    <x v="2"/>
    <x v="0"/>
    <s v="Adult"/>
    <n v="1"/>
    <n v="0"/>
    <x v="0"/>
    <x v="53"/>
    <x v="2"/>
    <x v="1"/>
  </r>
  <r>
    <x v="74"/>
    <x v="1"/>
    <x v="1"/>
    <x v="0"/>
    <s v=" Lee"/>
    <s v=" Mr."/>
    <s v="Bing"/>
    <s v="male"/>
    <x v="0"/>
    <x v="34"/>
    <x v="0"/>
    <s v="Adult"/>
    <n v="0"/>
    <n v="0"/>
    <x v="1"/>
    <x v="54"/>
    <x v="2"/>
    <x v="0"/>
  </r>
  <r>
    <x v="75"/>
    <x v="0"/>
    <x v="0"/>
    <x v="0"/>
    <s v=" Sigurd Hansen"/>
    <s v=" Mr."/>
    <s v="Moen"/>
    <s v="male"/>
    <x v="0"/>
    <x v="36"/>
    <x v="0"/>
    <s v="Adult"/>
    <n v="0"/>
    <n v="0"/>
    <x v="1"/>
    <x v="55"/>
    <x v="2"/>
    <x v="0"/>
  </r>
  <r>
    <x v="76"/>
    <x v="0"/>
    <x v="0"/>
    <x v="0"/>
    <s v=" Ivan"/>
    <s v=" Mr."/>
    <s v="Staneff"/>
    <s v="male"/>
    <x v="0"/>
    <x v="4"/>
    <x v="0"/>
    <s v="Adult"/>
    <n v="0"/>
    <n v="0"/>
    <x v="1"/>
    <x v="25"/>
    <x v="2"/>
    <x v="0"/>
  </r>
  <r>
    <x v="77"/>
    <x v="0"/>
    <x v="0"/>
    <x v="0"/>
    <s v=" Rahamin Haim"/>
    <s v=" Mr."/>
    <s v="Moutal"/>
    <s v="male"/>
    <x v="0"/>
    <x v="4"/>
    <x v="0"/>
    <s v="Adult"/>
    <n v="0"/>
    <n v="0"/>
    <x v="1"/>
    <x v="4"/>
    <x v="2"/>
    <x v="0"/>
  </r>
  <r>
    <x v="78"/>
    <x v="1"/>
    <x v="1"/>
    <x v="2"/>
    <s v=" Alden Gates"/>
    <s v=" Master."/>
    <s v="Caldwell"/>
    <s v="male"/>
    <x v="0"/>
    <x v="37"/>
    <x v="1"/>
    <s v="Child"/>
    <n v="0"/>
    <n v="2"/>
    <x v="3"/>
    <x v="56"/>
    <x v="2"/>
    <x v="0"/>
  </r>
  <r>
    <x v="79"/>
    <x v="1"/>
    <x v="1"/>
    <x v="0"/>
    <s v=" Elizabeth"/>
    <s v=" Miss."/>
    <s v="Dowdell"/>
    <s v="female"/>
    <x v="1"/>
    <x v="38"/>
    <x v="0"/>
    <s v="Adult"/>
    <n v="0"/>
    <n v="0"/>
    <x v="1"/>
    <x v="57"/>
    <x v="2"/>
    <x v="0"/>
  </r>
  <r>
    <x v="80"/>
    <x v="0"/>
    <x v="0"/>
    <x v="0"/>
    <s v=" Achille"/>
    <s v=" Mr."/>
    <s v="Waelens"/>
    <s v="male"/>
    <x v="0"/>
    <x v="0"/>
    <x v="0"/>
    <s v="Adult"/>
    <n v="0"/>
    <n v="0"/>
    <x v="1"/>
    <x v="58"/>
    <x v="2"/>
    <x v="0"/>
  </r>
  <r>
    <x v="81"/>
    <x v="1"/>
    <x v="1"/>
    <x v="0"/>
    <s v=" Jan Baptist"/>
    <s v=" Mr."/>
    <s v="Sheerlinck"/>
    <s v="male"/>
    <x v="0"/>
    <x v="27"/>
    <x v="0"/>
    <s v="Adult"/>
    <n v="0"/>
    <n v="0"/>
    <x v="1"/>
    <x v="59"/>
    <x v="2"/>
    <x v="0"/>
  </r>
  <r>
    <x v="82"/>
    <x v="1"/>
    <x v="1"/>
    <x v="0"/>
    <s v=" Brigdet Delia"/>
    <s v=" Miss."/>
    <s v="McDermott"/>
    <s v="female"/>
    <x v="1"/>
    <x v="4"/>
    <x v="0"/>
    <s v="Adult"/>
    <n v="0"/>
    <n v="0"/>
    <x v="1"/>
    <x v="60"/>
    <x v="2"/>
    <x v="2"/>
  </r>
  <r>
    <x v="83"/>
    <x v="0"/>
    <x v="0"/>
    <x v="1"/>
    <s v=" Francisco M"/>
    <s v=" Mr."/>
    <s v="Carrau"/>
    <s v="male"/>
    <x v="0"/>
    <x v="4"/>
    <x v="0"/>
    <s v="Adult"/>
    <n v="0"/>
    <n v="0"/>
    <x v="1"/>
    <x v="61"/>
    <x v="2"/>
    <x v="0"/>
  </r>
  <r>
    <x v="84"/>
    <x v="1"/>
    <x v="1"/>
    <x v="2"/>
    <s v=" Bertha"/>
    <s v=" Miss."/>
    <s v="Ilett"/>
    <s v="female"/>
    <x v="1"/>
    <x v="33"/>
    <x v="2"/>
    <s v="Teen"/>
    <n v="0"/>
    <n v="0"/>
    <x v="1"/>
    <x v="29"/>
    <x v="2"/>
    <x v="0"/>
  </r>
  <r>
    <x v="85"/>
    <x v="1"/>
    <x v="1"/>
    <x v="0"/>
    <s v=" Karl Alfred "/>
    <s v=" Mrs."/>
    <s v="Backstrom"/>
    <s v="female"/>
    <x v="1"/>
    <x v="39"/>
    <x v="0"/>
    <s v="Adult"/>
    <n v="3"/>
    <n v="0"/>
    <x v="6"/>
    <x v="62"/>
    <x v="2"/>
    <x v="0"/>
  </r>
  <r>
    <x v="86"/>
    <x v="0"/>
    <x v="0"/>
    <x v="0"/>
    <s v=" William Neal"/>
    <s v=" Mr."/>
    <s v="Ford"/>
    <s v="male"/>
    <x v="0"/>
    <x v="35"/>
    <x v="2"/>
    <s v="Teen"/>
    <n v="1"/>
    <n v="3"/>
    <x v="2"/>
    <x v="63"/>
    <x v="2"/>
    <x v="0"/>
  </r>
  <r>
    <x v="87"/>
    <x v="0"/>
    <x v="0"/>
    <x v="0"/>
    <s v=" Selman Francis"/>
    <s v=" Mr."/>
    <s v="Slocovski"/>
    <s v="male"/>
    <x v="0"/>
    <x v="4"/>
    <x v="0"/>
    <s v="Adult"/>
    <n v="0"/>
    <n v="0"/>
    <x v="1"/>
    <x v="4"/>
    <x v="2"/>
    <x v="0"/>
  </r>
  <r>
    <x v="88"/>
    <x v="1"/>
    <x v="1"/>
    <x v="1"/>
    <s v=" Mabel Helen"/>
    <s v=" Miss."/>
    <s v="Fortune"/>
    <s v="female"/>
    <x v="1"/>
    <x v="40"/>
    <x v="0"/>
    <s v="Adult"/>
    <n v="3"/>
    <n v="2"/>
    <x v="5"/>
    <x v="23"/>
    <x v="2"/>
    <x v="0"/>
  </r>
  <r>
    <x v="89"/>
    <x v="0"/>
    <x v="0"/>
    <x v="0"/>
    <s v=" Francesco"/>
    <s v=" Mr."/>
    <s v="Celotti"/>
    <s v="male"/>
    <x v="0"/>
    <x v="41"/>
    <x v="0"/>
    <s v="Adult"/>
    <n v="0"/>
    <n v="0"/>
    <x v="1"/>
    <x v="4"/>
    <x v="2"/>
    <x v="0"/>
  </r>
  <r>
    <x v="90"/>
    <x v="0"/>
    <x v="0"/>
    <x v="0"/>
    <s v=" Emil"/>
    <s v=" Mr."/>
    <s v="Christmann"/>
    <s v="male"/>
    <x v="0"/>
    <x v="27"/>
    <x v="0"/>
    <s v="Adult"/>
    <n v="0"/>
    <n v="0"/>
    <x v="1"/>
    <x v="4"/>
    <x v="2"/>
    <x v="0"/>
  </r>
  <r>
    <x v="91"/>
    <x v="0"/>
    <x v="0"/>
    <x v="0"/>
    <s v=" Paul Edvin"/>
    <s v=" Mr."/>
    <s v="Andreasson"/>
    <s v="male"/>
    <x v="0"/>
    <x v="11"/>
    <x v="0"/>
    <s v="Adult"/>
    <n v="0"/>
    <n v="0"/>
    <x v="1"/>
    <x v="13"/>
    <x v="2"/>
    <x v="0"/>
  </r>
  <r>
    <x v="92"/>
    <x v="0"/>
    <x v="0"/>
    <x v="1"/>
    <s v=" Herbert Fuller"/>
    <s v=" Mr."/>
    <s v="Chaffee"/>
    <s v="male"/>
    <x v="0"/>
    <x v="42"/>
    <x v="0"/>
    <s v="Adult"/>
    <n v="1"/>
    <n v="0"/>
    <x v="0"/>
    <x v="64"/>
    <x v="2"/>
    <x v="0"/>
  </r>
  <r>
    <x v="93"/>
    <x v="0"/>
    <x v="0"/>
    <x v="0"/>
    <s v=" Bertram Frank"/>
    <s v=" Mr."/>
    <s v="Dean"/>
    <s v="male"/>
    <x v="0"/>
    <x v="2"/>
    <x v="0"/>
    <s v="Adult"/>
    <n v="1"/>
    <n v="2"/>
    <x v="6"/>
    <x v="65"/>
    <x v="2"/>
    <x v="0"/>
  </r>
  <r>
    <x v="94"/>
    <x v="0"/>
    <x v="0"/>
    <x v="0"/>
    <s v=" Daniel"/>
    <s v=" Mr."/>
    <s v="Coxon"/>
    <s v="male"/>
    <x v="0"/>
    <x v="43"/>
    <x v="0"/>
    <s v="Adult"/>
    <n v="0"/>
    <n v="0"/>
    <x v="1"/>
    <x v="0"/>
    <x v="2"/>
    <x v="0"/>
  </r>
  <r>
    <x v="95"/>
    <x v="0"/>
    <x v="0"/>
    <x v="0"/>
    <s v=" Charles Joseph"/>
    <s v=" Mr."/>
    <s v="Shorney"/>
    <s v="male"/>
    <x v="0"/>
    <x v="4"/>
    <x v="0"/>
    <s v="Adult"/>
    <n v="0"/>
    <n v="0"/>
    <x v="1"/>
    <x v="4"/>
    <x v="2"/>
    <x v="0"/>
  </r>
  <r>
    <x v="96"/>
    <x v="0"/>
    <x v="0"/>
    <x v="1"/>
    <s v=" George B"/>
    <s v=" Mr."/>
    <s v="Goldschmidt"/>
    <s v="male"/>
    <x v="0"/>
    <x v="44"/>
    <x v="3"/>
    <s v="Old Age"/>
    <n v="0"/>
    <n v="0"/>
    <x v="1"/>
    <x v="66"/>
    <x v="2"/>
    <x v="1"/>
  </r>
  <r>
    <x v="97"/>
    <x v="1"/>
    <x v="1"/>
    <x v="1"/>
    <s v=" William Bertram"/>
    <s v=" Mr."/>
    <s v="Greenfield"/>
    <s v="male"/>
    <x v="0"/>
    <x v="40"/>
    <x v="0"/>
    <s v="Adult"/>
    <n v="0"/>
    <n v="1"/>
    <x v="0"/>
    <x v="67"/>
    <x v="2"/>
    <x v="1"/>
  </r>
  <r>
    <x v="98"/>
    <x v="1"/>
    <x v="1"/>
    <x v="2"/>
    <s v=" John T "/>
    <s v=" Mrs."/>
    <s v="Doling"/>
    <s v="female"/>
    <x v="1"/>
    <x v="15"/>
    <x v="0"/>
    <s v="Adult"/>
    <n v="0"/>
    <n v="1"/>
    <x v="0"/>
    <x v="68"/>
    <x v="2"/>
    <x v="0"/>
  </r>
  <r>
    <x v="99"/>
    <x v="0"/>
    <x v="0"/>
    <x v="2"/>
    <s v=" Sinai"/>
    <s v=" Mr."/>
    <s v="Kantor"/>
    <s v="male"/>
    <x v="0"/>
    <x v="15"/>
    <x v="0"/>
    <s v="Adult"/>
    <n v="1"/>
    <n v="0"/>
    <x v="0"/>
    <x v="19"/>
    <x v="2"/>
    <x v="0"/>
  </r>
  <r>
    <x v="100"/>
    <x v="0"/>
    <x v="0"/>
    <x v="0"/>
    <s v=" Matilda"/>
    <s v=" Miss."/>
    <s v="Petranec"/>
    <s v="female"/>
    <x v="1"/>
    <x v="4"/>
    <x v="0"/>
    <s v="Adult"/>
    <n v="0"/>
    <n v="0"/>
    <x v="1"/>
    <x v="25"/>
    <x v="2"/>
    <x v="0"/>
  </r>
  <r>
    <x v="101"/>
    <x v="0"/>
    <x v="0"/>
    <x v="0"/>
    <s v=" Pastcho "/>
    <s v=" Mr."/>
    <s v="Petroff"/>
    <s v="male"/>
    <x v="0"/>
    <x v="4"/>
    <x v="0"/>
    <s v="Adult"/>
    <n v="0"/>
    <n v="0"/>
    <x v="1"/>
    <x v="25"/>
    <x v="2"/>
    <x v="0"/>
  </r>
  <r>
    <x v="102"/>
    <x v="0"/>
    <x v="0"/>
    <x v="1"/>
    <s v=" Richard Frasar"/>
    <s v=" Mr."/>
    <s v="White"/>
    <s v="male"/>
    <x v="0"/>
    <x v="22"/>
    <x v="0"/>
    <s v="Adult"/>
    <n v="0"/>
    <n v="1"/>
    <x v="0"/>
    <x v="69"/>
    <x v="2"/>
    <x v="0"/>
  </r>
  <r>
    <x v="103"/>
    <x v="0"/>
    <x v="0"/>
    <x v="0"/>
    <s v=" Gustaf Joel"/>
    <s v=" Mr."/>
    <s v="Johansson"/>
    <s v="male"/>
    <x v="0"/>
    <x v="39"/>
    <x v="0"/>
    <s v="Adult"/>
    <n v="0"/>
    <n v="0"/>
    <x v="1"/>
    <x v="70"/>
    <x v="2"/>
    <x v="0"/>
  </r>
  <r>
    <x v="104"/>
    <x v="0"/>
    <x v="0"/>
    <x v="0"/>
    <s v=" Anders Vilhelm"/>
    <s v=" Mr."/>
    <s v="Gustafsson"/>
    <s v="male"/>
    <x v="0"/>
    <x v="45"/>
    <x v="0"/>
    <s v="Adult"/>
    <n v="2"/>
    <n v="0"/>
    <x v="3"/>
    <x v="2"/>
    <x v="2"/>
    <x v="0"/>
  </r>
  <r>
    <x v="105"/>
    <x v="0"/>
    <x v="0"/>
    <x v="0"/>
    <s v=" Stoytcho"/>
    <s v=" Mr."/>
    <s v="Mionoff"/>
    <s v="male"/>
    <x v="0"/>
    <x v="4"/>
    <x v="0"/>
    <s v="Adult"/>
    <n v="0"/>
    <n v="0"/>
    <x v="1"/>
    <x v="25"/>
    <x v="2"/>
    <x v="0"/>
  </r>
  <r>
    <x v="106"/>
    <x v="1"/>
    <x v="1"/>
    <x v="0"/>
    <s v=" Anna Kristine"/>
    <s v=" Miss."/>
    <s v="Salkjelsvik"/>
    <s v="female"/>
    <x v="1"/>
    <x v="22"/>
    <x v="0"/>
    <s v="Adult"/>
    <n v="0"/>
    <n v="0"/>
    <x v="1"/>
    <x v="55"/>
    <x v="2"/>
    <x v="0"/>
  </r>
  <r>
    <x v="107"/>
    <x v="1"/>
    <x v="1"/>
    <x v="0"/>
    <s v=" Albert Johan"/>
    <s v=" Mr."/>
    <s v="Moss"/>
    <s v="male"/>
    <x v="0"/>
    <x v="4"/>
    <x v="0"/>
    <s v="Adult"/>
    <n v="0"/>
    <n v="0"/>
    <x v="1"/>
    <x v="71"/>
    <x v="2"/>
    <x v="0"/>
  </r>
  <r>
    <x v="108"/>
    <x v="0"/>
    <x v="0"/>
    <x v="0"/>
    <s v=" Tido"/>
    <s v=" Mr."/>
    <s v="Rekic"/>
    <s v="male"/>
    <x v="0"/>
    <x v="1"/>
    <x v="0"/>
    <s v="Adult"/>
    <n v="0"/>
    <n v="0"/>
    <x v="1"/>
    <x v="25"/>
    <x v="2"/>
    <x v="0"/>
  </r>
  <r>
    <x v="109"/>
    <x v="1"/>
    <x v="1"/>
    <x v="0"/>
    <s v=" Bertha"/>
    <s v=" Miss."/>
    <s v="Moran"/>
    <s v="female"/>
    <x v="1"/>
    <x v="4"/>
    <x v="0"/>
    <s v="Adult"/>
    <n v="1"/>
    <n v="0"/>
    <x v="0"/>
    <x v="72"/>
    <x v="2"/>
    <x v="2"/>
  </r>
  <r>
    <x v="110"/>
    <x v="0"/>
    <x v="0"/>
    <x v="1"/>
    <s v=" Walter Chamberlain"/>
    <s v=" Mr."/>
    <s v="Porter"/>
    <s v="male"/>
    <x v="0"/>
    <x v="46"/>
    <x v="0"/>
    <s v="Adult"/>
    <n v="0"/>
    <n v="0"/>
    <x v="1"/>
    <x v="31"/>
    <x v="2"/>
    <x v="0"/>
  </r>
  <r>
    <x v="111"/>
    <x v="0"/>
    <x v="0"/>
    <x v="0"/>
    <s v=" Hileni"/>
    <s v=" Miss."/>
    <s v="Zabour"/>
    <s v="female"/>
    <x v="1"/>
    <x v="47"/>
    <x v="2"/>
    <s v="Teen"/>
    <n v="1"/>
    <n v="0"/>
    <x v="0"/>
    <x v="53"/>
    <x v="2"/>
    <x v="1"/>
  </r>
  <r>
    <x v="112"/>
    <x v="0"/>
    <x v="0"/>
    <x v="0"/>
    <s v=" David John"/>
    <s v=" Mr."/>
    <s v="Barton"/>
    <s v="male"/>
    <x v="0"/>
    <x v="0"/>
    <x v="0"/>
    <s v="Adult"/>
    <n v="0"/>
    <n v="0"/>
    <x v="1"/>
    <x v="4"/>
    <x v="2"/>
    <x v="0"/>
  </r>
  <r>
    <x v="113"/>
    <x v="0"/>
    <x v="0"/>
    <x v="0"/>
    <s v=" Katriina"/>
    <s v=" Miss."/>
    <s v="Jussila"/>
    <s v="female"/>
    <x v="1"/>
    <x v="11"/>
    <x v="0"/>
    <s v="Adult"/>
    <n v="1"/>
    <n v="0"/>
    <x v="0"/>
    <x v="73"/>
    <x v="2"/>
    <x v="0"/>
  </r>
  <r>
    <x v="114"/>
    <x v="0"/>
    <x v="0"/>
    <x v="0"/>
    <s v=" Malake"/>
    <s v=" Miss."/>
    <s v="Attalah"/>
    <s v="female"/>
    <x v="1"/>
    <x v="33"/>
    <x v="2"/>
    <s v="Teen"/>
    <n v="0"/>
    <n v="0"/>
    <x v="1"/>
    <x v="74"/>
    <x v="2"/>
    <x v="1"/>
  </r>
  <r>
    <x v="115"/>
    <x v="0"/>
    <x v="0"/>
    <x v="0"/>
    <s v=" Edvard"/>
    <s v=" Mr."/>
    <s v="Pekoniemi"/>
    <s v="male"/>
    <x v="0"/>
    <x v="22"/>
    <x v="0"/>
    <s v="Adult"/>
    <n v="0"/>
    <n v="0"/>
    <x v="1"/>
    <x v="2"/>
    <x v="2"/>
    <x v="0"/>
  </r>
  <r>
    <x v="116"/>
    <x v="0"/>
    <x v="0"/>
    <x v="0"/>
    <s v=" Patrick"/>
    <s v=" Mr."/>
    <s v="Connors"/>
    <s v="male"/>
    <x v="0"/>
    <x v="48"/>
    <x v="3"/>
    <s v="Old Age"/>
    <n v="0"/>
    <n v="0"/>
    <x v="1"/>
    <x v="28"/>
    <x v="2"/>
    <x v="2"/>
  </r>
  <r>
    <x v="117"/>
    <x v="0"/>
    <x v="0"/>
    <x v="2"/>
    <s v=" William John Robert"/>
    <s v=" Mr."/>
    <s v="Turpin"/>
    <s v="male"/>
    <x v="0"/>
    <x v="27"/>
    <x v="0"/>
    <s v="Adult"/>
    <n v="1"/>
    <n v="0"/>
    <x v="0"/>
    <x v="35"/>
    <x v="2"/>
    <x v="0"/>
  </r>
  <r>
    <x v="118"/>
    <x v="0"/>
    <x v="0"/>
    <x v="1"/>
    <s v=" Quigg Edmond"/>
    <s v=" Mr."/>
    <s v="Baxter"/>
    <s v="male"/>
    <x v="0"/>
    <x v="41"/>
    <x v="0"/>
    <s v="Adult"/>
    <n v="0"/>
    <n v="1"/>
    <x v="0"/>
    <x v="75"/>
    <x v="2"/>
    <x v="1"/>
  </r>
  <r>
    <x v="119"/>
    <x v="0"/>
    <x v="0"/>
    <x v="0"/>
    <s v=" Ellis Anna Maria"/>
    <s v=" Miss."/>
    <s v="Andersson"/>
    <s v="female"/>
    <x v="1"/>
    <x v="6"/>
    <x v="1"/>
    <s v="Child"/>
    <n v="4"/>
    <n v="2"/>
    <x v="4"/>
    <x v="12"/>
    <x v="2"/>
    <x v="0"/>
  </r>
  <r>
    <x v="120"/>
    <x v="0"/>
    <x v="0"/>
    <x v="2"/>
    <s v=" Stanley George"/>
    <s v=" Mr."/>
    <s v="Hickman"/>
    <s v="male"/>
    <x v="0"/>
    <x v="22"/>
    <x v="0"/>
    <s v="Adult"/>
    <n v="2"/>
    <n v="0"/>
    <x v="3"/>
    <x v="52"/>
    <x v="2"/>
    <x v="0"/>
  </r>
  <r>
    <x v="121"/>
    <x v="0"/>
    <x v="0"/>
    <x v="0"/>
    <s v=" Leonard Charles"/>
    <s v=" Mr."/>
    <s v="Moore"/>
    <s v="male"/>
    <x v="0"/>
    <x v="4"/>
    <x v="0"/>
    <s v="Adult"/>
    <n v="0"/>
    <n v="0"/>
    <x v="1"/>
    <x v="4"/>
    <x v="2"/>
    <x v="0"/>
  </r>
  <r>
    <x v="122"/>
    <x v="0"/>
    <x v="0"/>
    <x v="2"/>
    <s v=" Nicholas"/>
    <s v=" Mr."/>
    <s v="Nasser"/>
    <s v="male"/>
    <x v="0"/>
    <x v="49"/>
    <x v="0"/>
    <s v="Adult"/>
    <n v="1"/>
    <n v="0"/>
    <x v="0"/>
    <x v="9"/>
    <x v="2"/>
    <x v="1"/>
  </r>
  <r>
    <x v="123"/>
    <x v="1"/>
    <x v="1"/>
    <x v="2"/>
    <s v=" Susan"/>
    <s v=" Miss."/>
    <s v="Webber"/>
    <s v="female"/>
    <x v="1"/>
    <x v="49"/>
    <x v="0"/>
    <s v="Adult"/>
    <n v="0"/>
    <n v="0"/>
    <x v="1"/>
    <x v="16"/>
    <x v="2"/>
    <x v="0"/>
  </r>
  <r>
    <x v="124"/>
    <x v="0"/>
    <x v="0"/>
    <x v="1"/>
    <s v=" Percival Wayland"/>
    <s v=" Mr."/>
    <s v="White"/>
    <s v="male"/>
    <x v="0"/>
    <x v="5"/>
    <x v="0"/>
    <s v="Adult"/>
    <n v="0"/>
    <n v="1"/>
    <x v="0"/>
    <x v="69"/>
    <x v="2"/>
    <x v="0"/>
  </r>
  <r>
    <x v="125"/>
    <x v="1"/>
    <x v="1"/>
    <x v="0"/>
    <s v=" Elias"/>
    <s v=" Master."/>
    <s v="Nicola-Yarred"/>
    <s v="male"/>
    <x v="0"/>
    <x v="50"/>
    <x v="1"/>
    <s v="Child"/>
    <n v="1"/>
    <n v="0"/>
    <x v="0"/>
    <x v="33"/>
    <x v="2"/>
    <x v="1"/>
  </r>
  <r>
    <x v="126"/>
    <x v="0"/>
    <x v="0"/>
    <x v="0"/>
    <s v=" Martin"/>
    <s v=" Mr."/>
    <s v="McMahon"/>
    <s v="male"/>
    <x v="0"/>
    <x v="4"/>
    <x v="0"/>
    <s v="Adult"/>
    <n v="0"/>
    <n v="0"/>
    <x v="1"/>
    <x v="28"/>
    <x v="2"/>
    <x v="2"/>
  </r>
  <r>
    <x v="127"/>
    <x v="1"/>
    <x v="1"/>
    <x v="0"/>
    <s v=" Fridtjof Arne"/>
    <s v=" Mr."/>
    <s v="Madsen"/>
    <s v="male"/>
    <x v="0"/>
    <x v="41"/>
    <x v="0"/>
    <s v="Adult"/>
    <n v="0"/>
    <n v="0"/>
    <x v="1"/>
    <x v="76"/>
    <x v="2"/>
    <x v="0"/>
  </r>
  <r>
    <x v="128"/>
    <x v="1"/>
    <x v="1"/>
    <x v="0"/>
    <s v=" Anna"/>
    <s v=" Miss."/>
    <s v="Peter"/>
    <s v="female"/>
    <x v="1"/>
    <x v="4"/>
    <x v="0"/>
    <s v="Adult"/>
    <n v="1"/>
    <n v="1"/>
    <x v="3"/>
    <x v="77"/>
    <x v="2"/>
    <x v="1"/>
  </r>
  <r>
    <x v="129"/>
    <x v="0"/>
    <x v="0"/>
    <x v="0"/>
    <s v=" Johan"/>
    <s v=" Mr."/>
    <s v="Ekstrom"/>
    <s v="male"/>
    <x v="0"/>
    <x v="32"/>
    <x v="0"/>
    <s v="Adult"/>
    <n v="0"/>
    <n v="0"/>
    <x v="1"/>
    <x v="78"/>
    <x v="2"/>
    <x v="0"/>
  </r>
  <r>
    <x v="130"/>
    <x v="0"/>
    <x v="0"/>
    <x v="0"/>
    <s v=" Jozef"/>
    <s v=" Mr."/>
    <s v="Drazenoic"/>
    <s v="male"/>
    <x v="0"/>
    <x v="39"/>
    <x v="0"/>
    <s v="Adult"/>
    <n v="0"/>
    <n v="0"/>
    <x v="1"/>
    <x v="25"/>
    <x v="2"/>
    <x v="1"/>
  </r>
  <r>
    <x v="131"/>
    <x v="0"/>
    <x v="0"/>
    <x v="0"/>
    <s v=" Domingos Fernandeo"/>
    <s v=" Mr."/>
    <s v="Coelho"/>
    <s v="male"/>
    <x v="0"/>
    <x v="11"/>
    <x v="0"/>
    <s v="Adult"/>
    <n v="0"/>
    <n v="0"/>
    <x v="1"/>
    <x v="79"/>
    <x v="2"/>
    <x v="0"/>
  </r>
  <r>
    <x v="132"/>
    <x v="0"/>
    <x v="0"/>
    <x v="0"/>
    <s v=" Alexander A "/>
    <s v=" Mrs."/>
    <s v="Robins"/>
    <s v="female"/>
    <x v="1"/>
    <x v="46"/>
    <x v="0"/>
    <s v="Adult"/>
    <n v="1"/>
    <n v="0"/>
    <x v="0"/>
    <x v="80"/>
    <x v="2"/>
    <x v="0"/>
  </r>
  <r>
    <x v="133"/>
    <x v="1"/>
    <x v="1"/>
    <x v="2"/>
    <s v=" Leopold "/>
    <s v=" Mrs."/>
    <s v="Weisz"/>
    <s v="female"/>
    <x v="1"/>
    <x v="27"/>
    <x v="0"/>
    <s v="Adult"/>
    <n v="1"/>
    <n v="0"/>
    <x v="0"/>
    <x v="19"/>
    <x v="2"/>
    <x v="0"/>
  </r>
  <r>
    <x v="134"/>
    <x v="0"/>
    <x v="0"/>
    <x v="2"/>
    <s v=" Samuel James Hayden"/>
    <s v=" Mr."/>
    <s v="Sobey"/>
    <s v="male"/>
    <x v="0"/>
    <x v="36"/>
    <x v="0"/>
    <s v="Adult"/>
    <n v="0"/>
    <n v="0"/>
    <x v="1"/>
    <x v="16"/>
    <x v="2"/>
    <x v="0"/>
  </r>
  <r>
    <x v="135"/>
    <x v="0"/>
    <x v="0"/>
    <x v="2"/>
    <s v=" Emile"/>
    <s v=" Mr."/>
    <s v="Richard"/>
    <s v="male"/>
    <x v="0"/>
    <x v="40"/>
    <x v="0"/>
    <s v="Adult"/>
    <n v="0"/>
    <n v="0"/>
    <x v="1"/>
    <x v="81"/>
    <x v="2"/>
    <x v="1"/>
  </r>
  <r>
    <x v="136"/>
    <x v="1"/>
    <x v="1"/>
    <x v="1"/>
    <s v=" Helen Monypeny"/>
    <s v=" Miss."/>
    <s v="Newsom"/>
    <s v="female"/>
    <x v="1"/>
    <x v="18"/>
    <x v="0"/>
    <s v="Adult"/>
    <n v="0"/>
    <n v="2"/>
    <x v="3"/>
    <x v="82"/>
    <x v="2"/>
    <x v="0"/>
  </r>
  <r>
    <x v="137"/>
    <x v="0"/>
    <x v="0"/>
    <x v="1"/>
    <s v=" Jacques Heath"/>
    <s v=" Mr."/>
    <s v="Futrelle"/>
    <s v="male"/>
    <x v="0"/>
    <x v="45"/>
    <x v="0"/>
    <s v="Adult"/>
    <n v="1"/>
    <n v="0"/>
    <x v="0"/>
    <x v="3"/>
    <x v="2"/>
    <x v="0"/>
  </r>
  <r>
    <x v="138"/>
    <x v="0"/>
    <x v="0"/>
    <x v="0"/>
    <s v=" Olaf Elon"/>
    <s v=" Mr."/>
    <s v="Osen"/>
    <s v="male"/>
    <x v="0"/>
    <x v="35"/>
    <x v="2"/>
    <s v="Teen"/>
    <n v="0"/>
    <n v="0"/>
    <x v="1"/>
    <x v="83"/>
    <x v="2"/>
    <x v="0"/>
  </r>
  <r>
    <x v="139"/>
    <x v="0"/>
    <x v="0"/>
    <x v="1"/>
    <s v=" Victor"/>
    <s v=" Mr."/>
    <s v="Giglio"/>
    <s v="male"/>
    <x v="0"/>
    <x v="41"/>
    <x v="0"/>
    <s v="Adult"/>
    <n v="0"/>
    <n v="0"/>
    <x v="1"/>
    <x v="84"/>
    <x v="2"/>
    <x v="1"/>
  </r>
  <r>
    <x v="140"/>
    <x v="0"/>
    <x v="0"/>
    <x v="0"/>
    <s v=" Joseph "/>
    <s v=" Mrs."/>
    <s v="Boulos"/>
    <s v="female"/>
    <x v="1"/>
    <x v="4"/>
    <x v="0"/>
    <s v="Adult"/>
    <n v="0"/>
    <n v="2"/>
    <x v="3"/>
    <x v="49"/>
    <x v="2"/>
    <x v="1"/>
  </r>
  <r>
    <x v="141"/>
    <x v="1"/>
    <x v="1"/>
    <x v="0"/>
    <s v=" Anna Sofia"/>
    <s v=" Miss."/>
    <s v="Nysten"/>
    <s v="female"/>
    <x v="1"/>
    <x v="0"/>
    <x v="0"/>
    <s v="Adult"/>
    <n v="0"/>
    <n v="0"/>
    <x v="1"/>
    <x v="28"/>
    <x v="2"/>
    <x v="0"/>
  </r>
  <r>
    <x v="142"/>
    <x v="1"/>
    <x v="1"/>
    <x v="0"/>
    <s v=" Pekka Pietari "/>
    <s v=" Mrs."/>
    <s v="Hakkarainen"/>
    <s v="female"/>
    <x v="1"/>
    <x v="41"/>
    <x v="0"/>
    <s v="Adult"/>
    <n v="1"/>
    <n v="0"/>
    <x v="0"/>
    <x v="62"/>
    <x v="2"/>
    <x v="0"/>
  </r>
  <r>
    <x v="143"/>
    <x v="0"/>
    <x v="0"/>
    <x v="0"/>
    <s v=" Jeremiah"/>
    <s v=" Mr."/>
    <s v="Burke"/>
    <s v="male"/>
    <x v="0"/>
    <x v="18"/>
    <x v="0"/>
    <s v="Adult"/>
    <n v="0"/>
    <n v="0"/>
    <x v="1"/>
    <x v="85"/>
    <x v="2"/>
    <x v="2"/>
  </r>
  <r>
    <x v="144"/>
    <x v="0"/>
    <x v="0"/>
    <x v="2"/>
    <s v=" Edgardo Samuel"/>
    <s v=" Mr."/>
    <s v="Andrew"/>
    <s v="male"/>
    <x v="0"/>
    <x v="23"/>
    <x v="0"/>
    <s v="Adult"/>
    <n v="0"/>
    <n v="0"/>
    <x v="1"/>
    <x v="86"/>
    <x v="2"/>
    <x v="0"/>
  </r>
  <r>
    <x v="145"/>
    <x v="0"/>
    <x v="0"/>
    <x v="2"/>
    <s v=" Joseph Charles"/>
    <s v=" Mr."/>
    <s v="Nicholls"/>
    <s v="male"/>
    <x v="0"/>
    <x v="18"/>
    <x v="0"/>
    <s v="Adult"/>
    <n v="1"/>
    <n v="1"/>
    <x v="3"/>
    <x v="87"/>
    <x v="2"/>
    <x v="0"/>
  </r>
  <r>
    <x v="146"/>
    <x v="1"/>
    <x v="1"/>
    <x v="0"/>
    <s v=" August Edvard "/>
    <s v=" Mr."/>
    <s v="Andersson"/>
    <s v="male"/>
    <x v="0"/>
    <x v="7"/>
    <x v="0"/>
    <s v="Adult"/>
    <n v="0"/>
    <n v="0"/>
    <x v="1"/>
    <x v="88"/>
    <x v="2"/>
    <x v="0"/>
  </r>
  <r>
    <x v="147"/>
    <x v="0"/>
    <x v="0"/>
    <x v="0"/>
    <s v=" Robina Maggie &quot;Ruby&quot;"/>
    <s v=" Miss."/>
    <s v="Ford"/>
    <s v="female"/>
    <x v="1"/>
    <x v="51"/>
    <x v="1"/>
    <s v="Child"/>
    <n v="2"/>
    <n v="2"/>
    <x v="2"/>
    <x v="63"/>
    <x v="2"/>
    <x v="0"/>
  </r>
  <r>
    <x v="148"/>
    <x v="0"/>
    <x v="0"/>
    <x v="2"/>
    <s v=" Michel "/>
    <s v=" Mr."/>
    <s v="Navratil"/>
    <s v="male"/>
    <x v="0"/>
    <x v="52"/>
    <x v="0"/>
    <s v="Adult"/>
    <n v="0"/>
    <n v="2"/>
    <x v="3"/>
    <x v="19"/>
    <x v="2"/>
    <x v="0"/>
  </r>
  <r>
    <x v="149"/>
    <x v="0"/>
    <x v="0"/>
    <x v="2"/>
    <s v=" Thomas Roussel Davids"/>
    <s v=" Rev."/>
    <s v="Byles"/>
    <s v="male"/>
    <x v="0"/>
    <x v="21"/>
    <x v="0"/>
    <s v="Adult"/>
    <n v="0"/>
    <n v="0"/>
    <x v="1"/>
    <x v="16"/>
    <x v="2"/>
    <x v="0"/>
  </r>
  <r>
    <x v="150"/>
    <x v="0"/>
    <x v="0"/>
    <x v="2"/>
    <s v=" Robert James"/>
    <s v=" Rev."/>
    <s v="Bateman"/>
    <s v="male"/>
    <x v="0"/>
    <x v="53"/>
    <x v="0"/>
    <s v="Adult"/>
    <n v="0"/>
    <n v="0"/>
    <x v="1"/>
    <x v="89"/>
    <x v="2"/>
    <x v="0"/>
  </r>
  <r>
    <x v="151"/>
    <x v="1"/>
    <x v="1"/>
    <x v="1"/>
    <s v=" Thomas "/>
    <s v=" Mrs."/>
    <s v="Pears"/>
    <s v="female"/>
    <x v="1"/>
    <x v="0"/>
    <x v="0"/>
    <s v="Adult"/>
    <n v="1"/>
    <n v="0"/>
    <x v="0"/>
    <x v="90"/>
    <x v="2"/>
    <x v="0"/>
  </r>
  <r>
    <x v="152"/>
    <x v="0"/>
    <x v="0"/>
    <x v="0"/>
    <s v=" Alfonzo"/>
    <s v=" Mr."/>
    <s v="Meo"/>
    <s v="male"/>
    <x v="0"/>
    <x v="54"/>
    <x v="0"/>
    <s v="Adult"/>
    <n v="0"/>
    <n v="0"/>
    <x v="1"/>
    <x v="4"/>
    <x v="2"/>
    <x v="0"/>
  </r>
  <r>
    <x v="153"/>
    <x v="0"/>
    <x v="0"/>
    <x v="0"/>
    <s v=" Austin Blyler"/>
    <s v=" Mr."/>
    <s v="van Billiard"/>
    <s v="male"/>
    <x v="0"/>
    <x v="55"/>
    <x v="0"/>
    <s v="Adult"/>
    <n v="0"/>
    <n v="2"/>
    <x v="3"/>
    <x v="80"/>
    <x v="2"/>
    <x v="0"/>
  </r>
  <r>
    <x v="154"/>
    <x v="0"/>
    <x v="0"/>
    <x v="0"/>
    <s v=" Ole Martin"/>
    <s v=" Mr."/>
    <s v="Olsen"/>
    <s v="male"/>
    <x v="0"/>
    <x v="4"/>
    <x v="0"/>
    <s v="Adult"/>
    <n v="0"/>
    <n v="0"/>
    <x v="1"/>
    <x v="91"/>
    <x v="2"/>
    <x v="0"/>
  </r>
  <r>
    <x v="155"/>
    <x v="0"/>
    <x v="0"/>
    <x v="1"/>
    <s v=" Charles Duane"/>
    <s v=" Mr."/>
    <s v="Williams"/>
    <s v="male"/>
    <x v="0"/>
    <x v="53"/>
    <x v="0"/>
    <s v="Adult"/>
    <n v="0"/>
    <n v="1"/>
    <x v="0"/>
    <x v="92"/>
    <x v="2"/>
    <x v="1"/>
  </r>
  <r>
    <x v="156"/>
    <x v="1"/>
    <x v="1"/>
    <x v="0"/>
    <s v=" Katherine &quot;Katie&quot;"/>
    <s v=" Miss."/>
    <s v="Gilnagh"/>
    <s v="female"/>
    <x v="1"/>
    <x v="35"/>
    <x v="2"/>
    <s v="Teen"/>
    <n v="0"/>
    <n v="0"/>
    <x v="1"/>
    <x v="93"/>
    <x v="2"/>
    <x v="2"/>
  </r>
  <r>
    <x v="157"/>
    <x v="0"/>
    <x v="0"/>
    <x v="0"/>
    <s v=" Harry"/>
    <s v=" Mr."/>
    <s v="Corn"/>
    <s v="male"/>
    <x v="0"/>
    <x v="38"/>
    <x v="0"/>
    <s v="Adult"/>
    <n v="0"/>
    <n v="0"/>
    <x v="1"/>
    <x v="4"/>
    <x v="2"/>
    <x v="0"/>
  </r>
  <r>
    <x v="158"/>
    <x v="0"/>
    <x v="0"/>
    <x v="0"/>
    <s v=" Mile"/>
    <s v=" Mr."/>
    <s v="Smiljanic"/>
    <s v="male"/>
    <x v="0"/>
    <x v="4"/>
    <x v="0"/>
    <s v="Adult"/>
    <n v="0"/>
    <n v="0"/>
    <x v="1"/>
    <x v="51"/>
    <x v="2"/>
    <x v="0"/>
  </r>
  <r>
    <x v="159"/>
    <x v="0"/>
    <x v="0"/>
    <x v="0"/>
    <s v=" Thomas Henry"/>
    <s v=" Master."/>
    <s v="Sage"/>
    <s v="male"/>
    <x v="0"/>
    <x v="4"/>
    <x v="0"/>
    <s v="Adult"/>
    <n v="8"/>
    <n v="2"/>
    <x v="8"/>
    <x v="94"/>
    <x v="2"/>
    <x v="0"/>
  </r>
  <r>
    <x v="160"/>
    <x v="0"/>
    <x v="0"/>
    <x v="0"/>
    <s v=" John Hatfield"/>
    <s v=" Mr."/>
    <s v="Cribb"/>
    <s v="male"/>
    <x v="0"/>
    <x v="56"/>
    <x v="0"/>
    <s v="Adult"/>
    <n v="0"/>
    <n v="1"/>
    <x v="0"/>
    <x v="95"/>
    <x v="2"/>
    <x v="0"/>
  </r>
  <r>
    <x v="161"/>
    <x v="1"/>
    <x v="1"/>
    <x v="2"/>
    <s v=" James "/>
    <s v=" Mrs."/>
    <s v="Watt"/>
    <s v="female"/>
    <x v="1"/>
    <x v="19"/>
    <x v="0"/>
    <s v="Adult"/>
    <n v="0"/>
    <n v="0"/>
    <x v="1"/>
    <x v="96"/>
    <x v="2"/>
    <x v="0"/>
  </r>
  <r>
    <x v="162"/>
    <x v="0"/>
    <x v="0"/>
    <x v="0"/>
    <s v=" John Viktor"/>
    <s v=" Mr."/>
    <s v="Bengtsson"/>
    <s v="male"/>
    <x v="0"/>
    <x v="2"/>
    <x v="0"/>
    <s v="Adult"/>
    <n v="0"/>
    <n v="0"/>
    <x v="1"/>
    <x v="71"/>
    <x v="2"/>
    <x v="0"/>
  </r>
  <r>
    <x v="163"/>
    <x v="0"/>
    <x v="0"/>
    <x v="0"/>
    <s v=" Jovo"/>
    <s v=" Mr."/>
    <s v="Calic"/>
    <s v="male"/>
    <x v="0"/>
    <x v="33"/>
    <x v="2"/>
    <s v="Teen"/>
    <n v="0"/>
    <n v="0"/>
    <x v="1"/>
    <x v="51"/>
    <x v="2"/>
    <x v="0"/>
  </r>
  <r>
    <x v="164"/>
    <x v="0"/>
    <x v="0"/>
    <x v="0"/>
    <s v=" Eino Viljami"/>
    <s v=" Master."/>
    <s v="Panula"/>
    <s v="male"/>
    <x v="0"/>
    <x v="57"/>
    <x v="1"/>
    <s v="Child"/>
    <n v="4"/>
    <n v="1"/>
    <x v="5"/>
    <x v="40"/>
    <x v="2"/>
    <x v="0"/>
  </r>
  <r>
    <x v="165"/>
    <x v="1"/>
    <x v="1"/>
    <x v="0"/>
    <s v=" Frank John William &quot;Frankie&quot;"/>
    <s v=" Master."/>
    <s v="Goldsmith"/>
    <s v="male"/>
    <x v="0"/>
    <x v="51"/>
    <x v="1"/>
    <s v="Child"/>
    <n v="0"/>
    <n v="2"/>
    <x v="3"/>
    <x v="97"/>
    <x v="2"/>
    <x v="0"/>
  </r>
  <r>
    <x v="166"/>
    <x v="1"/>
    <x v="1"/>
    <x v="1"/>
    <s v=" "/>
    <s v=" Mrs."/>
    <s v="Chibnall"/>
    <s v="female"/>
    <x v="1"/>
    <x v="4"/>
    <x v="0"/>
    <s v="Adult"/>
    <n v="0"/>
    <n v="1"/>
    <x v="0"/>
    <x v="98"/>
    <x v="2"/>
    <x v="0"/>
  </r>
  <r>
    <x v="167"/>
    <x v="0"/>
    <x v="0"/>
    <x v="0"/>
    <s v=" William "/>
    <s v=" Mrs."/>
    <s v="Skoog"/>
    <s v="female"/>
    <x v="1"/>
    <x v="32"/>
    <x v="0"/>
    <s v="Adult"/>
    <n v="1"/>
    <n v="4"/>
    <x v="5"/>
    <x v="48"/>
    <x v="2"/>
    <x v="0"/>
  </r>
  <r>
    <x v="168"/>
    <x v="0"/>
    <x v="0"/>
    <x v="1"/>
    <s v=" John D"/>
    <s v=" Mr."/>
    <s v="Baumann"/>
    <s v="male"/>
    <x v="0"/>
    <x v="4"/>
    <x v="0"/>
    <s v="Adult"/>
    <n v="0"/>
    <n v="0"/>
    <x v="1"/>
    <x v="99"/>
    <x v="2"/>
    <x v="0"/>
  </r>
  <r>
    <x v="169"/>
    <x v="0"/>
    <x v="0"/>
    <x v="0"/>
    <s v=" Lee"/>
    <s v=" Mr."/>
    <s v="Ling"/>
    <s v="male"/>
    <x v="0"/>
    <x v="4"/>
    <x v="0"/>
    <s v="Adult"/>
    <n v="0"/>
    <n v="0"/>
    <x v="1"/>
    <x v="54"/>
    <x v="2"/>
    <x v="0"/>
  </r>
  <r>
    <x v="170"/>
    <x v="0"/>
    <x v="0"/>
    <x v="1"/>
    <s v=" Wyckoff"/>
    <s v=" Mr."/>
    <s v="Van der hoef"/>
    <s v="male"/>
    <x v="0"/>
    <x v="58"/>
    <x v="3"/>
    <s v="Old Age"/>
    <n v="0"/>
    <n v="0"/>
    <x v="1"/>
    <x v="100"/>
    <x v="2"/>
    <x v="0"/>
  </r>
  <r>
    <x v="171"/>
    <x v="0"/>
    <x v="0"/>
    <x v="0"/>
    <s v=" Arthur"/>
    <s v=" Master."/>
    <s v="Rice"/>
    <s v="male"/>
    <x v="0"/>
    <x v="9"/>
    <x v="1"/>
    <s v="Child"/>
    <n v="4"/>
    <n v="1"/>
    <x v="5"/>
    <x v="15"/>
    <x v="2"/>
    <x v="2"/>
  </r>
  <r>
    <x v="172"/>
    <x v="1"/>
    <x v="1"/>
    <x v="0"/>
    <s v=" Eleanor Ileen"/>
    <s v=" Miss."/>
    <s v="Johnson"/>
    <s v="female"/>
    <x v="1"/>
    <x v="57"/>
    <x v="1"/>
    <s v="Child"/>
    <n v="1"/>
    <n v="1"/>
    <x v="3"/>
    <x v="8"/>
    <x v="2"/>
    <x v="0"/>
  </r>
  <r>
    <x v="173"/>
    <x v="0"/>
    <x v="0"/>
    <x v="0"/>
    <s v=" Antti Wilhelm"/>
    <s v=" Mr."/>
    <s v="Sivola"/>
    <s v="male"/>
    <x v="0"/>
    <x v="22"/>
    <x v="0"/>
    <s v="Adult"/>
    <n v="0"/>
    <n v="0"/>
    <x v="1"/>
    <x v="2"/>
    <x v="2"/>
    <x v="0"/>
  </r>
  <r>
    <x v="174"/>
    <x v="0"/>
    <x v="0"/>
    <x v="1"/>
    <s v=" James Clinch"/>
    <s v=" Mr."/>
    <s v="Smith"/>
    <s v="male"/>
    <x v="0"/>
    <x v="59"/>
    <x v="0"/>
    <s v="Adult"/>
    <n v="0"/>
    <n v="0"/>
    <x v="1"/>
    <x v="101"/>
    <x v="2"/>
    <x v="1"/>
  </r>
  <r>
    <x v="175"/>
    <x v="0"/>
    <x v="0"/>
    <x v="0"/>
    <s v=" Klas Albin"/>
    <s v=" Mr."/>
    <s v="Klasen"/>
    <s v="male"/>
    <x v="0"/>
    <x v="23"/>
    <x v="0"/>
    <s v="Adult"/>
    <n v="1"/>
    <n v="1"/>
    <x v="3"/>
    <x v="13"/>
    <x v="2"/>
    <x v="0"/>
  </r>
  <r>
    <x v="176"/>
    <x v="0"/>
    <x v="0"/>
    <x v="0"/>
    <s v=" Henry Forbes"/>
    <s v=" Master."/>
    <s v="Lefebre"/>
    <s v="male"/>
    <x v="0"/>
    <x v="4"/>
    <x v="0"/>
    <s v="Adult"/>
    <n v="3"/>
    <n v="1"/>
    <x v="2"/>
    <x v="102"/>
    <x v="2"/>
    <x v="0"/>
  </r>
  <r>
    <x v="177"/>
    <x v="0"/>
    <x v="0"/>
    <x v="1"/>
    <s v=" Ann Elizabeth"/>
    <s v=" Miss."/>
    <s v="Isham"/>
    <s v="female"/>
    <x v="1"/>
    <x v="60"/>
    <x v="0"/>
    <s v="Adult"/>
    <n v="0"/>
    <n v="0"/>
    <x v="1"/>
    <x v="103"/>
    <x v="2"/>
    <x v="1"/>
  </r>
  <r>
    <x v="178"/>
    <x v="0"/>
    <x v="0"/>
    <x v="2"/>
    <s v=" Reginald"/>
    <s v=" Mr."/>
    <s v="Hale"/>
    <s v="male"/>
    <x v="0"/>
    <x v="38"/>
    <x v="0"/>
    <s v="Adult"/>
    <n v="0"/>
    <n v="0"/>
    <x v="1"/>
    <x v="16"/>
    <x v="2"/>
    <x v="0"/>
  </r>
  <r>
    <x v="179"/>
    <x v="0"/>
    <x v="0"/>
    <x v="0"/>
    <s v=" Lionel"/>
    <s v=" Mr."/>
    <s v="Leonard"/>
    <s v="male"/>
    <x v="0"/>
    <x v="61"/>
    <x v="0"/>
    <s v="Adult"/>
    <n v="0"/>
    <n v="0"/>
    <x v="1"/>
    <x v="53"/>
    <x v="2"/>
    <x v="0"/>
  </r>
  <r>
    <x v="180"/>
    <x v="0"/>
    <x v="0"/>
    <x v="0"/>
    <s v=" Constance Gladys"/>
    <s v=" Miss."/>
    <s v="Sage"/>
    <s v="female"/>
    <x v="1"/>
    <x v="4"/>
    <x v="0"/>
    <s v="Adult"/>
    <n v="8"/>
    <n v="2"/>
    <x v="8"/>
    <x v="94"/>
    <x v="2"/>
    <x v="0"/>
  </r>
  <r>
    <x v="181"/>
    <x v="0"/>
    <x v="0"/>
    <x v="2"/>
    <s v=" Rene"/>
    <s v=" Mr."/>
    <s v="Pernot"/>
    <s v="male"/>
    <x v="0"/>
    <x v="4"/>
    <x v="0"/>
    <s v="Adult"/>
    <n v="0"/>
    <n v="0"/>
    <x v="1"/>
    <x v="104"/>
    <x v="2"/>
    <x v="1"/>
  </r>
  <r>
    <x v="182"/>
    <x v="0"/>
    <x v="0"/>
    <x v="0"/>
    <s v=" Clarence Gustaf Hugo"/>
    <s v=" Master."/>
    <s v="Asplund"/>
    <s v="male"/>
    <x v="0"/>
    <x v="51"/>
    <x v="1"/>
    <s v="Child"/>
    <n v="4"/>
    <n v="2"/>
    <x v="4"/>
    <x v="22"/>
    <x v="2"/>
    <x v="0"/>
  </r>
  <r>
    <x v="183"/>
    <x v="1"/>
    <x v="1"/>
    <x v="2"/>
    <s v=" Richard F"/>
    <s v=" Master."/>
    <s v="Becker"/>
    <s v="male"/>
    <x v="0"/>
    <x v="57"/>
    <x v="1"/>
    <s v="Child"/>
    <n v="2"/>
    <n v="1"/>
    <x v="6"/>
    <x v="105"/>
    <x v="2"/>
    <x v="0"/>
  </r>
  <r>
    <x v="184"/>
    <x v="1"/>
    <x v="1"/>
    <x v="0"/>
    <s v=" Luise Gretchen"/>
    <s v=" Miss."/>
    <s v="Kink-Heilmann"/>
    <s v="female"/>
    <x v="1"/>
    <x v="9"/>
    <x v="1"/>
    <s v="Child"/>
    <n v="0"/>
    <n v="2"/>
    <x v="3"/>
    <x v="106"/>
    <x v="2"/>
    <x v="0"/>
  </r>
  <r>
    <x v="185"/>
    <x v="0"/>
    <x v="0"/>
    <x v="1"/>
    <s v=" Hugh Roscoe"/>
    <s v=" Mr."/>
    <s v="Rood"/>
    <s v="male"/>
    <x v="0"/>
    <x v="4"/>
    <x v="0"/>
    <s v="Adult"/>
    <n v="0"/>
    <n v="0"/>
    <x v="1"/>
    <x v="107"/>
    <x v="2"/>
    <x v="0"/>
  </r>
  <r>
    <x v="186"/>
    <x v="1"/>
    <x v="1"/>
    <x v="0"/>
    <s v=" Thomas "/>
    <s v=" Mrs."/>
    <s v="O'Brien"/>
    <s v="female"/>
    <x v="1"/>
    <x v="4"/>
    <x v="0"/>
    <s v="Adult"/>
    <n v="1"/>
    <n v="0"/>
    <x v="0"/>
    <x v="37"/>
    <x v="2"/>
    <x v="2"/>
  </r>
  <r>
    <x v="187"/>
    <x v="1"/>
    <x v="1"/>
    <x v="1"/>
    <s v=" Charles Hallace "/>
    <s v=" Mr."/>
    <s v="Romaine"/>
    <s v="male"/>
    <x v="0"/>
    <x v="32"/>
    <x v="0"/>
    <s v="Adult"/>
    <n v="0"/>
    <n v="0"/>
    <x v="1"/>
    <x v="11"/>
    <x v="2"/>
    <x v="0"/>
  </r>
  <r>
    <x v="188"/>
    <x v="0"/>
    <x v="0"/>
    <x v="0"/>
    <s v=" John"/>
    <s v=" Mr."/>
    <s v="Bourke"/>
    <s v="male"/>
    <x v="0"/>
    <x v="19"/>
    <x v="0"/>
    <s v="Adult"/>
    <n v="1"/>
    <n v="1"/>
    <x v="3"/>
    <x v="37"/>
    <x v="2"/>
    <x v="2"/>
  </r>
  <r>
    <x v="189"/>
    <x v="0"/>
    <x v="0"/>
    <x v="0"/>
    <s v=" Stjepan"/>
    <s v=" Mr."/>
    <s v="Turcin"/>
    <s v="male"/>
    <x v="0"/>
    <x v="61"/>
    <x v="0"/>
    <s v="Adult"/>
    <n v="0"/>
    <n v="0"/>
    <x v="1"/>
    <x v="25"/>
    <x v="2"/>
    <x v="0"/>
  </r>
  <r>
    <x v="190"/>
    <x v="1"/>
    <x v="1"/>
    <x v="2"/>
    <s v=" "/>
    <s v=" Mrs."/>
    <s v="Pinsky"/>
    <s v="female"/>
    <x v="1"/>
    <x v="34"/>
    <x v="0"/>
    <s v="Adult"/>
    <n v="0"/>
    <n v="0"/>
    <x v="1"/>
    <x v="16"/>
    <x v="2"/>
    <x v="0"/>
  </r>
  <r>
    <x v="191"/>
    <x v="0"/>
    <x v="0"/>
    <x v="2"/>
    <s v=" William"/>
    <s v=" Mr."/>
    <s v="Carbines"/>
    <s v="male"/>
    <x v="0"/>
    <x v="18"/>
    <x v="0"/>
    <s v="Adult"/>
    <n v="0"/>
    <n v="0"/>
    <x v="1"/>
    <x v="16"/>
    <x v="2"/>
    <x v="0"/>
  </r>
  <r>
    <x v="192"/>
    <x v="1"/>
    <x v="1"/>
    <x v="0"/>
    <s v=" Carla Christine Nielsine"/>
    <s v=" Miss."/>
    <s v="Andersen-Jensen"/>
    <s v="female"/>
    <x v="1"/>
    <x v="18"/>
    <x v="0"/>
    <s v="Adult"/>
    <n v="1"/>
    <n v="0"/>
    <x v="0"/>
    <x v="13"/>
    <x v="2"/>
    <x v="0"/>
  </r>
  <r>
    <x v="193"/>
    <x v="1"/>
    <x v="1"/>
    <x v="2"/>
    <s v=" Michel M"/>
    <s v=" Master."/>
    <s v="Navratil"/>
    <s v="male"/>
    <x v="0"/>
    <x v="24"/>
    <x v="1"/>
    <s v="Child"/>
    <n v="1"/>
    <n v="1"/>
    <x v="3"/>
    <x v="19"/>
    <x v="2"/>
    <x v="0"/>
  </r>
  <r>
    <x v="194"/>
    <x v="1"/>
    <x v="1"/>
    <x v="1"/>
    <s v=" James Joseph "/>
    <s v=" Mrs."/>
    <s v="Brown"/>
    <s v="female"/>
    <x v="1"/>
    <x v="56"/>
    <x v="0"/>
    <s v="Adult"/>
    <n v="0"/>
    <n v="0"/>
    <x v="1"/>
    <x v="26"/>
    <x v="2"/>
    <x v="1"/>
  </r>
  <r>
    <x v="195"/>
    <x v="1"/>
    <x v="1"/>
    <x v="1"/>
    <s v=" Elise"/>
    <s v=" Miss."/>
    <s v="Lurette"/>
    <s v="female"/>
    <x v="1"/>
    <x v="10"/>
    <x v="0"/>
    <s v="Adult"/>
    <n v="0"/>
    <n v="0"/>
    <x v="1"/>
    <x v="27"/>
    <x v="2"/>
    <x v="1"/>
  </r>
  <r>
    <x v="196"/>
    <x v="0"/>
    <x v="0"/>
    <x v="0"/>
    <s v=" Robert"/>
    <s v=" Mr."/>
    <s v="Mernagh"/>
    <s v="male"/>
    <x v="0"/>
    <x v="4"/>
    <x v="0"/>
    <s v="Adult"/>
    <n v="0"/>
    <n v="0"/>
    <x v="1"/>
    <x v="28"/>
    <x v="2"/>
    <x v="2"/>
  </r>
  <r>
    <x v="197"/>
    <x v="0"/>
    <x v="0"/>
    <x v="0"/>
    <s v=" Karl Siegwart Andreas"/>
    <s v=" Mr."/>
    <s v="Olsen"/>
    <s v="male"/>
    <x v="0"/>
    <x v="21"/>
    <x v="0"/>
    <s v="Adult"/>
    <n v="0"/>
    <n v="1"/>
    <x v="0"/>
    <x v="108"/>
    <x v="2"/>
    <x v="0"/>
  </r>
  <r>
    <x v="198"/>
    <x v="1"/>
    <x v="1"/>
    <x v="0"/>
    <s v=" Margaret &quot;Maggie&quot;"/>
    <s v=" Miss."/>
    <s v="Madigan"/>
    <s v="female"/>
    <x v="1"/>
    <x v="4"/>
    <x v="0"/>
    <s v="Adult"/>
    <n v="0"/>
    <n v="0"/>
    <x v="1"/>
    <x v="28"/>
    <x v="2"/>
    <x v="2"/>
  </r>
  <r>
    <x v="199"/>
    <x v="0"/>
    <x v="0"/>
    <x v="2"/>
    <s v=" Henriette "/>
    <s v=" Miss."/>
    <s v="Yrois"/>
    <s v="female"/>
    <x v="1"/>
    <x v="41"/>
    <x v="0"/>
    <s v="Adult"/>
    <n v="0"/>
    <n v="0"/>
    <x v="1"/>
    <x v="16"/>
    <x v="2"/>
    <x v="0"/>
  </r>
  <r>
    <x v="200"/>
    <x v="0"/>
    <x v="0"/>
    <x v="0"/>
    <s v=" Nestor Cyriel"/>
    <s v=" Mr."/>
    <s v="Vande Walle"/>
    <s v="male"/>
    <x v="0"/>
    <x v="4"/>
    <x v="0"/>
    <s v="Adult"/>
    <n v="0"/>
    <n v="0"/>
    <x v="1"/>
    <x v="59"/>
    <x v="2"/>
    <x v="0"/>
  </r>
  <r>
    <x v="201"/>
    <x v="0"/>
    <x v="0"/>
    <x v="0"/>
    <s v=" Frederick"/>
    <s v=" Mr."/>
    <s v="Sage"/>
    <s v="male"/>
    <x v="0"/>
    <x v="4"/>
    <x v="0"/>
    <s v="Adult"/>
    <n v="8"/>
    <n v="2"/>
    <x v="8"/>
    <x v="94"/>
    <x v="2"/>
    <x v="0"/>
  </r>
  <r>
    <x v="202"/>
    <x v="0"/>
    <x v="0"/>
    <x v="0"/>
    <s v=" Jakob Alfred"/>
    <s v=" Mr."/>
    <s v="Johanson"/>
    <s v="male"/>
    <x v="0"/>
    <x v="15"/>
    <x v="0"/>
    <s v="Adult"/>
    <n v="0"/>
    <n v="0"/>
    <x v="1"/>
    <x v="109"/>
    <x v="2"/>
    <x v="0"/>
  </r>
  <r>
    <x v="203"/>
    <x v="0"/>
    <x v="0"/>
    <x v="0"/>
    <s v=" Gerious"/>
    <s v=" Mr."/>
    <s v="Youseff"/>
    <s v="male"/>
    <x v="0"/>
    <x v="62"/>
    <x v="0"/>
    <s v="Adult"/>
    <n v="0"/>
    <n v="0"/>
    <x v="1"/>
    <x v="18"/>
    <x v="2"/>
    <x v="1"/>
  </r>
  <r>
    <x v="204"/>
    <x v="1"/>
    <x v="1"/>
    <x v="0"/>
    <s v=" Gurshon &quot;Gus&quot;"/>
    <s v=" Mr."/>
    <s v="Cohen"/>
    <s v="male"/>
    <x v="0"/>
    <x v="23"/>
    <x v="0"/>
    <s v="Adult"/>
    <n v="0"/>
    <n v="0"/>
    <x v="1"/>
    <x v="4"/>
    <x v="2"/>
    <x v="0"/>
  </r>
  <r>
    <x v="205"/>
    <x v="0"/>
    <x v="0"/>
    <x v="0"/>
    <s v=" Telma Matilda"/>
    <s v=" Miss."/>
    <s v="Strom"/>
    <s v="female"/>
    <x v="1"/>
    <x v="6"/>
    <x v="1"/>
    <s v="Child"/>
    <n v="0"/>
    <n v="1"/>
    <x v="0"/>
    <x v="110"/>
    <x v="2"/>
    <x v="0"/>
  </r>
  <r>
    <x v="206"/>
    <x v="0"/>
    <x v="0"/>
    <x v="0"/>
    <s v=" Karl Alfred"/>
    <s v=" Mr."/>
    <s v="Backstrom"/>
    <s v="male"/>
    <x v="0"/>
    <x v="34"/>
    <x v="0"/>
    <s v="Adult"/>
    <n v="1"/>
    <n v="0"/>
    <x v="0"/>
    <x v="62"/>
    <x v="2"/>
    <x v="0"/>
  </r>
  <r>
    <x v="207"/>
    <x v="1"/>
    <x v="1"/>
    <x v="0"/>
    <s v=" Nassef Cassem"/>
    <s v=" Mr."/>
    <s v="Albimona"/>
    <s v="male"/>
    <x v="0"/>
    <x v="2"/>
    <x v="0"/>
    <s v="Adult"/>
    <n v="0"/>
    <n v="0"/>
    <x v="1"/>
    <x v="111"/>
    <x v="2"/>
    <x v="1"/>
  </r>
  <r>
    <x v="208"/>
    <x v="1"/>
    <x v="1"/>
    <x v="0"/>
    <s v=" Helen &quot;Ellen&quot;"/>
    <s v=" Miss."/>
    <s v="Carr"/>
    <s v="female"/>
    <x v="1"/>
    <x v="35"/>
    <x v="2"/>
    <s v="Teen"/>
    <n v="0"/>
    <n v="0"/>
    <x v="1"/>
    <x v="28"/>
    <x v="2"/>
    <x v="2"/>
  </r>
  <r>
    <x v="209"/>
    <x v="1"/>
    <x v="1"/>
    <x v="1"/>
    <s v=" Henry"/>
    <s v=" Mr."/>
    <s v="Blank"/>
    <s v="male"/>
    <x v="0"/>
    <x v="19"/>
    <x v="0"/>
    <s v="Adult"/>
    <n v="0"/>
    <n v="0"/>
    <x v="1"/>
    <x v="112"/>
    <x v="2"/>
    <x v="1"/>
  </r>
  <r>
    <x v="210"/>
    <x v="0"/>
    <x v="0"/>
    <x v="0"/>
    <s v=" Ahmed"/>
    <s v=" Mr."/>
    <s v="Ali"/>
    <s v="male"/>
    <x v="0"/>
    <x v="41"/>
    <x v="0"/>
    <s v="Adult"/>
    <n v="0"/>
    <n v="0"/>
    <x v="1"/>
    <x v="79"/>
    <x v="2"/>
    <x v="0"/>
  </r>
  <r>
    <x v="211"/>
    <x v="1"/>
    <x v="1"/>
    <x v="2"/>
    <s v=" Clear Annie"/>
    <s v=" Miss."/>
    <s v="Cameron"/>
    <s v="female"/>
    <x v="1"/>
    <x v="3"/>
    <x v="0"/>
    <s v="Adult"/>
    <n v="0"/>
    <n v="0"/>
    <x v="1"/>
    <x v="35"/>
    <x v="2"/>
    <x v="0"/>
  </r>
  <r>
    <x v="212"/>
    <x v="0"/>
    <x v="0"/>
    <x v="0"/>
    <s v=" John Henry"/>
    <s v=" Mr."/>
    <s v="Perkin"/>
    <s v="male"/>
    <x v="0"/>
    <x v="0"/>
    <x v="0"/>
    <s v="Adult"/>
    <n v="0"/>
    <n v="0"/>
    <x v="1"/>
    <x v="0"/>
    <x v="2"/>
    <x v="0"/>
  </r>
  <r>
    <x v="213"/>
    <x v="0"/>
    <x v="0"/>
    <x v="2"/>
    <s v=" Hans Kristensen"/>
    <s v=" Mr."/>
    <s v="Givard"/>
    <s v="male"/>
    <x v="0"/>
    <x v="38"/>
    <x v="0"/>
    <s v="Adult"/>
    <n v="0"/>
    <n v="0"/>
    <x v="1"/>
    <x v="16"/>
    <x v="2"/>
    <x v="0"/>
  </r>
  <r>
    <x v="214"/>
    <x v="0"/>
    <x v="0"/>
    <x v="0"/>
    <s v=" Philip"/>
    <s v=" Mr."/>
    <s v="Kiernan"/>
    <s v="male"/>
    <x v="0"/>
    <x v="4"/>
    <x v="0"/>
    <s v="Adult"/>
    <n v="1"/>
    <n v="0"/>
    <x v="0"/>
    <x v="28"/>
    <x v="2"/>
    <x v="2"/>
  </r>
  <r>
    <x v="215"/>
    <x v="1"/>
    <x v="1"/>
    <x v="1"/>
    <s v=" Madeleine"/>
    <s v=" Miss."/>
    <s v="Newell"/>
    <s v="female"/>
    <x v="1"/>
    <x v="14"/>
    <x v="0"/>
    <s v="Adult"/>
    <n v="1"/>
    <n v="0"/>
    <x v="0"/>
    <x v="113"/>
    <x v="2"/>
    <x v="1"/>
  </r>
  <r>
    <x v="216"/>
    <x v="1"/>
    <x v="1"/>
    <x v="0"/>
    <s v=" Eliina"/>
    <s v=" Miss."/>
    <s v="Honkanen"/>
    <s v="female"/>
    <x v="1"/>
    <x v="7"/>
    <x v="0"/>
    <s v="Adult"/>
    <n v="0"/>
    <n v="0"/>
    <x v="1"/>
    <x v="2"/>
    <x v="2"/>
    <x v="0"/>
  </r>
  <r>
    <x v="217"/>
    <x v="0"/>
    <x v="0"/>
    <x v="2"/>
    <s v=" Sidney Samuel"/>
    <s v=" Mr."/>
    <s v="Jacobsohn"/>
    <s v="male"/>
    <x v="0"/>
    <x v="21"/>
    <x v="0"/>
    <s v="Adult"/>
    <n v="1"/>
    <n v="0"/>
    <x v="0"/>
    <x v="114"/>
    <x v="2"/>
    <x v="0"/>
  </r>
  <r>
    <x v="218"/>
    <x v="1"/>
    <x v="1"/>
    <x v="1"/>
    <s v=" Albina"/>
    <s v=" Miss."/>
    <s v="Bazzani"/>
    <s v="female"/>
    <x v="1"/>
    <x v="34"/>
    <x v="0"/>
    <s v="Adult"/>
    <n v="0"/>
    <n v="0"/>
    <x v="1"/>
    <x v="115"/>
    <x v="2"/>
    <x v="1"/>
  </r>
  <r>
    <x v="219"/>
    <x v="0"/>
    <x v="0"/>
    <x v="2"/>
    <s v=" Walter"/>
    <s v=" Mr."/>
    <s v="Harris"/>
    <s v="male"/>
    <x v="0"/>
    <x v="38"/>
    <x v="0"/>
    <s v="Adult"/>
    <n v="0"/>
    <n v="0"/>
    <x v="1"/>
    <x v="29"/>
    <x v="2"/>
    <x v="0"/>
  </r>
  <r>
    <x v="220"/>
    <x v="1"/>
    <x v="1"/>
    <x v="0"/>
    <s v=" Victor Francis"/>
    <s v=" Mr."/>
    <s v="Sunderland"/>
    <s v="male"/>
    <x v="0"/>
    <x v="35"/>
    <x v="2"/>
    <s v="Teen"/>
    <n v="0"/>
    <n v="0"/>
    <x v="1"/>
    <x v="4"/>
    <x v="2"/>
    <x v="0"/>
  </r>
  <r>
    <x v="221"/>
    <x v="0"/>
    <x v="0"/>
    <x v="2"/>
    <s v=" James H"/>
    <s v=" Mr."/>
    <s v="Bracken"/>
    <s v="male"/>
    <x v="0"/>
    <x v="7"/>
    <x v="0"/>
    <s v="Adult"/>
    <n v="0"/>
    <n v="0"/>
    <x v="1"/>
    <x v="16"/>
    <x v="2"/>
    <x v="0"/>
  </r>
  <r>
    <x v="222"/>
    <x v="0"/>
    <x v="0"/>
    <x v="0"/>
    <s v=" George Henry"/>
    <s v=" Mr."/>
    <s v="Green"/>
    <s v="male"/>
    <x v="0"/>
    <x v="53"/>
    <x v="0"/>
    <s v="Adult"/>
    <n v="0"/>
    <n v="0"/>
    <x v="1"/>
    <x v="4"/>
    <x v="2"/>
    <x v="0"/>
  </r>
  <r>
    <x v="223"/>
    <x v="0"/>
    <x v="0"/>
    <x v="0"/>
    <s v=" Christo"/>
    <s v=" Mr."/>
    <s v="Nenkoff"/>
    <s v="male"/>
    <x v="0"/>
    <x v="4"/>
    <x v="0"/>
    <s v="Adult"/>
    <n v="0"/>
    <n v="0"/>
    <x v="1"/>
    <x v="25"/>
    <x v="2"/>
    <x v="0"/>
  </r>
  <r>
    <x v="224"/>
    <x v="1"/>
    <x v="1"/>
    <x v="1"/>
    <s v=" Frederick Maxfield"/>
    <s v=" Mr."/>
    <s v="Hoyt"/>
    <s v="male"/>
    <x v="0"/>
    <x v="1"/>
    <x v="0"/>
    <s v="Adult"/>
    <n v="1"/>
    <n v="0"/>
    <x v="0"/>
    <x v="116"/>
    <x v="2"/>
    <x v="0"/>
  </r>
  <r>
    <x v="225"/>
    <x v="0"/>
    <x v="0"/>
    <x v="0"/>
    <s v=" Karl Ivar Sven"/>
    <s v=" Mr."/>
    <s v="Berglund"/>
    <s v="male"/>
    <x v="0"/>
    <x v="0"/>
    <x v="0"/>
    <s v="Adult"/>
    <n v="0"/>
    <n v="0"/>
    <x v="1"/>
    <x v="117"/>
    <x v="2"/>
    <x v="0"/>
  </r>
  <r>
    <x v="226"/>
    <x v="1"/>
    <x v="1"/>
    <x v="2"/>
    <s v=" William John"/>
    <s v=" Mr."/>
    <s v="Mellors"/>
    <s v="male"/>
    <x v="0"/>
    <x v="18"/>
    <x v="0"/>
    <s v="Adult"/>
    <n v="0"/>
    <n v="0"/>
    <x v="1"/>
    <x v="29"/>
    <x v="2"/>
    <x v="0"/>
  </r>
  <r>
    <x v="227"/>
    <x v="0"/>
    <x v="0"/>
    <x v="0"/>
    <s v=" John Hall "/>
    <s v=" Mr."/>
    <s v="Lovell"/>
    <s v="male"/>
    <x v="0"/>
    <x v="63"/>
    <x v="0"/>
    <s v="Adult"/>
    <n v="0"/>
    <n v="0"/>
    <x v="1"/>
    <x v="0"/>
    <x v="2"/>
    <x v="0"/>
  </r>
  <r>
    <x v="228"/>
    <x v="0"/>
    <x v="0"/>
    <x v="2"/>
    <s v=" Arne Jonas"/>
    <s v=" Mr."/>
    <s v="Fahlstrom"/>
    <s v="male"/>
    <x v="0"/>
    <x v="23"/>
    <x v="0"/>
    <s v="Adult"/>
    <n v="0"/>
    <n v="0"/>
    <x v="1"/>
    <x v="16"/>
    <x v="2"/>
    <x v="0"/>
  </r>
  <r>
    <x v="229"/>
    <x v="0"/>
    <x v="0"/>
    <x v="0"/>
    <s v=" Mathilde"/>
    <s v=" Miss."/>
    <s v="Lefebre"/>
    <s v="female"/>
    <x v="1"/>
    <x v="4"/>
    <x v="0"/>
    <s v="Adult"/>
    <n v="3"/>
    <n v="1"/>
    <x v="2"/>
    <x v="102"/>
    <x v="2"/>
    <x v="0"/>
  </r>
  <r>
    <x v="230"/>
    <x v="1"/>
    <x v="1"/>
    <x v="1"/>
    <s v=" Henry Birkhardt "/>
    <s v=" Mrs."/>
    <s v="Harris"/>
    <s v="female"/>
    <x v="1"/>
    <x v="3"/>
    <x v="0"/>
    <s v="Adult"/>
    <n v="1"/>
    <n v="0"/>
    <x v="0"/>
    <x v="47"/>
    <x v="2"/>
    <x v="0"/>
  </r>
  <r>
    <x v="231"/>
    <x v="0"/>
    <x v="0"/>
    <x v="0"/>
    <s v=" Bengt Edvin"/>
    <s v=" Mr."/>
    <s v="Larsson"/>
    <s v="male"/>
    <x v="0"/>
    <x v="27"/>
    <x v="0"/>
    <s v="Adult"/>
    <n v="0"/>
    <n v="0"/>
    <x v="1"/>
    <x v="71"/>
    <x v="2"/>
    <x v="0"/>
  </r>
  <r>
    <x v="232"/>
    <x v="0"/>
    <x v="0"/>
    <x v="2"/>
    <s v=" Ernst Adolf"/>
    <s v=" Mr."/>
    <s v="Sjostedt"/>
    <s v="male"/>
    <x v="0"/>
    <x v="43"/>
    <x v="0"/>
    <s v="Adult"/>
    <n v="0"/>
    <n v="0"/>
    <x v="1"/>
    <x v="118"/>
    <x v="2"/>
    <x v="0"/>
  </r>
  <r>
    <x v="233"/>
    <x v="1"/>
    <x v="1"/>
    <x v="0"/>
    <s v=" Lillian Gertrud"/>
    <s v=" Miss."/>
    <s v="Asplund"/>
    <s v="female"/>
    <x v="1"/>
    <x v="30"/>
    <x v="1"/>
    <s v="Child"/>
    <n v="4"/>
    <n v="2"/>
    <x v="4"/>
    <x v="22"/>
    <x v="2"/>
    <x v="0"/>
  </r>
  <r>
    <x v="234"/>
    <x v="0"/>
    <x v="0"/>
    <x v="2"/>
    <s v=" Robert William Norman"/>
    <s v=" Mr."/>
    <s v="Leyson"/>
    <s v="male"/>
    <x v="0"/>
    <x v="41"/>
    <x v="0"/>
    <s v="Adult"/>
    <n v="0"/>
    <n v="0"/>
    <x v="1"/>
    <x v="29"/>
    <x v="2"/>
    <x v="0"/>
  </r>
  <r>
    <x v="235"/>
    <x v="0"/>
    <x v="0"/>
    <x v="0"/>
    <s v=" Alice Phoebe"/>
    <s v=" Miss."/>
    <s v="Harknett"/>
    <s v="female"/>
    <x v="1"/>
    <x v="4"/>
    <x v="0"/>
    <s v="Adult"/>
    <n v="0"/>
    <n v="0"/>
    <x v="1"/>
    <x v="119"/>
    <x v="2"/>
    <x v="0"/>
  </r>
  <r>
    <x v="236"/>
    <x v="0"/>
    <x v="0"/>
    <x v="2"/>
    <s v=" Stephen"/>
    <s v=" Mr."/>
    <s v="Hold"/>
    <s v="male"/>
    <x v="0"/>
    <x v="56"/>
    <x v="0"/>
    <s v="Adult"/>
    <n v="1"/>
    <n v="0"/>
    <x v="0"/>
    <x v="19"/>
    <x v="2"/>
    <x v="0"/>
  </r>
  <r>
    <x v="237"/>
    <x v="1"/>
    <x v="1"/>
    <x v="2"/>
    <s v=" Marjorie &quot;Lottie&quot;"/>
    <s v=" Miss."/>
    <s v="Collyer"/>
    <s v="female"/>
    <x v="1"/>
    <x v="17"/>
    <x v="1"/>
    <s v="Child"/>
    <n v="0"/>
    <n v="2"/>
    <x v="3"/>
    <x v="120"/>
    <x v="2"/>
    <x v="0"/>
  </r>
  <r>
    <x v="238"/>
    <x v="0"/>
    <x v="0"/>
    <x v="2"/>
    <s v=" Frederick William"/>
    <s v=" Mr."/>
    <s v="Pengelly"/>
    <s v="male"/>
    <x v="0"/>
    <x v="18"/>
    <x v="0"/>
    <s v="Adult"/>
    <n v="0"/>
    <n v="0"/>
    <x v="1"/>
    <x v="29"/>
    <x v="2"/>
    <x v="0"/>
  </r>
  <r>
    <x v="239"/>
    <x v="0"/>
    <x v="0"/>
    <x v="2"/>
    <s v=" George Henry"/>
    <s v=" Mr."/>
    <s v="Hunt"/>
    <s v="male"/>
    <x v="0"/>
    <x v="39"/>
    <x v="0"/>
    <s v="Adult"/>
    <n v="0"/>
    <n v="0"/>
    <x v="1"/>
    <x v="121"/>
    <x v="2"/>
    <x v="0"/>
  </r>
  <r>
    <x v="240"/>
    <x v="0"/>
    <x v="0"/>
    <x v="0"/>
    <s v=" Thamine"/>
    <s v=" Miss."/>
    <s v="Zabour"/>
    <s v="female"/>
    <x v="1"/>
    <x v="4"/>
    <x v="0"/>
    <s v="Adult"/>
    <n v="1"/>
    <n v="0"/>
    <x v="0"/>
    <x v="53"/>
    <x v="2"/>
    <x v="1"/>
  </r>
  <r>
    <x v="241"/>
    <x v="1"/>
    <x v="1"/>
    <x v="0"/>
    <s v=" Katherine &quot;Kate&quot;"/>
    <s v=" Miss."/>
    <s v="Murphy"/>
    <s v="female"/>
    <x v="1"/>
    <x v="4"/>
    <x v="0"/>
    <s v="Adult"/>
    <n v="1"/>
    <n v="0"/>
    <x v="0"/>
    <x v="37"/>
    <x v="2"/>
    <x v="2"/>
  </r>
  <r>
    <x v="242"/>
    <x v="0"/>
    <x v="0"/>
    <x v="2"/>
    <s v=" Reginald Charles"/>
    <s v=" Mr."/>
    <s v="Coleridge"/>
    <s v="male"/>
    <x v="0"/>
    <x v="27"/>
    <x v="0"/>
    <s v="Adult"/>
    <n v="0"/>
    <n v="0"/>
    <x v="1"/>
    <x v="29"/>
    <x v="2"/>
    <x v="0"/>
  </r>
  <r>
    <x v="243"/>
    <x v="0"/>
    <x v="0"/>
    <x v="0"/>
    <s v=" Matti Alexanteri"/>
    <s v=" Mr."/>
    <s v="Maenpaa"/>
    <s v="male"/>
    <x v="0"/>
    <x v="0"/>
    <x v="0"/>
    <s v="Adult"/>
    <n v="0"/>
    <n v="0"/>
    <x v="1"/>
    <x v="122"/>
    <x v="2"/>
    <x v="0"/>
  </r>
  <r>
    <x v="244"/>
    <x v="0"/>
    <x v="0"/>
    <x v="0"/>
    <s v=" Sleiman"/>
    <s v=" Mr."/>
    <s v="Attalah"/>
    <s v="male"/>
    <x v="0"/>
    <x v="38"/>
    <x v="0"/>
    <s v="Adult"/>
    <n v="0"/>
    <n v="0"/>
    <x v="1"/>
    <x v="18"/>
    <x v="2"/>
    <x v="1"/>
  </r>
  <r>
    <x v="245"/>
    <x v="0"/>
    <x v="0"/>
    <x v="1"/>
    <s v=" William Edward"/>
    <s v=" Dr."/>
    <s v="Minahan"/>
    <s v="male"/>
    <x v="0"/>
    <x v="56"/>
    <x v="0"/>
    <s v="Adult"/>
    <n v="2"/>
    <n v="0"/>
    <x v="3"/>
    <x v="116"/>
    <x v="2"/>
    <x v="2"/>
  </r>
  <r>
    <x v="246"/>
    <x v="0"/>
    <x v="0"/>
    <x v="0"/>
    <s v=" Agda Thorilda Viktoria"/>
    <s v=" Miss."/>
    <s v="Lindahl"/>
    <s v="female"/>
    <x v="1"/>
    <x v="36"/>
    <x v="0"/>
    <s v="Adult"/>
    <n v="0"/>
    <n v="0"/>
    <x v="1"/>
    <x v="71"/>
    <x v="2"/>
    <x v="0"/>
  </r>
  <r>
    <x v="247"/>
    <x v="1"/>
    <x v="1"/>
    <x v="2"/>
    <s v=" William "/>
    <s v=" Mrs."/>
    <s v="Hamalainen"/>
    <s v="female"/>
    <x v="1"/>
    <x v="41"/>
    <x v="0"/>
    <s v="Adult"/>
    <n v="0"/>
    <n v="2"/>
    <x v="3"/>
    <x v="80"/>
    <x v="2"/>
    <x v="0"/>
  </r>
  <r>
    <x v="248"/>
    <x v="1"/>
    <x v="1"/>
    <x v="1"/>
    <s v=" Richard Leonard"/>
    <s v=" Mr."/>
    <s v="Beckwith"/>
    <s v="male"/>
    <x v="0"/>
    <x v="45"/>
    <x v="0"/>
    <s v="Adult"/>
    <n v="1"/>
    <n v="1"/>
    <x v="3"/>
    <x v="123"/>
    <x v="2"/>
    <x v="0"/>
  </r>
  <r>
    <x v="249"/>
    <x v="0"/>
    <x v="0"/>
    <x v="2"/>
    <s v=" Ernest Courtenay"/>
    <s v=" Rev."/>
    <s v="Carter"/>
    <s v="male"/>
    <x v="0"/>
    <x v="5"/>
    <x v="0"/>
    <s v="Adult"/>
    <n v="1"/>
    <n v="0"/>
    <x v="0"/>
    <x v="19"/>
    <x v="2"/>
    <x v="0"/>
  </r>
  <r>
    <x v="250"/>
    <x v="0"/>
    <x v="0"/>
    <x v="0"/>
    <s v=" James George"/>
    <s v=" Mr."/>
    <s v="Reed"/>
    <s v="male"/>
    <x v="0"/>
    <x v="4"/>
    <x v="0"/>
    <s v="Adult"/>
    <n v="0"/>
    <n v="0"/>
    <x v="1"/>
    <x v="0"/>
    <x v="2"/>
    <x v="0"/>
  </r>
  <r>
    <x v="251"/>
    <x v="0"/>
    <x v="0"/>
    <x v="0"/>
    <s v=" Wilhelm "/>
    <s v=" Mrs."/>
    <s v="Strom"/>
    <s v="female"/>
    <x v="1"/>
    <x v="27"/>
    <x v="0"/>
    <s v="Adult"/>
    <n v="1"/>
    <n v="1"/>
    <x v="3"/>
    <x v="110"/>
    <x v="2"/>
    <x v="0"/>
  </r>
  <r>
    <x v="252"/>
    <x v="0"/>
    <x v="0"/>
    <x v="1"/>
    <s v=" William Thomas"/>
    <s v=" Mr."/>
    <s v="Stead"/>
    <s v="male"/>
    <x v="0"/>
    <x v="64"/>
    <x v="3"/>
    <s v="Old Age"/>
    <n v="0"/>
    <n v="0"/>
    <x v="1"/>
    <x v="11"/>
    <x v="2"/>
    <x v="0"/>
  </r>
  <r>
    <x v="253"/>
    <x v="0"/>
    <x v="0"/>
    <x v="0"/>
    <s v=" William Arthur"/>
    <s v=" Mr."/>
    <s v="Lobb"/>
    <s v="male"/>
    <x v="0"/>
    <x v="38"/>
    <x v="0"/>
    <s v="Adult"/>
    <n v="1"/>
    <n v="0"/>
    <x v="0"/>
    <x v="95"/>
    <x v="2"/>
    <x v="0"/>
  </r>
  <r>
    <x v="254"/>
    <x v="0"/>
    <x v="0"/>
    <x v="0"/>
    <s v=" Viktor "/>
    <s v=" Mrs."/>
    <s v="Rosblom"/>
    <s v="female"/>
    <x v="1"/>
    <x v="65"/>
    <x v="0"/>
    <s v="Adult"/>
    <n v="0"/>
    <n v="2"/>
    <x v="3"/>
    <x v="124"/>
    <x v="2"/>
    <x v="0"/>
  </r>
  <r>
    <x v="255"/>
    <x v="1"/>
    <x v="1"/>
    <x v="0"/>
    <s v=" Darwis "/>
    <s v=" Mrs."/>
    <s v="Touma"/>
    <s v="female"/>
    <x v="1"/>
    <x v="27"/>
    <x v="0"/>
    <s v="Adult"/>
    <n v="0"/>
    <n v="2"/>
    <x v="3"/>
    <x v="49"/>
    <x v="2"/>
    <x v="1"/>
  </r>
  <r>
    <x v="256"/>
    <x v="1"/>
    <x v="1"/>
    <x v="1"/>
    <s v=" Gertrude Maybelle"/>
    <s v=" Mrs."/>
    <s v="Thorne"/>
    <s v="female"/>
    <x v="1"/>
    <x v="4"/>
    <x v="0"/>
    <s v="Adult"/>
    <n v="0"/>
    <n v="0"/>
    <x v="1"/>
    <x v="84"/>
    <x v="2"/>
    <x v="1"/>
  </r>
  <r>
    <x v="257"/>
    <x v="1"/>
    <x v="1"/>
    <x v="1"/>
    <s v=" Gladys"/>
    <s v=" Miss."/>
    <s v="Cherry"/>
    <s v="female"/>
    <x v="1"/>
    <x v="38"/>
    <x v="0"/>
    <s v="Adult"/>
    <n v="0"/>
    <n v="0"/>
    <x v="1"/>
    <x v="125"/>
    <x v="2"/>
    <x v="0"/>
  </r>
  <r>
    <x v="258"/>
    <x v="1"/>
    <x v="1"/>
    <x v="1"/>
    <s v=" Anna"/>
    <s v=" Miss."/>
    <s v="Ward"/>
    <s v="female"/>
    <x v="1"/>
    <x v="3"/>
    <x v="0"/>
    <s v="Adult"/>
    <n v="0"/>
    <n v="0"/>
    <x v="1"/>
    <x v="126"/>
    <x v="2"/>
    <x v="1"/>
  </r>
  <r>
    <x v="259"/>
    <x v="1"/>
    <x v="1"/>
    <x v="2"/>
    <s v=" "/>
    <s v=" Mrs."/>
    <s v="Parrish"/>
    <s v="female"/>
    <x v="1"/>
    <x v="60"/>
    <x v="0"/>
    <s v="Adult"/>
    <n v="0"/>
    <n v="1"/>
    <x v="0"/>
    <x v="19"/>
    <x v="2"/>
    <x v="0"/>
  </r>
  <r>
    <x v="260"/>
    <x v="0"/>
    <x v="0"/>
    <x v="0"/>
    <s v=" Thomas"/>
    <s v=" Mr."/>
    <s v="Smith"/>
    <s v="male"/>
    <x v="0"/>
    <x v="4"/>
    <x v="0"/>
    <s v="Adult"/>
    <n v="0"/>
    <n v="0"/>
    <x v="1"/>
    <x v="28"/>
    <x v="2"/>
    <x v="2"/>
  </r>
  <r>
    <x v="261"/>
    <x v="1"/>
    <x v="1"/>
    <x v="0"/>
    <s v=" Edvin Rojj Felix"/>
    <s v=" Master."/>
    <s v="Asplund"/>
    <s v="male"/>
    <x v="0"/>
    <x v="24"/>
    <x v="1"/>
    <s v="Child"/>
    <n v="4"/>
    <n v="2"/>
    <x v="4"/>
    <x v="22"/>
    <x v="2"/>
    <x v="0"/>
  </r>
  <r>
    <x v="262"/>
    <x v="0"/>
    <x v="0"/>
    <x v="1"/>
    <s v=" Emil"/>
    <s v=" Mr."/>
    <s v="Taussig"/>
    <s v="male"/>
    <x v="0"/>
    <x v="66"/>
    <x v="0"/>
    <s v="Adult"/>
    <n v="1"/>
    <n v="1"/>
    <x v="3"/>
    <x v="127"/>
    <x v="2"/>
    <x v="0"/>
  </r>
  <r>
    <x v="263"/>
    <x v="0"/>
    <x v="0"/>
    <x v="1"/>
    <s v=" William"/>
    <s v=" Mr."/>
    <s v="Harrison"/>
    <s v="male"/>
    <x v="0"/>
    <x v="19"/>
    <x v="0"/>
    <s v="Adult"/>
    <n v="0"/>
    <n v="0"/>
    <x v="1"/>
    <x v="53"/>
    <x v="2"/>
    <x v="0"/>
  </r>
  <r>
    <x v="264"/>
    <x v="0"/>
    <x v="0"/>
    <x v="0"/>
    <s v=" Delia"/>
    <s v=" Miss."/>
    <s v="Henry"/>
    <s v="female"/>
    <x v="1"/>
    <x v="4"/>
    <x v="0"/>
    <s v="Adult"/>
    <n v="0"/>
    <n v="0"/>
    <x v="1"/>
    <x v="28"/>
    <x v="2"/>
    <x v="2"/>
  </r>
  <r>
    <x v="265"/>
    <x v="0"/>
    <x v="0"/>
    <x v="2"/>
    <s v=" David"/>
    <s v=" Mr."/>
    <s v="Reeves"/>
    <s v="male"/>
    <x v="0"/>
    <x v="61"/>
    <x v="0"/>
    <s v="Adult"/>
    <n v="0"/>
    <n v="0"/>
    <x v="1"/>
    <x v="29"/>
    <x v="2"/>
    <x v="0"/>
  </r>
  <r>
    <x v="266"/>
    <x v="0"/>
    <x v="0"/>
    <x v="0"/>
    <s v=" Ernesti Arvid"/>
    <s v=" Mr."/>
    <s v="Panula"/>
    <s v="male"/>
    <x v="0"/>
    <x v="35"/>
    <x v="2"/>
    <s v="Teen"/>
    <n v="4"/>
    <n v="1"/>
    <x v="5"/>
    <x v="40"/>
    <x v="2"/>
    <x v="0"/>
  </r>
  <r>
    <x v="267"/>
    <x v="1"/>
    <x v="1"/>
    <x v="0"/>
    <s v=" Ernst Ulrik"/>
    <s v=" Mr."/>
    <s v="Persson"/>
    <s v="male"/>
    <x v="0"/>
    <x v="36"/>
    <x v="0"/>
    <s v="Adult"/>
    <n v="1"/>
    <n v="0"/>
    <x v="0"/>
    <x v="71"/>
    <x v="2"/>
    <x v="0"/>
  </r>
  <r>
    <x v="268"/>
    <x v="1"/>
    <x v="1"/>
    <x v="1"/>
    <s v=" William Thompson "/>
    <s v=" Mrs."/>
    <s v="Graham"/>
    <s v="female"/>
    <x v="1"/>
    <x v="10"/>
    <x v="0"/>
    <s v="Adult"/>
    <n v="0"/>
    <n v="1"/>
    <x v="0"/>
    <x v="128"/>
    <x v="2"/>
    <x v="0"/>
  </r>
  <r>
    <x v="269"/>
    <x v="1"/>
    <x v="1"/>
    <x v="1"/>
    <s v=" Amelia"/>
    <s v=" Miss."/>
    <s v="Bissette"/>
    <s v="female"/>
    <x v="1"/>
    <x v="3"/>
    <x v="0"/>
    <s v="Adult"/>
    <n v="0"/>
    <n v="0"/>
    <x v="1"/>
    <x v="129"/>
    <x v="2"/>
    <x v="0"/>
  </r>
  <r>
    <x v="270"/>
    <x v="0"/>
    <x v="0"/>
    <x v="1"/>
    <s v=" Alexander"/>
    <s v=" Mr."/>
    <s v="Cairns"/>
    <s v="male"/>
    <x v="0"/>
    <x v="4"/>
    <x v="0"/>
    <s v="Adult"/>
    <n v="0"/>
    <n v="0"/>
    <x v="1"/>
    <x v="112"/>
    <x v="2"/>
    <x v="0"/>
  </r>
  <r>
    <x v="271"/>
    <x v="1"/>
    <x v="1"/>
    <x v="0"/>
    <s v=" William Henry"/>
    <s v=" Mr."/>
    <s v="Tornquist"/>
    <s v="male"/>
    <x v="0"/>
    <x v="36"/>
    <x v="0"/>
    <s v="Adult"/>
    <n v="0"/>
    <n v="0"/>
    <x v="1"/>
    <x v="53"/>
    <x v="2"/>
    <x v="0"/>
  </r>
  <r>
    <x v="272"/>
    <x v="1"/>
    <x v="1"/>
    <x v="2"/>
    <s v=" "/>
    <s v=" Mrs."/>
    <s v="Mellinger"/>
    <s v="female"/>
    <x v="1"/>
    <x v="65"/>
    <x v="0"/>
    <s v="Adult"/>
    <n v="0"/>
    <n v="1"/>
    <x v="0"/>
    <x v="130"/>
    <x v="2"/>
    <x v="0"/>
  </r>
  <r>
    <x v="273"/>
    <x v="0"/>
    <x v="0"/>
    <x v="1"/>
    <s v=" Charles H"/>
    <s v=" Mr."/>
    <s v="Natsch"/>
    <s v="male"/>
    <x v="0"/>
    <x v="45"/>
    <x v="0"/>
    <s v="Adult"/>
    <n v="0"/>
    <n v="1"/>
    <x v="0"/>
    <x v="131"/>
    <x v="2"/>
    <x v="1"/>
  </r>
  <r>
    <x v="274"/>
    <x v="1"/>
    <x v="1"/>
    <x v="0"/>
    <s v=" Hanora &quot;Nora&quot;"/>
    <s v=" Miss."/>
    <s v="Healy"/>
    <s v="female"/>
    <x v="1"/>
    <x v="4"/>
    <x v="0"/>
    <s v="Adult"/>
    <n v="0"/>
    <n v="0"/>
    <x v="1"/>
    <x v="28"/>
    <x v="2"/>
    <x v="2"/>
  </r>
  <r>
    <x v="275"/>
    <x v="1"/>
    <x v="1"/>
    <x v="1"/>
    <s v=" Kornelia Theodosia"/>
    <s v=" Miss."/>
    <s v="Andrews"/>
    <s v="female"/>
    <x v="1"/>
    <x v="67"/>
    <x v="3"/>
    <s v="Old Age"/>
    <n v="1"/>
    <n v="0"/>
    <x v="0"/>
    <x v="132"/>
    <x v="2"/>
    <x v="0"/>
  </r>
  <r>
    <x v="276"/>
    <x v="0"/>
    <x v="0"/>
    <x v="0"/>
    <s v=" Augusta Charlotta"/>
    <s v=" Miss."/>
    <s v="Lindblom"/>
    <s v="female"/>
    <x v="1"/>
    <x v="32"/>
    <x v="0"/>
    <s v="Adult"/>
    <n v="0"/>
    <n v="0"/>
    <x v="1"/>
    <x v="28"/>
    <x v="2"/>
    <x v="0"/>
  </r>
  <r>
    <x v="277"/>
    <x v="0"/>
    <x v="0"/>
    <x v="2"/>
    <s v=" Francis &quot;Frank&quot;"/>
    <s v=" Mr."/>
    <s v="Parkes"/>
    <s v="male"/>
    <x v="0"/>
    <x v="4"/>
    <x v="0"/>
    <s v="Adult"/>
    <n v="0"/>
    <n v="0"/>
    <x v="1"/>
    <x v="53"/>
    <x v="2"/>
    <x v="0"/>
  </r>
  <r>
    <x v="278"/>
    <x v="0"/>
    <x v="0"/>
    <x v="0"/>
    <s v=" Eric"/>
    <s v=" Master."/>
    <s v="Rice"/>
    <s v="male"/>
    <x v="0"/>
    <x v="25"/>
    <x v="1"/>
    <s v="Child"/>
    <n v="4"/>
    <n v="1"/>
    <x v="5"/>
    <x v="15"/>
    <x v="2"/>
    <x v="2"/>
  </r>
  <r>
    <x v="279"/>
    <x v="1"/>
    <x v="1"/>
    <x v="0"/>
    <s v=" Stanton "/>
    <s v=" Mrs."/>
    <s v="Abbott"/>
    <s v="female"/>
    <x v="1"/>
    <x v="3"/>
    <x v="0"/>
    <s v="Adult"/>
    <n v="1"/>
    <n v="1"/>
    <x v="3"/>
    <x v="133"/>
    <x v="2"/>
    <x v="0"/>
  </r>
  <r>
    <x v="280"/>
    <x v="0"/>
    <x v="0"/>
    <x v="0"/>
    <s v=" Frank"/>
    <s v=" Mr."/>
    <s v="Duane"/>
    <s v="male"/>
    <x v="0"/>
    <x v="28"/>
    <x v="3"/>
    <s v="Old Age"/>
    <n v="0"/>
    <n v="0"/>
    <x v="1"/>
    <x v="28"/>
    <x v="2"/>
    <x v="2"/>
  </r>
  <r>
    <x v="281"/>
    <x v="0"/>
    <x v="0"/>
    <x v="0"/>
    <s v=" Nils Johan Goransson"/>
    <s v=" Mr."/>
    <s v="Olsson"/>
    <s v="male"/>
    <x v="0"/>
    <x v="4"/>
    <x v="0"/>
    <s v="Adult"/>
    <n v="0"/>
    <n v="0"/>
    <x v="1"/>
    <x v="13"/>
    <x v="2"/>
    <x v="0"/>
  </r>
  <r>
    <x v="282"/>
    <x v="0"/>
    <x v="0"/>
    <x v="0"/>
    <s v=" Alfons"/>
    <s v=" Mr."/>
    <s v="de Pelsmaeker"/>
    <s v="male"/>
    <x v="0"/>
    <x v="35"/>
    <x v="2"/>
    <s v="Teen"/>
    <n v="0"/>
    <n v="0"/>
    <x v="1"/>
    <x v="59"/>
    <x v="2"/>
    <x v="0"/>
  </r>
  <r>
    <x v="283"/>
    <x v="1"/>
    <x v="1"/>
    <x v="0"/>
    <s v=" Edward Arthur"/>
    <s v=" Mr."/>
    <s v="Dorking"/>
    <s v="male"/>
    <x v="0"/>
    <x v="18"/>
    <x v="0"/>
    <s v="Adult"/>
    <n v="0"/>
    <n v="0"/>
    <x v="1"/>
    <x v="4"/>
    <x v="2"/>
    <x v="0"/>
  </r>
  <r>
    <x v="284"/>
    <x v="0"/>
    <x v="0"/>
    <x v="1"/>
    <s v=" Richard William"/>
    <s v=" Mr."/>
    <s v="Smith"/>
    <s v="male"/>
    <x v="0"/>
    <x v="4"/>
    <x v="0"/>
    <s v="Adult"/>
    <n v="0"/>
    <n v="0"/>
    <x v="1"/>
    <x v="19"/>
    <x v="2"/>
    <x v="0"/>
  </r>
  <r>
    <x v="285"/>
    <x v="0"/>
    <x v="0"/>
    <x v="0"/>
    <s v=" Ivan"/>
    <s v=" Mr."/>
    <s v="Stankovic"/>
    <s v="male"/>
    <x v="0"/>
    <x v="39"/>
    <x v="0"/>
    <s v="Adult"/>
    <n v="0"/>
    <n v="0"/>
    <x v="1"/>
    <x v="51"/>
    <x v="2"/>
    <x v="1"/>
  </r>
  <r>
    <x v="286"/>
    <x v="1"/>
    <x v="1"/>
    <x v="0"/>
    <s v=" Theodore"/>
    <s v=" Mr."/>
    <s v="de Mulder"/>
    <s v="male"/>
    <x v="0"/>
    <x v="38"/>
    <x v="0"/>
    <s v="Adult"/>
    <n v="0"/>
    <n v="0"/>
    <x v="1"/>
    <x v="59"/>
    <x v="2"/>
    <x v="0"/>
  </r>
  <r>
    <x v="287"/>
    <x v="0"/>
    <x v="0"/>
    <x v="0"/>
    <s v=" Penko"/>
    <s v=" Mr."/>
    <s v="Naidenoff"/>
    <s v="male"/>
    <x v="0"/>
    <x v="0"/>
    <x v="0"/>
    <s v="Adult"/>
    <n v="0"/>
    <n v="0"/>
    <x v="1"/>
    <x v="25"/>
    <x v="2"/>
    <x v="0"/>
  </r>
  <r>
    <x v="288"/>
    <x v="1"/>
    <x v="1"/>
    <x v="2"/>
    <s v=" Masabumi"/>
    <s v=" Mr."/>
    <s v="Hosono"/>
    <s v="male"/>
    <x v="0"/>
    <x v="21"/>
    <x v="0"/>
    <s v="Adult"/>
    <n v="0"/>
    <n v="0"/>
    <x v="1"/>
    <x v="16"/>
    <x v="2"/>
    <x v="0"/>
  </r>
  <r>
    <x v="289"/>
    <x v="1"/>
    <x v="1"/>
    <x v="0"/>
    <s v=" Kate"/>
    <s v=" Miss."/>
    <s v="Connolly"/>
    <s v="female"/>
    <x v="1"/>
    <x v="0"/>
    <x v="0"/>
    <s v="Adult"/>
    <n v="0"/>
    <n v="0"/>
    <x v="1"/>
    <x v="28"/>
    <x v="2"/>
    <x v="2"/>
  </r>
  <r>
    <x v="290"/>
    <x v="1"/>
    <x v="1"/>
    <x v="1"/>
    <s v=" Ellen &quot;Nellie&quot;"/>
    <s v=" Miss."/>
    <s v="Barber"/>
    <s v="female"/>
    <x v="1"/>
    <x v="2"/>
    <x v="0"/>
    <s v="Adult"/>
    <n v="0"/>
    <n v="0"/>
    <x v="1"/>
    <x v="134"/>
    <x v="2"/>
    <x v="0"/>
  </r>
  <r>
    <x v="291"/>
    <x v="1"/>
    <x v="1"/>
    <x v="1"/>
    <s v=" Dickinson H "/>
    <s v=" Mrs."/>
    <s v="Bishop"/>
    <s v="female"/>
    <x v="1"/>
    <x v="18"/>
    <x v="0"/>
    <s v="Adult"/>
    <n v="1"/>
    <n v="0"/>
    <x v="0"/>
    <x v="135"/>
    <x v="2"/>
    <x v="1"/>
  </r>
  <r>
    <x v="292"/>
    <x v="0"/>
    <x v="0"/>
    <x v="2"/>
    <s v=" Rene Jacques"/>
    <s v=" Mr."/>
    <s v="Levy"/>
    <s v="male"/>
    <x v="0"/>
    <x v="61"/>
    <x v="0"/>
    <s v="Adult"/>
    <n v="0"/>
    <n v="0"/>
    <x v="1"/>
    <x v="136"/>
    <x v="2"/>
    <x v="1"/>
  </r>
  <r>
    <x v="293"/>
    <x v="0"/>
    <x v="0"/>
    <x v="0"/>
    <s v=" Aloisia"/>
    <s v=" Miss."/>
    <s v="Haas"/>
    <s v="female"/>
    <x v="1"/>
    <x v="41"/>
    <x v="0"/>
    <s v="Adult"/>
    <n v="0"/>
    <n v="0"/>
    <x v="1"/>
    <x v="137"/>
    <x v="2"/>
    <x v="0"/>
  </r>
  <r>
    <x v="294"/>
    <x v="0"/>
    <x v="0"/>
    <x v="0"/>
    <s v=" Ivan"/>
    <s v=" Mr."/>
    <s v="Mineff"/>
    <s v="male"/>
    <x v="0"/>
    <x v="41"/>
    <x v="0"/>
    <s v="Adult"/>
    <n v="0"/>
    <n v="0"/>
    <x v="1"/>
    <x v="25"/>
    <x v="2"/>
    <x v="0"/>
  </r>
  <r>
    <x v="295"/>
    <x v="0"/>
    <x v="0"/>
    <x v="1"/>
    <s v=" Ervin G"/>
    <s v=" Mr."/>
    <s v="Lewy"/>
    <s v="male"/>
    <x v="0"/>
    <x v="4"/>
    <x v="0"/>
    <s v="Adult"/>
    <n v="0"/>
    <n v="0"/>
    <x v="1"/>
    <x v="26"/>
    <x v="2"/>
    <x v="1"/>
  </r>
  <r>
    <x v="296"/>
    <x v="0"/>
    <x v="0"/>
    <x v="0"/>
    <s v=" Mansour"/>
    <s v=" Mr."/>
    <s v="Hanna"/>
    <s v="male"/>
    <x v="0"/>
    <x v="68"/>
    <x v="0"/>
    <s v="Adult"/>
    <n v="0"/>
    <n v="0"/>
    <x v="1"/>
    <x v="32"/>
    <x v="2"/>
    <x v="1"/>
  </r>
  <r>
    <x v="297"/>
    <x v="0"/>
    <x v="0"/>
    <x v="1"/>
    <s v=" Helen Loraine"/>
    <s v=" Miss."/>
    <s v="Allison"/>
    <s v="female"/>
    <x v="1"/>
    <x v="6"/>
    <x v="1"/>
    <s v="Child"/>
    <n v="1"/>
    <n v="2"/>
    <x v="6"/>
    <x v="138"/>
    <x v="2"/>
    <x v="0"/>
  </r>
  <r>
    <x v="298"/>
    <x v="1"/>
    <x v="1"/>
    <x v="1"/>
    <s v=" Adolphe"/>
    <s v=" Mr."/>
    <s v="Saalfeld"/>
    <s v="male"/>
    <x v="0"/>
    <x v="4"/>
    <x v="0"/>
    <s v="Adult"/>
    <n v="0"/>
    <n v="0"/>
    <x v="1"/>
    <x v="139"/>
    <x v="2"/>
    <x v="0"/>
  </r>
  <r>
    <x v="299"/>
    <x v="1"/>
    <x v="1"/>
    <x v="1"/>
    <s v=" James "/>
    <s v=" Mrs."/>
    <s v="Baxter"/>
    <s v="female"/>
    <x v="1"/>
    <x v="60"/>
    <x v="0"/>
    <s v="Adult"/>
    <n v="0"/>
    <n v="1"/>
    <x v="0"/>
    <x v="75"/>
    <x v="2"/>
    <x v="1"/>
  </r>
  <r>
    <x v="300"/>
    <x v="1"/>
    <x v="1"/>
    <x v="0"/>
    <s v=" Anna Katherine &quot;Annie Kate&quot;"/>
    <s v=" Miss."/>
    <s v="Kelly"/>
    <s v="female"/>
    <x v="1"/>
    <x v="4"/>
    <x v="0"/>
    <s v="Adult"/>
    <n v="0"/>
    <n v="0"/>
    <x v="1"/>
    <x v="28"/>
    <x v="2"/>
    <x v="2"/>
  </r>
  <r>
    <x v="301"/>
    <x v="1"/>
    <x v="1"/>
    <x v="0"/>
    <s v=" Bernard"/>
    <s v=" Mr."/>
    <s v="McCoy"/>
    <s v="male"/>
    <x v="0"/>
    <x v="4"/>
    <x v="0"/>
    <s v="Adult"/>
    <n v="2"/>
    <n v="0"/>
    <x v="3"/>
    <x v="140"/>
    <x v="2"/>
    <x v="2"/>
  </r>
  <r>
    <x v="302"/>
    <x v="0"/>
    <x v="0"/>
    <x v="0"/>
    <s v=" William Cahoone Jr"/>
    <s v=" Mr."/>
    <s v="Johnson"/>
    <s v="male"/>
    <x v="0"/>
    <x v="18"/>
    <x v="0"/>
    <s v="Adult"/>
    <n v="0"/>
    <n v="0"/>
    <x v="1"/>
    <x v="53"/>
    <x v="2"/>
    <x v="0"/>
  </r>
  <r>
    <x v="303"/>
    <x v="1"/>
    <x v="1"/>
    <x v="2"/>
    <s v=" Nora A"/>
    <s v=" Miss."/>
    <s v="Keane"/>
    <s v="female"/>
    <x v="1"/>
    <x v="4"/>
    <x v="0"/>
    <s v="Adult"/>
    <n v="0"/>
    <n v="0"/>
    <x v="1"/>
    <x v="141"/>
    <x v="2"/>
    <x v="2"/>
  </r>
  <r>
    <x v="304"/>
    <x v="0"/>
    <x v="0"/>
    <x v="0"/>
    <s v=" Howard Hugh &quot;Harry&quot;"/>
    <s v=" Mr."/>
    <s v="Williams"/>
    <s v="male"/>
    <x v="0"/>
    <x v="4"/>
    <x v="0"/>
    <s v="Adult"/>
    <n v="0"/>
    <n v="0"/>
    <x v="1"/>
    <x v="4"/>
    <x v="2"/>
    <x v="0"/>
  </r>
  <r>
    <x v="305"/>
    <x v="1"/>
    <x v="1"/>
    <x v="1"/>
    <s v=" Hudson Trevor"/>
    <s v=" Master."/>
    <s v="Allison"/>
    <s v="male"/>
    <x v="0"/>
    <x v="69"/>
    <x v="1"/>
    <s v="Child"/>
    <n v="1"/>
    <n v="2"/>
    <x v="6"/>
    <x v="138"/>
    <x v="2"/>
    <x v="0"/>
  </r>
  <r>
    <x v="306"/>
    <x v="1"/>
    <x v="1"/>
    <x v="1"/>
    <s v=" Margaret"/>
    <s v=" Miss."/>
    <s v="Fleming"/>
    <s v="female"/>
    <x v="1"/>
    <x v="4"/>
    <x v="0"/>
    <s v="Adult"/>
    <n v="0"/>
    <n v="0"/>
    <x v="1"/>
    <x v="142"/>
    <x v="2"/>
    <x v="1"/>
  </r>
  <r>
    <x v="307"/>
    <x v="1"/>
    <x v="1"/>
    <x v="1"/>
    <s v=" Victor de Satode "/>
    <s v=" Mrs."/>
    <s v="Penasco y Castellana"/>
    <s v="female"/>
    <x v="1"/>
    <x v="33"/>
    <x v="2"/>
    <s v="Teen"/>
    <n v="1"/>
    <n v="0"/>
    <x v="0"/>
    <x v="143"/>
    <x v="2"/>
    <x v="1"/>
  </r>
  <r>
    <x v="308"/>
    <x v="0"/>
    <x v="0"/>
    <x v="2"/>
    <s v=" Samuel"/>
    <s v=" Mr."/>
    <s v="Abelson"/>
    <s v="male"/>
    <x v="0"/>
    <x v="38"/>
    <x v="0"/>
    <s v="Adult"/>
    <n v="1"/>
    <n v="0"/>
    <x v="0"/>
    <x v="144"/>
    <x v="2"/>
    <x v="1"/>
  </r>
  <r>
    <x v="309"/>
    <x v="1"/>
    <x v="1"/>
    <x v="1"/>
    <s v=" Laura Mabel"/>
    <s v=" Miss."/>
    <s v="Francatelli"/>
    <s v="female"/>
    <x v="1"/>
    <x v="38"/>
    <x v="0"/>
    <s v="Adult"/>
    <n v="0"/>
    <n v="0"/>
    <x v="1"/>
    <x v="145"/>
    <x v="2"/>
    <x v="1"/>
  </r>
  <r>
    <x v="310"/>
    <x v="1"/>
    <x v="1"/>
    <x v="1"/>
    <s v=" Margaret Bechstein"/>
    <s v=" Miss."/>
    <s v="Hays"/>
    <s v="female"/>
    <x v="1"/>
    <x v="41"/>
    <x v="0"/>
    <s v="Adult"/>
    <n v="0"/>
    <n v="0"/>
    <x v="1"/>
    <x v="146"/>
    <x v="2"/>
    <x v="1"/>
  </r>
  <r>
    <x v="311"/>
    <x v="1"/>
    <x v="1"/>
    <x v="1"/>
    <s v=" Emily Borie"/>
    <s v=" Miss."/>
    <s v="Ryerson"/>
    <s v="female"/>
    <x v="1"/>
    <x v="23"/>
    <x v="0"/>
    <s v="Adult"/>
    <n v="2"/>
    <n v="2"/>
    <x v="2"/>
    <x v="147"/>
    <x v="2"/>
    <x v="1"/>
  </r>
  <r>
    <x v="312"/>
    <x v="0"/>
    <x v="0"/>
    <x v="2"/>
    <s v=" William "/>
    <s v=" Mrs."/>
    <s v="Lahtinen"/>
    <s v="female"/>
    <x v="1"/>
    <x v="2"/>
    <x v="0"/>
    <s v="Adult"/>
    <n v="1"/>
    <n v="1"/>
    <x v="3"/>
    <x v="19"/>
    <x v="2"/>
    <x v="0"/>
  </r>
  <r>
    <x v="313"/>
    <x v="0"/>
    <x v="0"/>
    <x v="0"/>
    <s v=" Ignjac"/>
    <s v=" Mr."/>
    <s v="Hendekovic"/>
    <s v="male"/>
    <x v="0"/>
    <x v="4"/>
    <x v="0"/>
    <s v="Adult"/>
    <n v="0"/>
    <n v="0"/>
    <x v="1"/>
    <x v="25"/>
    <x v="2"/>
    <x v="0"/>
  </r>
  <r>
    <x v="314"/>
    <x v="0"/>
    <x v="0"/>
    <x v="2"/>
    <s v=" Benjamin"/>
    <s v=" Mr."/>
    <s v="Hart"/>
    <s v="male"/>
    <x v="0"/>
    <x v="70"/>
    <x v="0"/>
    <s v="Adult"/>
    <n v="1"/>
    <n v="1"/>
    <x v="3"/>
    <x v="120"/>
    <x v="2"/>
    <x v="0"/>
  </r>
  <r>
    <x v="315"/>
    <x v="1"/>
    <x v="1"/>
    <x v="0"/>
    <s v=" Helmina Josefina"/>
    <s v=" Miss."/>
    <s v="Nilsson"/>
    <s v="female"/>
    <x v="1"/>
    <x v="2"/>
    <x v="0"/>
    <s v="Adult"/>
    <n v="0"/>
    <n v="0"/>
    <x v="1"/>
    <x v="13"/>
    <x v="2"/>
    <x v="0"/>
  </r>
  <r>
    <x v="316"/>
    <x v="1"/>
    <x v="1"/>
    <x v="2"/>
    <s v=" Sinai "/>
    <s v=" Mrs."/>
    <s v="Kantor"/>
    <s v="female"/>
    <x v="1"/>
    <x v="41"/>
    <x v="0"/>
    <s v="Adult"/>
    <n v="1"/>
    <n v="0"/>
    <x v="0"/>
    <x v="19"/>
    <x v="2"/>
    <x v="0"/>
  </r>
  <r>
    <x v="317"/>
    <x v="0"/>
    <x v="0"/>
    <x v="2"/>
    <s v=" Ernest"/>
    <s v=" Dr."/>
    <s v="Moraweck"/>
    <s v="male"/>
    <x v="0"/>
    <x v="5"/>
    <x v="0"/>
    <s v="Adult"/>
    <n v="0"/>
    <n v="0"/>
    <x v="1"/>
    <x v="148"/>
    <x v="2"/>
    <x v="0"/>
  </r>
  <r>
    <x v="318"/>
    <x v="1"/>
    <x v="1"/>
    <x v="1"/>
    <s v=" Mary Natalie"/>
    <s v=" Miss."/>
    <s v="Wick"/>
    <s v="female"/>
    <x v="1"/>
    <x v="14"/>
    <x v="0"/>
    <s v="Adult"/>
    <n v="0"/>
    <n v="2"/>
    <x v="3"/>
    <x v="149"/>
    <x v="2"/>
    <x v="0"/>
  </r>
  <r>
    <x v="319"/>
    <x v="1"/>
    <x v="1"/>
    <x v="1"/>
    <s v=" Frederic Oakley "/>
    <s v=" Mrs."/>
    <s v="Spedden"/>
    <s v="female"/>
    <x v="1"/>
    <x v="19"/>
    <x v="0"/>
    <s v="Adult"/>
    <n v="1"/>
    <n v="1"/>
    <x v="3"/>
    <x v="150"/>
    <x v="2"/>
    <x v="1"/>
  </r>
  <r>
    <x v="320"/>
    <x v="0"/>
    <x v="0"/>
    <x v="0"/>
    <s v=" Samuel"/>
    <s v=" Mr."/>
    <s v="Dennis"/>
    <s v="male"/>
    <x v="0"/>
    <x v="0"/>
    <x v="0"/>
    <s v="Adult"/>
    <n v="0"/>
    <n v="0"/>
    <x v="1"/>
    <x v="0"/>
    <x v="2"/>
    <x v="0"/>
  </r>
  <r>
    <x v="321"/>
    <x v="0"/>
    <x v="0"/>
    <x v="0"/>
    <s v=" Yoto"/>
    <s v=" Mr."/>
    <s v="Danoff"/>
    <s v="male"/>
    <x v="0"/>
    <x v="7"/>
    <x v="0"/>
    <s v="Adult"/>
    <n v="0"/>
    <n v="0"/>
    <x v="1"/>
    <x v="25"/>
    <x v="2"/>
    <x v="0"/>
  </r>
  <r>
    <x v="322"/>
    <x v="1"/>
    <x v="1"/>
    <x v="2"/>
    <s v=" Hilda Mary"/>
    <s v=" Miss."/>
    <s v="Slayter"/>
    <s v="female"/>
    <x v="1"/>
    <x v="38"/>
    <x v="0"/>
    <s v="Adult"/>
    <n v="0"/>
    <n v="0"/>
    <x v="1"/>
    <x v="141"/>
    <x v="2"/>
    <x v="2"/>
  </r>
  <r>
    <x v="323"/>
    <x v="1"/>
    <x v="1"/>
    <x v="2"/>
    <s v=" Albert Francis "/>
    <s v=" Mrs."/>
    <s v="Caldwell"/>
    <s v="female"/>
    <x v="1"/>
    <x v="0"/>
    <x v="0"/>
    <s v="Adult"/>
    <n v="1"/>
    <n v="1"/>
    <x v="3"/>
    <x v="56"/>
    <x v="2"/>
    <x v="0"/>
  </r>
  <r>
    <x v="324"/>
    <x v="0"/>
    <x v="0"/>
    <x v="0"/>
    <s v=" George John Jr"/>
    <s v=" Mr."/>
    <s v="Sage"/>
    <s v="male"/>
    <x v="0"/>
    <x v="4"/>
    <x v="0"/>
    <s v="Adult"/>
    <n v="8"/>
    <n v="2"/>
    <x v="8"/>
    <x v="94"/>
    <x v="2"/>
    <x v="0"/>
  </r>
  <r>
    <x v="325"/>
    <x v="1"/>
    <x v="1"/>
    <x v="1"/>
    <s v=" Marie Grice"/>
    <s v=" Miss."/>
    <s v="Young"/>
    <s v="female"/>
    <x v="1"/>
    <x v="61"/>
    <x v="0"/>
    <s v="Adult"/>
    <n v="0"/>
    <n v="0"/>
    <x v="1"/>
    <x v="129"/>
    <x v="2"/>
    <x v="1"/>
  </r>
  <r>
    <x v="326"/>
    <x v="0"/>
    <x v="0"/>
    <x v="0"/>
    <s v=" Johan Hansen"/>
    <s v=" Mr."/>
    <s v="Nysveen"/>
    <s v="male"/>
    <x v="0"/>
    <x v="58"/>
    <x v="3"/>
    <s v="Old Age"/>
    <n v="0"/>
    <n v="0"/>
    <x v="1"/>
    <x v="151"/>
    <x v="2"/>
    <x v="0"/>
  </r>
  <r>
    <x v="327"/>
    <x v="1"/>
    <x v="1"/>
    <x v="2"/>
    <s v=" "/>
    <s v=" Mrs."/>
    <s v="Ball"/>
    <s v="female"/>
    <x v="1"/>
    <x v="61"/>
    <x v="0"/>
    <s v="Adult"/>
    <n v="0"/>
    <n v="0"/>
    <x v="1"/>
    <x v="16"/>
    <x v="2"/>
    <x v="0"/>
  </r>
  <r>
    <x v="328"/>
    <x v="1"/>
    <x v="1"/>
    <x v="0"/>
    <s v=" Frank John "/>
    <s v=" Mrs."/>
    <s v="Goldsmith"/>
    <s v="female"/>
    <x v="1"/>
    <x v="14"/>
    <x v="0"/>
    <s v="Adult"/>
    <n v="1"/>
    <n v="1"/>
    <x v="3"/>
    <x v="97"/>
    <x v="2"/>
    <x v="0"/>
  </r>
  <r>
    <x v="329"/>
    <x v="1"/>
    <x v="1"/>
    <x v="1"/>
    <s v=" Jean Gertrude"/>
    <s v=" Miss."/>
    <s v="Hippach"/>
    <s v="female"/>
    <x v="1"/>
    <x v="35"/>
    <x v="2"/>
    <s v="Teen"/>
    <n v="0"/>
    <n v="1"/>
    <x v="0"/>
    <x v="152"/>
    <x v="2"/>
    <x v="1"/>
  </r>
  <r>
    <x v="330"/>
    <x v="1"/>
    <x v="1"/>
    <x v="0"/>
    <s v=" Agnes"/>
    <s v=" Miss."/>
    <s v="McCoy"/>
    <s v="female"/>
    <x v="1"/>
    <x v="4"/>
    <x v="0"/>
    <s v="Adult"/>
    <n v="2"/>
    <n v="0"/>
    <x v="3"/>
    <x v="140"/>
    <x v="2"/>
    <x v="2"/>
  </r>
  <r>
    <x v="331"/>
    <x v="0"/>
    <x v="0"/>
    <x v="1"/>
    <s v=" Austen"/>
    <s v=" Mr."/>
    <s v="Partner"/>
    <s v="male"/>
    <x v="0"/>
    <x v="62"/>
    <x v="0"/>
    <s v="Adult"/>
    <n v="0"/>
    <n v="0"/>
    <x v="1"/>
    <x v="153"/>
    <x v="2"/>
    <x v="0"/>
  </r>
  <r>
    <x v="332"/>
    <x v="0"/>
    <x v="0"/>
    <x v="1"/>
    <s v=" George Edward"/>
    <s v=" Mr."/>
    <s v="Graham"/>
    <s v="male"/>
    <x v="0"/>
    <x v="1"/>
    <x v="0"/>
    <s v="Adult"/>
    <n v="0"/>
    <n v="1"/>
    <x v="0"/>
    <x v="128"/>
    <x v="2"/>
    <x v="0"/>
  </r>
  <r>
    <x v="333"/>
    <x v="0"/>
    <x v="0"/>
    <x v="0"/>
    <s v=" Leo Edmondus"/>
    <s v=" Mr."/>
    <s v="Vander Planke"/>
    <s v="male"/>
    <x v="0"/>
    <x v="35"/>
    <x v="2"/>
    <s v="Teen"/>
    <n v="2"/>
    <n v="0"/>
    <x v="3"/>
    <x v="17"/>
    <x v="2"/>
    <x v="0"/>
  </r>
  <r>
    <x v="334"/>
    <x v="1"/>
    <x v="1"/>
    <x v="1"/>
    <s v=" Henry William "/>
    <s v=" Mrs."/>
    <s v="Frauenthal"/>
    <s v="female"/>
    <x v="1"/>
    <x v="4"/>
    <x v="0"/>
    <s v="Adult"/>
    <n v="1"/>
    <n v="0"/>
    <x v="0"/>
    <x v="154"/>
    <x v="2"/>
    <x v="0"/>
  </r>
  <r>
    <x v="335"/>
    <x v="0"/>
    <x v="0"/>
    <x v="0"/>
    <s v=" Mitto"/>
    <s v=" Mr."/>
    <s v="Denkoff"/>
    <s v="male"/>
    <x v="0"/>
    <x v="4"/>
    <x v="0"/>
    <s v="Adult"/>
    <n v="0"/>
    <n v="0"/>
    <x v="1"/>
    <x v="25"/>
    <x v="2"/>
    <x v="0"/>
  </r>
  <r>
    <x v="336"/>
    <x v="0"/>
    <x v="0"/>
    <x v="1"/>
    <s v=" Thomas Clinton"/>
    <s v=" Mr."/>
    <s v="Pears"/>
    <s v="male"/>
    <x v="0"/>
    <x v="27"/>
    <x v="0"/>
    <s v="Adult"/>
    <n v="1"/>
    <n v="0"/>
    <x v="0"/>
    <x v="90"/>
    <x v="2"/>
    <x v="0"/>
  </r>
  <r>
    <x v="337"/>
    <x v="1"/>
    <x v="1"/>
    <x v="1"/>
    <s v=" Elizabeth Margaret"/>
    <s v=" Miss."/>
    <s v="Burns"/>
    <s v="female"/>
    <x v="1"/>
    <x v="65"/>
    <x v="0"/>
    <s v="Adult"/>
    <n v="0"/>
    <n v="0"/>
    <x v="1"/>
    <x v="150"/>
    <x v="2"/>
    <x v="1"/>
  </r>
  <r>
    <x v="338"/>
    <x v="1"/>
    <x v="1"/>
    <x v="0"/>
    <s v=" Karl Edwart"/>
    <s v=" Mr."/>
    <s v="Dahl"/>
    <s v="male"/>
    <x v="0"/>
    <x v="32"/>
    <x v="0"/>
    <s v="Adult"/>
    <n v="0"/>
    <n v="0"/>
    <x v="1"/>
    <x v="4"/>
    <x v="2"/>
    <x v="0"/>
  </r>
  <r>
    <x v="339"/>
    <x v="0"/>
    <x v="0"/>
    <x v="1"/>
    <s v=" Stephen Weart"/>
    <s v=" Mr."/>
    <s v="Blackwell"/>
    <s v="male"/>
    <x v="0"/>
    <x v="32"/>
    <x v="0"/>
    <s v="Adult"/>
    <n v="0"/>
    <n v="0"/>
    <x v="1"/>
    <x v="21"/>
    <x v="2"/>
    <x v="0"/>
  </r>
  <r>
    <x v="340"/>
    <x v="1"/>
    <x v="1"/>
    <x v="2"/>
    <s v=" Edmond Roger"/>
    <s v=" Master."/>
    <s v="Navratil"/>
    <s v="male"/>
    <x v="0"/>
    <x v="6"/>
    <x v="1"/>
    <s v="Child"/>
    <n v="1"/>
    <n v="1"/>
    <x v="3"/>
    <x v="19"/>
    <x v="2"/>
    <x v="0"/>
  </r>
  <r>
    <x v="341"/>
    <x v="1"/>
    <x v="1"/>
    <x v="1"/>
    <s v=" Alice Elizabeth"/>
    <s v=" Miss."/>
    <s v="Fortune"/>
    <s v="female"/>
    <x v="1"/>
    <x v="41"/>
    <x v="0"/>
    <s v="Adult"/>
    <n v="3"/>
    <n v="2"/>
    <x v="5"/>
    <x v="23"/>
    <x v="2"/>
    <x v="0"/>
  </r>
  <r>
    <x v="342"/>
    <x v="0"/>
    <x v="0"/>
    <x v="2"/>
    <s v=" Erik Gustaf"/>
    <s v=" Mr."/>
    <s v="Collander"/>
    <s v="male"/>
    <x v="0"/>
    <x v="4"/>
    <x v="0"/>
    <s v="Adult"/>
    <n v="0"/>
    <n v="0"/>
    <x v="1"/>
    <x v="16"/>
    <x v="2"/>
    <x v="0"/>
  </r>
  <r>
    <x v="343"/>
    <x v="0"/>
    <x v="0"/>
    <x v="2"/>
    <s v=" Charles Frederick Waddington"/>
    <s v=" Mr."/>
    <s v="Sedgwick"/>
    <s v="male"/>
    <x v="0"/>
    <x v="36"/>
    <x v="0"/>
    <s v="Adult"/>
    <n v="0"/>
    <n v="0"/>
    <x v="1"/>
    <x v="16"/>
    <x v="2"/>
    <x v="0"/>
  </r>
  <r>
    <x v="344"/>
    <x v="0"/>
    <x v="0"/>
    <x v="2"/>
    <s v=" Stanley Hubert"/>
    <s v=" Mr."/>
    <s v="Fox"/>
    <s v="male"/>
    <x v="0"/>
    <x v="61"/>
    <x v="0"/>
    <s v="Adult"/>
    <n v="0"/>
    <n v="0"/>
    <x v="1"/>
    <x v="16"/>
    <x v="2"/>
    <x v="0"/>
  </r>
  <r>
    <x v="345"/>
    <x v="1"/>
    <x v="1"/>
    <x v="2"/>
    <s v=" Amelia &quot;Mildred&quot;"/>
    <s v=" Miss."/>
    <s v="Brown"/>
    <s v="female"/>
    <x v="1"/>
    <x v="41"/>
    <x v="0"/>
    <s v="Adult"/>
    <n v="0"/>
    <n v="0"/>
    <x v="1"/>
    <x v="16"/>
    <x v="2"/>
    <x v="0"/>
  </r>
  <r>
    <x v="346"/>
    <x v="1"/>
    <x v="1"/>
    <x v="2"/>
    <s v=" Marion Elsie"/>
    <s v=" Miss."/>
    <s v="Smith"/>
    <s v="female"/>
    <x v="1"/>
    <x v="19"/>
    <x v="0"/>
    <s v="Adult"/>
    <n v="0"/>
    <n v="0"/>
    <x v="1"/>
    <x v="16"/>
    <x v="2"/>
    <x v="0"/>
  </r>
  <r>
    <x v="347"/>
    <x v="1"/>
    <x v="1"/>
    <x v="0"/>
    <s v=" Thomas Henry "/>
    <s v=" Mrs."/>
    <s v="Davison"/>
    <s v="female"/>
    <x v="1"/>
    <x v="4"/>
    <x v="0"/>
    <s v="Adult"/>
    <n v="1"/>
    <n v="0"/>
    <x v="0"/>
    <x v="95"/>
    <x v="2"/>
    <x v="0"/>
  </r>
  <r>
    <x v="348"/>
    <x v="1"/>
    <x v="1"/>
    <x v="0"/>
    <s v=" William Loch &quot;William&quot;"/>
    <s v=" Master."/>
    <s v="Coutts"/>
    <s v="male"/>
    <x v="0"/>
    <x v="24"/>
    <x v="1"/>
    <s v="Child"/>
    <n v="1"/>
    <n v="1"/>
    <x v="3"/>
    <x v="155"/>
    <x v="2"/>
    <x v="0"/>
  </r>
  <r>
    <x v="349"/>
    <x v="0"/>
    <x v="0"/>
    <x v="0"/>
    <s v=" Jovan"/>
    <s v=" Mr."/>
    <s v="Dimic"/>
    <s v="male"/>
    <x v="0"/>
    <x v="21"/>
    <x v="0"/>
    <s v="Adult"/>
    <n v="0"/>
    <n v="0"/>
    <x v="1"/>
    <x v="51"/>
    <x v="2"/>
    <x v="0"/>
  </r>
  <r>
    <x v="350"/>
    <x v="0"/>
    <x v="0"/>
    <x v="0"/>
    <s v=" Nils Martin"/>
    <s v=" Mr."/>
    <s v="Odahl"/>
    <s v="male"/>
    <x v="0"/>
    <x v="40"/>
    <x v="0"/>
    <s v="Adult"/>
    <n v="0"/>
    <n v="0"/>
    <x v="1"/>
    <x v="156"/>
    <x v="2"/>
    <x v="0"/>
  </r>
  <r>
    <x v="351"/>
    <x v="0"/>
    <x v="0"/>
    <x v="1"/>
    <s v=" Fletcher Fellows"/>
    <s v=" Mr."/>
    <s v="Williams-Lambert"/>
    <s v="male"/>
    <x v="0"/>
    <x v="4"/>
    <x v="0"/>
    <s v="Adult"/>
    <n v="0"/>
    <n v="0"/>
    <x v="1"/>
    <x v="157"/>
    <x v="2"/>
    <x v="0"/>
  </r>
  <r>
    <x v="352"/>
    <x v="0"/>
    <x v="0"/>
    <x v="0"/>
    <s v=" Tannous"/>
    <s v=" Mr."/>
    <s v="Elias"/>
    <s v="male"/>
    <x v="0"/>
    <x v="16"/>
    <x v="2"/>
    <s v="Teen"/>
    <n v="1"/>
    <n v="1"/>
    <x v="3"/>
    <x v="32"/>
    <x v="2"/>
    <x v="1"/>
  </r>
  <r>
    <x v="353"/>
    <x v="0"/>
    <x v="0"/>
    <x v="0"/>
    <s v=" Josef"/>
    <s v=" Mr."/>
    <s v="Arnold-Franchi"/>
    <s v="male"/>
    <x v="0"/>
    <x v="36"/>
    <x v="0"/>
    <s v="Adult"/>
    <n v="1"/>
    <n v="0"/>
    <x v="0"/>
    <x v="39"/>
    <x v="2"/>
    <x v="0"/>
  </r>
  <r>
    <x v="354"/>
    <x v="0"/>
    <x v="0"/>
    <x v="0"/>
    <s v=" Wazli"/>
    <s v=" Mr."/>
    <s v="Yousif"/>
    <s v="male"/>
    <x v="0"/>
    <x v="4"/>
    <x v="0"/>
    <s v="Adult"/>
    <n v="0"/>
    <n v="0"/>
    <x v="1"/>
    <x v="18"/>
    <x v="2"/>
    <x v="1"/>
  </r>
  <r>
    <x v="355"/>
    <x v="0"/>
    <x v="0"/>
    <x v="0"/>
    <s v=" Leo Peter"/>
    <s v=" Mr."/>
    <s v="Vanden Steen"/>
    <s v="male"/>
    <x v="0"/>
    <x v="4"/>
    <x v="0"/>
    <s v="Adult"/>
    <n v="0"/>
    <n v="0"/>
    <x v="1"/>
    <x v="59"/>
    <x v="2"/>
    <x v="0"/>
  </r>
  <r>
    <x v="356"/>
    <x v="1"/>
    <x v="1"/>
    <x v="1"/>
    <s v=" Elsie Edith"/>
    <s v=" Miss."/>
    <s v="Bowerman"/>
    <s v="female"/>
    <x v="1"/>
    <x v="0"/>
    <x v="0"/>
    <s v="Adult"/>
    <n v="0"/>
    <n v="1"/>
    <x v="0"/>
    <x v="98"/>
    <x v="2"/>
    <x v="0"/>
  </r>
  <r>
    <x v="357"/>
    <x v="0"/>
    <x v="0"/>
    <x v="2"/>
    <s v=" Annie Clemmer"/>
    <s v=" Miss."/>
    <s v="Funk"/>
    <s v="female"/>
    <x v="1"/>
    <x v="1"/>
    <x v="0"/>
    <s v="Adult"/>
    <n v="0"/>
    <n v="0"/>
    <x v="1"/>
    <x v="16"/>
    <x v="2"/>
    <x v="0"/>
  </r>
  <r>
    <x v="358"/>
    <x v="1"/>
    <x v="1"/>
    <x v="0"/>
    <s v=" Mary"/>
    <s v=" Miss."/>
    <s v="McGovern"/>
    <s v="female"/>
    <x v="1"/>
    <x v="4"/>
    <x v="0"/>
    <s v="Adult"/>
    <n v="0"/>
    <n v="0"/>
    <x v="1"/>
    <x v="24"/>
    <x v="2"/>
    <x v="2"/>
  </r>
  <r>
    <x v="359"/>
    <x v="1"/>
    <x v="1"/>
    <x v="0"/>
    <s v=" Helen Mary &quot;Ellie&quot;"/>
    <s v=" Miss."/>
    <s v="Mockler"/>
    <s v="female"/>
    <x v="1"/>
    <x v="4"/>
    <x v="0"/>
    <s v="Adult"/>
    <n v="0"/>
    <n v="0"/>
    <x v="1"/>
    <x v="24"/>
    <x v="2"/>
    <x v="2"/>
  </r>
  <r>
    <x v="360"/>
    <x v="0"/>
    <x v="0"/>
    <x v="0"/>
    <s v=" Wilhelm"/>
    <s v=" Mr."/>
    <s v="Skoog"/>
    <s v="male"/>
    <x v="0"/>
    <x v="19"/>
    <x v="0"/>
    <s v="Adult"/>
    <n v="1"/>
    <n v="4"/>
    <x v="5"/>
    <x v="48"/>
    <x v="2"/>
    <x v="0"/>
  </r>
  <r>
    <x v="361"/>
    <x v="0"/>
    <x v="0"/>
    <x v="2"/>
    <s v=" Sebastiano"/>
    <s v=" Mr."/>
    <s v="del Carlo"/>
    <s v="male"/>
    <x v="0"/>
    <x v="27"/>
    <x v="0"/>
    <s v="Adult"/>
    <n v="1"/>
    <n v="0"/>
    <x v="0"/>
    <x v="26"/>
    <x v="2"/>
    <x v="1"/>
  </r>
  <r>
    <x v="362"/>
    <x v="0"/>
    <x v="0"/>
    <x v="0"/>
    <s v=" "/>
    <s v=" Mrs."/>
    <s v="Barbara"/>
    <s v="female"/>
    <x v="1"/>
    <x v="32"/>
    <x v="0"/>
    <s v="Adult"/>
    <n v="0"/>
    <n v="1"/>
    <x v="0"/>
    <x v="53"/>
    <x v="2"/>
    <x v="1"/>
  </r>
  <r>
    <x v="363"/>
    <x v="0"/>
    <x v="0"/>
    <x v="0"/>
    <s v=" Adola"/>
    <s v=" Mr."/>
    <s v="Asim"/>
    <s v="male"/>
    <x v="0"/>
    <x v="3"/>
    <x v="0"/>
    <s v="Adult"/>
    <n v="0"/>
    <n v="0"/>
    <x v="1"/>
    <x v="79"/>
    <x v="2"/>
    <x v="0"/>
  </r>
  <r>
    <x v="364"/>
    <x v="0"/>
    <x v="0"/>
    <x v="0"/>
    <s v=" Thomas"/>
    <s v=" Mr."/>
    <s v="O'Brien"/>
    <s v="male"/>
    <x v="0"/>
    <x v="4"/>
    <x v="0"/>
    <s v="Adult"/>
    <n v="1"/>
    <n v="0"/>
    <x v="0"/>
    <x v="37"/>
    <x v="2"/>
    <x v="2"/>
  </r>
  <r>
    <x v="365"/>
    <x v="0"/>
    <x v="0"/>
    <x v="0"/>
    <s v=" Mauritz Nils Martin"/>
    <s v=" Mr."/>
    <s v="Adahl"/>
    <s v="male"/>
    <x v="0"/>
    <x v="38"/>
    <x v="0"/>
    <s v="Adult"/>
    <n v="0"/>
    <n v="0"/>
    <x v="1"/>
    <x v="0"/>
    <x v="2"/>
    <x v="0"/>
  </r>
  <r>
    <x v="366"/>
    <x v="1"/>
    <x v="1"/>
    <x v="1"/>
    <s v=" Frank Manley "/>
    <s v=" Mrs."/>
    <s v="Warren"/>
    <s v="female"/>
    <x v="1"/>
    <x v="71"/>
    <x v="3"/>
    <e v="#N/A"/>
    <n v="1"/>
    <n v="0"/>
    <x v="0"/>
    <x v="158"/>
    <x v="2"/>
    <x v="1"/>
  </r>
  <r>
    <x v="367"/>
    <x v="1"/>
    <x v="1"/>
    <x v="0"/>
    <s v=" "/>
    <s v=" Mrs."/>
    <s v="Moussa"/>
    <s v="female"/>
    <x v="1"/>
    <x v="4"/>
    <x v="0"/>
    <s v="Adult"/>
    <n v="0"/>
    <n v="0"/>
    <x v="1"/>
    <x v="32"/>
    <x v="2"/>
    <x v="1"/>
  </r>
  <r>
    <x v="368"/>
    <x v="1"/>
    <x v="1"/>
    <x v="0"/>
    <s v=" Annie"/>
    <s v=" Miss."/>
    <s v="Jermyn"/>
    <s v="female"/>
    <x v="1"/>
    <x v="4"/>
    <x v="0"/>
    <s v="Adult"/>
    <n v="0"/>
    <n v="0"/>
    <x v="1"/>
    <x v="28"/>
    <x v="2"/>
    <x v="2"/>
  </r>
  <r>
    <x v="369"/>
    <x v="1"/>
    <x v="1"/>
    <x v="1"/>
    <s v=" Leontine Pauline"/>
    <s v=" Mme."/>
    <s v="Aubart"/>
    <s v="female"/>
    <x v="1"/>
    <x v="41"/>
    <x v="0"/>
    <s v="Adult"/>
    <n v="0"/>
    <n v="0"/>
    <x v="1"/>
    <x v="159"/>
    <x v="2"/>
    <x v="1"/>
  </r>
  <r>
    <x v="370"/>
    <x v="1"/>
    <x v="1"/>
    <x v="1"/>
    <s v=" George Achilles"/>
    <s v=" Mr."/>
    <s v="Harder"/>
    <s v="male"/>
    <x v="0"/>
    <x v="36"/>
    <x v="0"/>
    <s v="Adult"/>
    <n v="1"/>
    <n v="0"/>
    <x v="0"/>
    <x v="160"/>
    <x v="2"/>
    <x v="1"/>
  </r>
  <r>
    <x v="371"/>
    <x v="0"/>
    <x v="0"/>
    <x v="0"/>
    <s v=" Jakob Alfred"/>
    <s v=" Mr."/>
    <s v="Wiklund"/>
    <s v="male"/>
    <x v="0"/>
    <x v="23"/>
    <x v="0"/>
    <s v="Adult"/>
    <n v="1"/>
    <n v="0"/>
    <x v="0"/>
    <x v="109"/>
    <x v="2"/>
    <x v="0"/>
  </r>
  <r>
    <x v="372"/>
    <x v="0"/>
    <x v="0"/>
    <x v="0"/>
    <s v=" William Thomas"/>
    <s v=" Mr."/>
    <s v="Beavan"/>
    <s v="male"/>
    <x v="0"/>
    <x v="18"/>
    <x v="0"/>
    <s v="Adult"/>
    <n v="0"/>
    <n v="0"/>
    <x v="1"/>
    <x v="4"/>
    <x v="2"/>
    <x v="0"/>
  </r>
  <r>
    <x v="373"/>
    <x v="0"/>
    <x v="0"/>
    <x v="1"/>
    <s v=" Sante"/>
    <s v=" Mr."/>
    <s v="Ringhini"/>
    <s v="male"/>
    <x v="0"/>
    <x v="0"/>
    <x v="0"/>
    <s v="Adult"/>
    <n v="0"/>
    <n v="0"/>
    <x v="1"/>
    <x v="129"/>
    <x v="2"/>
    <x v="1"/>
  </r>
  <r>
    <x v="374"/>
    <x v="0"/>
    <x v="0"/>
    <x v="0"/>
    <s v=" Stina Viola"/>
    <s v=" Miss."/>
    <s v="Palsson"/>
    <s v="female"/>
    <x v="1"/>
    <x v="24"/>
    <x v="1"/>
    <s v="Child"/>
    <n v="3"/>
    <n v="1"/>
    <x v="2"/>
    <x v="7"/>
    <x v="2"/>
    <x v="0"/>
  </r>
  <r>
    <x v="375"/>
    <x v="1"/>
    <x v="1"/>
    <x v="1"/>
    <s v=" Edgar Joseph "/>
    <s v=" Mrs."/>
    <s v="Meyer"/>
    <s v="female"/>
    <x v="1"/>
    <x v="4"/>
    <x v="0"/>
    <s v="Adult"/>
    <n v="1"/>
    <n v="0"/>
    <x v="0"/>
    <x v="30"/>
    <x v="2"/>
    <x v="1"/>
  </r>
  <r>
    <x v="376"/>
    <x v="1"/>
    <x v="1"/>
    <x v="0"/>
    <s v=" Aurora Adelia"/>
    <s v=" Miss."/>
    <s v="Landergren"/>
    <s v="female"/>
    <x v="1"/>
    <x v="0"/>
    <x v="0"/>
    <s v="Adult"/>
    <n v="0"/>
    <n v="0"/>
    <x v="1"/>
    <x v="0"/>
    <x v="2"/>
    <x v="0"/>
  </r>
  <r>
    <x v="377"/>
    <x v="0"/>
    <x v="0"/>
    <x v="1"/>
    <s v=" Harry Elkins"/>
    <s v=" Mr."/>
    <s v="Widener"/>
    <s v="male"/>
    <x v="0"/>
    <x v="7"/>
    <x v="0"/>
    <s v="Adult"/>
    <n v="0"/>
    <n v="2"/>
    <x v="3"/>
    <x v="161"/>
    <x v="2"/>
    <x v="1"/>
  </r>
  <r>
    <x v="378"/>
    <x v="0"/>
    <x v="0"/>
    <x v="0"/>
    <s v=" Tannous"/>
    <s v=" Mr."/>
    <s v="Betros"/>
    <s v="male"/>
    <x v="0"/>
    <x v="11"/>
    <x v="0"/>
    <s v="Adult"/>
    <n v="0"/>
    <n v="0"/>
    <x v="1"/>
    <x v="162"/>
    <x v="2"/>
    <x v="1"/>
  </r>
  <r>
    <x v="379"/>
    <x v="0"/>
    <x v="0"/>
    <x v="0"/>
    <s v=" Karl Gideon"/>
    <s v=" Mr."/>
    <s v="Gustafsson"/>
    <s v="male"/>
    <x v="0"/>
    <x v="18"/>
    <x v="0"/>
    <s v="Adult"/>
    <n v="0"/>
    <n v="0"/>
    <x v="1"/>
    <x v="71"/>
    <x v="2"/>
    <x v="0"/>
  </r>
  <r>
    <x v="380"/>
    <x v="1"/>
    <x v="1"/>
    <x v="1"/>
    <s v=" Rosalie"/>
    <s v=" Miss."/>
    <s v="Bidois"/>
    <s v="female"/>
    <x v="1"/>
    <x v="21"/>
    <x v="0"/>
    <s v="Adult"/>
    <n v="0"/>
    <n v="0"/>
    <x v="1"/>
    <x v="163"/>
    <x v="2"/>
    <x v="1"/>
  </r>
  <r>
    <x v="381"/>
    <x v="1"/>
    <x v="1"/>
    <x v="0"/>
    <s v=" Maria "/>
    <s v=" Miss."/>
    <s v="Nakid"/>
    <s v="female"/>
    <x v="1"/>
    <x v="57"/>
    <x v="1"/>
    <s v="Child"/>
    <n v="0"/>
    <n v="2"/>
    <x v="3"/>
    <x v="164"/>
    <x v="2"/>
    <x v="1"/>
  </r>
  <r>
    <x v="382"/>
    <x v="0"/>
    <x v="0"/>
    <x v="0"/>
    <s v=" Juho"/>
    <s v=" Mr."/>
    <s v="Tikkanen"/>
    <s v="male"/>
    <x v="0"/>
    <x v="34"/>
    <x v="0"/>
    <s v="Adult"/>
    <n v="0"/>
    <n v="0"/>
    <x v="1"/>
    <x v="2"/>
    <x v="2"/>
    <x v="0"/>
  </r>
  <r>
    <x v="383"/>
    <x v="1"/>
    <x v="1"/>
    <x v="1"/>
    <s v=" Alexander Oskar "/>
    <s v=" Mrs."/>
    <s v="Holverson"/>
    <s v="female"/>
    <x v="1"/>
    <x v="3"/>
    <x v="0"/>
    <s v="Adult"/>
    <n v="1"/>
    <n v="0"/>
    <x v="0"/>
    <x v="31"/>
    <x v="2"/>
    <x v="0"/>
  </r>
  <r>
    <x v="384"/>
    <x v="0"/>
    <x v="0"/>
    <x v="0"/>
    <s v=" Vasil"/>
    <s v=" Mr."/>
    <s v="Plotcharsky"/>
    <s v="male"/>
    <x v="0"/>
    <x v="4"/>
    <x v="0"/>
    <s v="Adult"/>
    <n v="0"/>
    <n v="0"/>
    <x v="1"/>
    <x v="25"/>
    <x v="2"/>
    <x v="0"/>
  </r>
  <r>
    <x v="385"/>
    <x v="0"/>
    <x v="0"/>
    <x v="2"/>
    <s v=" Charles Henry"/>
    <s v=" Mr."/>
    <s v="Davies"/>
    <s v="male"/>
    <x v="0"/>
    <x v="23"/>
    <x v="0"/>
    <s v="Adult"/>
    <n v="0"/>
    <n v="0"/>
    <x v="1"/>
    <x v="52"/>
    <x v="2"/>
    <x v="0"/>
  </r>
  <r>
    <x v="386"/>
    <x v="0"/>
    <x v="0"/>
    <x v="0"/>
    <s v=" Sidney Leonard"/>
    <s v=" Master."/>
    <s v="Goodwin"/>
    <s v="male"/>
    <x v="0"/>
    <x v="57"/>
    <x v="1"/>
    <s v="Child"/>
    <n v="5"/>
    <n v="2"/>
    <x v="7"/>
    <x v="45"/>
    <x v="2"/>
    <x v="0"/>
  </r>
  <r>
    <x v="387"/>
    <x v="1"/>
    <x v="1"/>
    <x v="2"/>
    <s v=" Kate"/>
    <s v=" Miss."/>
    <s v="Buss"/>
    <s v="female"/>
    <x v="1"/>
    <x v="61"/>
    <x v="0"/>
    <s v="Adult"/>
    <n v="0"/>
    <n v="0"/>
    <x v="1"/>
    <x v="16"/>
    <x v="2"/>
    <x v="0"/>
  </r>
  <r>
    <x v="388"/>
    <x v="0"/>
    <x v="0"/>
    <x v="0"/>
    <s v=" Matthew"/>
    <s v=" Mr."/>
    <s v="Sadlier"/>
    <s v="male"/>
    <x v="0"/>
    <x v="4"/>
    <x v="0"/>
    <s v="Adult"/>
    <n v="0"/>
    <n v="0"/>
    <x v="1"/>
    <x v="165"/>
    <x v="2"/>
    <x v="2"/>
  </r>
  <r>
    <x v="389"/>
    <x v="1"/>
    <x v="1"/>
    <x v="2"/>
    <s v=" Bertha"/>
    <s v=" Miss."/>
    <s v="Lehmann"/>
    <s v="female"/>
    <x v="1"/>
    <x v="33"/>
    <x v="2"/>
    <s v="Teen"/>
    <n v="0"/>
    <n v="0"/>
    <x v="1"/>
    <x v="166"/>
    <x v="2"/>
    <x v="1"/>
  </r>
  <r>
    <x v="390"/>
    <x v="1"/>
    <x v="1"/>
    <x v="1"/>
    <s v=" William Ernest"/>
    <s v=" Mr."/>
    <s v="Carter"/>
    <s v="male"/>
    <x v="0"/>
    <x v="61"/>
    <x v="0"/>
    <s v="Adult"/>
    <n v="1"/>
    <n v="2"/>
    <x v="6"/>
    <x v="167"/>
    <x v="2"/>
    <x v="0"/>
  </r>
  <r>
    <x v="391"/>
    <x v="1"/>
    <x v="1"/>
    <x v="0"/>
    <s v=" Carl Olof"/>
    <s v=" Mr."/>
    <s v="Jansson"/>
    <s v="male"/>
    <x v="0"/>
    <x v="22"/>
    <x v="0"/>
    <s v="Adult"/>
    <n v="0"/>
    <n v="0"/>
    <x v="1"/>
    <x v="88"/>
    <x v="2"/>
    <x v="0"/>
  </r>
  <r>
    <x v="392"/>
    <x v="0"/>
    <x v="0"/>
    <x v="0"/>
    <s v=" Johan Birger"/>
    <s v=" Mr."/>
    <s v="Gustafsson"/>
    <s v="male"/>
    <x v="0"/>
    <x v="4"/>
    <x v="0"/>
    <s v="Adult"/>
    <n v="2"/>
    <n v="0"/>
    <x v="3"/>
    <x v="2"/>
    <x v="2"/>
    <x v="0"/>
  </r>
  <r>
    <x v="393"/>
    <x v="1"/>
    <x v="1"/>
    <x v="1"/>
    <s v=" Marjorie"/>
    <s v=" Miss."/>
    <s v="Newell"/>
    <s v="female"/>
    <x v="1"/>
    <x v="40"/>
    <x v="0"/>
    <s v="Adult"/>
    <n v="1"/>
    <n v="0"/>
    <x v="0"/>
    <x v="113"/>
    <x v="2"/>
    <x v="1"/>
  </r>
  <r>
    <x v="394"/>
    <x v="1"/>
    <x v="1"/>
    <x v="0"/>
    <s v=" Hjalmar "/>
    <s v=" Mrs."/>
    <s v="Sandstrom"/>
    <s v="female"/>
    <x v="1"/>
    <x v="41"/>
    <x v="0"/>
    <s v="Adult"/>
    <n v="0"/>
    <n v="2"/>
    <x v="3"/>
    <x v="10"/>
    <x v="2"/>
    <x v="0"/>
  </r>
  <r>
    <x v="395"/>
    <x v="0"/>
    <x v="0"/>
    <x v="0"/>
    <s v=" Erik"/>
    <s v=" Mr."/>
    <s v="Johansson"/>
    <s v="male"/>
    <x v="0"/>
    <x v="0"/>
    <x v="0"/>
    <s v="Adult"/>
    <n v="0"/>
    <n v="0"/>
    <x v="1"/>
    <x v="88"/>
    <x v="2"/>
    <x v="0"/>
  </r>
  <r>
    <x v="396"/>
    <x v="0"/>
    <x v="0"/>
    <x v="0"/>
    <s v=" Elina"/>
    <s v=" Miss."/>
    <s v="Olsson"/>
    <s v="female"/>
    <x v="1"/>
    <x v="14"/>
    <x v="0"/>
    <s v="Adult"/>
    <n v="0"/>
    <n v="0"/>
    <x v="1"/>
    <x v="13"/>
    <x v="2"/>
    <x v="0"/>
  </r>
  <r>
    <x v="397"/>
    <x v="0"/>
    <x v="0"/>
    <x v="2"/>
    <s v=" Peter David"/>
    <s v=" Mr."/>
    <s v="McKane"/>
    <s v="male"/>
    <x v="0"/>
    <x v="42"/>
    <x v="0"/>
    <s v="Adult"/>
    <n v="0"/>
    <n v="0"/>
    <x v="1"/>
    <x v="19"/>
    <x v="2"/>
    <x v="0"/>
  </r>
  <r>
    <x v="398"/>
    <x v="0"/>
    <x v="0"/>
    <x v="2"/>
    <s v=" Alfred"/>
    <s v=" Dr."/>
    <s v="Pain"/>
    <s v="male"/>
    <x v="0"/>
    <x v="40"/>
    <x v="0"/>
    <s v="Adult"/>
    <n v="0"/>
    <n v="0"/>
    <x v="1"/>
    <x v="29"/>
    <x v="2"/>
    <x v="0"/>
  </r>
  <r>
    <x v="399"/>
    <x v="1"/>
    <x v="1"/>
    <x v="2"/>
    <s v=" William H "/>
    <s v=" Mrs."/>
    <s v="Trout"/>
    <s v="female"/>
    <x v="1"/>
    <x v="4"/>
    <x v="0"/>
    <s v="Adult"/>
    <n v="0"/>
    <n v="0"/>
    <x v="1"/>
    <x v="168"/>
    <x v="2"/>
    <x v="0"/>
  </r>
  <r>
    <x v="400"/>
    <x v="1"/>
    <x v="1"/>
    <x v="0"/>
    <s v=" Juha"/>
    <s v=" Mr."/>
    <s v="Niskanen"/>
    <s v="male"/>
    <x v="0"/>
    <x v="12"/>
    <x v="0"/>
    <s v="Adult"/>
    <n v="0"/>
    <n v="0"/>
    <x v="1"/>
    <x v="2"/>
    <x v="2"/>
    <x v="0"/>
  </r>
  <r>
    <x v="401"/>
    <x v="0"/>
    <x v="0"/>
    <x v="0"/>
    <s v=" John"/>
    <s v=" Mr."/>
    <s v="Adams"/>
    <s v="male"/>
    <x v="0"/>
    <x v="2"/>
    <x v="0"/>
    <s v="Adult"/>
    <n v="0"/>
    <n v="0"/>
    <x v="1"/>
    <x v="4"/>
    <x v="2"/>
    <x v="0"/>
  </r>
  <r>
    <x v="402"/>
    <x v="0"/>
    <x v="0"/>
    <x v="0"/>
    <s v=" Mari Aina"/>
    <s v=" Miss."/>
    <s v="Jussila"/>
    <s v="female"/>
    <x v="1"/>
    <x v="22"/>
    <x v="0"/>
    <s v="Adult"/>
    <n v="1"/>
    <n v="0"/>
    <x v="0"/>
    <x v="73"/>
    <x v="2"/>
    <x v="0"/>
  </r>
  <r>
    <x v="403"/>
    <x v="0"/>
    <x v="0"/>
    <x v="0"/>
    <s v=" Pekka Pietari"/>
    <s v=" Mr."/>
    <s v="Hakkarainen"/>
    <s v="male"/>
    <x v="0"/>
    <x v="4"/>
    <x v="0"/>
    <s v="Adult"/>
    <n v="1"/>
    <n v="0"/>
    <x v="0"/>
    <x v="62"/>
    <x v="2"/>
    <x v="0"/>
  </r>
  <r>
    <x v="404"/>
    <x v="0"/>
    <x v="0"/>
    <x v="0"/>
    <s v=" Marija"/>
    <s v=" Miss."/>
    <s v="Oreskovic"/>
    <s v="female"/>
    <x v="1"/>
    <x v="11"/>
    <x v="0"/>
    <s v="Adult"/>
    <n v="0"/>
    <n v="0"/>
    <x v="1"/>
    <x v="51"/>
    <x v="2"/>
    <x v="0"/>
  </r>
  <r>
    <x v="405"/>
    <x v="0"/>
    <x v="0"/>
    <x v="2"/>
    <s v=" Shadrach"/>
    <s v=" Mr."/>
    <s v="Gale"/>
    <s v="male"/>
    <x v="0"/>
    <x v="15"/>
    <x v="0"/>
    <s v="Adult"/>
    <n v="1"/>
    <n v="0"/>
    <x v="0"/>
    <x v="35"/>
    <x v="2"/>
    <x v="0"/>
  </r>
  <r>
    <x v="406"/>
    <x v="0"/>
    <x v="0"/>
    <x v="0"/>
    <s v=" Carl/Charles Peter"/>
    <s v=" Mr."/>
    <s v="Widegren"/>
    <s v="male"/>
    <x v="0"/>
    <x v="53"/>
    <x v="0"/>
    <s v="Adult"/>
    <n v="0"/>
    <n v="0"/>
    <x v="1"/>
    <x v="28"/>
    <x v="2"/>
    <x v="0"/>
  </r>
  <r>
    <x v="407"/>
    <x v="1"/>
    <x v="1"/>
    <x v="2"/>
    <s v=" William Rowe"/>
    <s v=" Master."/>
    <s v="Richards"/>
    <s v="male"/>
    <x v="0"/>
    <x v="24"/>
    <x v="1"/>
    <s v="Child"/>
    <n v="1"/>
    <n v="1"/>
    <x v="3"/>
    <x v="169"/>
    <x v="2"/>
    <x v="0"/>
  </r>
  <r>
    <x v="408"/>
    <x v="0"/>
    <x v="0"/>
    <x v="0"/>
    <s v=" Hans Martin Monsen"/>
    <s v=" Mr."/>
    <s v="Birkeland"/>
    <s v="male"/>
    <x v="0"/>
    <x v="22"/>
    <x v="0"/>
    <s v="Adult"/>
    <n v="0"/>
    <n v="0"/>
    <x v="1"/>
    <x v="71"/>
    <x v="2"/>
    <x v="0"/>
  </r>
  <r>
    <x v="409"/>
    <x v="0"/>
    <x v="0"/>
    <x v="0"/>
    <s v=" Ida"/>
    <s v=" Miss."/>
    <s v="Lefebre"/>
    <s v="female"/>
    <x v="1"/>
    <x v="4"/>
    <x v="0"/>
    <s v="Adult"/>
    <n v="3"/>
    <n v="1"/>
    <x v="2"/>
    <x v="102"/>
    <x v="2"/>
    <x v="0"/>
  </r>
  <r>
    <x v="410"/>
    <x v="0"/>
    <x v="0"/>
    <x v="0"/>
    <s v=" Todor"/>
    <s v=" Mr."/>
    <s v="Sdycoff"/>
    <s v="male"/>
    <x v="0"/>
    <x v="4"/>
    <x v="0"/>
    <s v="Adult"/>
    <n v="0"/>
    <n v="0"/>
    <x v="1"/>
    <x v="25"/>
    <x v="2"/>
    <x v="0"/>
  </r>
  <r>
    <x v="411"/>
    <x v="0"/>
    <x v="0"/>
    <x v="0"/>
    <s v=" Henry"/>
    <s v=" Mr."/>
    <s v="Hart"/>
    <s v="male"/>
    <x v="0"/>
    <x v="4"/>
    <x v="0"/>
    <s v="Adult"/>
    <n v="0"/>
    <n v="0"/>
    <x v="1"/>
    <x v="170"/>
    <x v="2"/>
    <x v="2"/>
  </r>
  <r>
    <x v="412"/>
    <x v="1"/>
    <x v="1"/>
    <x v="1"/>
    <s v=" Daisy E"/>
    <s v=" Miss."/>
    <s v="Minahan"/>
    <s v="female"/>
    <x v="1"/>
    <x v="39"/>
    <x v="0"/>
    <s v="Adult"/>
    <n v="1"/>
    <n v="0"/>
    <x v="0"/>
    <x v="116"/>
    <x v="2"/>
    <x v="2"/>
  </r>
  <r>
    <x v="413"/>
    <x v="0"/>
    <x v="0"/>
    <x v="2"/>
    <s v=" Alfred Fleming"/>
    <s v=" Mr."/>
    <s v="Cunningham"/>
    <s v="male"/>
    <x v="0"/>
    <x v="4"/>
    <x v="0"/>
    <s v="Adult"/>
    <n v="0"/>
    <n v="0"/>
    <x v="1"/>
    <x v="53"/>
    <x v="2"/>
    <x v="0"/>
  </r>
  <r>
    <x v="414"/>
    <x v="1"/>
    <x v="1"/>
    <x v="0"/>
    <s v=" Johan Julian"/>
    <s v=" Mr."/>
    <s v="Sundman"/>
    <s v="male"/>
    <x v="0"/>
    <x v="56"/>
    <x v="0"/>
    <s v="Adult"/>
    <n v="0"/>
    <n v="0"/>
    <x v="1"/>
    <x v="2"/>
    <x v="2"/>
    <x v="0"/>
  </r>
  <r>
    <x v="415"/>
    <x v="0"/>
    <x v="0"/>
    <x v="0"/>
    <s v=" Thomas "/>
    <s v=" Mrs."/>
    <s v="Meek"/>
    <s v="female"/>
    <x v="1"/>
    <x v="4"/>
    <x v="0"/>
    <s v="Adult"/>
    <n v="0"/>
    <n v="0"/>
    <x v="1"/>
    <x v="4"/>
    <x v="2"/>
    <x v="0"/>
  </r>
  <r>
    <x v="416"/>
    <x v="1"/>
    <x v="1"/>
    <x v="2"/>
    <s v=" James Vivian "/>
    <s v=" Mrs."/>
    <s v="Drew"/>
    <s v="female"/>
    <x v="1"/>
    <x v="15"/>
    <x v="0"/>
    <s v="Adult"/>
    <n v="1"/>
    <n v="1"/>
    <x v="3"/>
    <x v="171"/>
    <x v="2"/>
    <x v="0"/>
  </r>
  <r>
    <x v="417"/>
    <x v="1"/>
    <x v="1"/>
    <x v="2"/>
    <s v=" Lyyli Karoliina"/>
    <s v=" Miss."/>
    <s v="Silven"/>
    <s v="female"/>
    <x v="1"/>
    <x v="23"/>
    <x v="0"/>
    <s v="Adult"/>
    <n v="0"/>
    <n v="2"/>
    <x v="3"/>
    <x v="16"/>
    <x v="2"/>
    <x v="0"/>
  </r>
  <r>
    <x v="418"/>
    <x v="0"/>
    <x v="0"/>
    <x v="2"/>
    <s v=" William John"/>
    <s v=" Mr."/>
    <s v="Matthews"/>
    <s v="male"/>
    <x v="0"/>
    <x v="38"/>
    <x v="0"/>
    <s v="Adult"/>
    <n v="0"/>
    <n v="0"/>
    <x v="1"/>
    <x v="16"/>
    <x v="2"/>
    <x v="0"/>
  </r>
  <r>
    <x v="419"/>
    <x v="0"/>
    <x v="0"/>
    <x v="0"/>
    <s v=" Catharina"/>
    <s v=" Miss."/>
    <s v="Van Impe"/>
    <s v="female"/>
    <x v="1"/>
    <x v="72"/>
    <x v="1"/>
    <s v="Child"/>
    <n v="0"/>
    <n v="2"/>
    <x v="3"/>
    <x v="72"/>
    <x v="2"/>
    <x v="0"/>
  </r>
  <r>
    <x v="420"/>
    <x v="0"/>
    <x v="0"/>
    <x v="0"/>
    <s v=" Stanio"/>
    <s v=" Mr."/>
    <s v="Gheorgheff"/>
    <s v="male"/>
    <x v="0"/>
    <x v="4"/>
    <x v="0"/>
    <s v="Adult"/>
    <n v="0"/>
    <n v="0"/>
    <x v="1"/>
    <x v="25"/>
    <x v="2"/>
    <x v="1"/>
  </r>
  <r>
    <x v="421"/>
    <x v="0"/>
    <x v="0"/>
    <x v="0"/>
    <s v=" David"/>
    <s v=" Mr."/>
    <s v="Charters"/>
    <s v="male"/>
    <x v="0"/>
    <x v="22"/>
    <x v="0"/>
    <s v="Adult"/>
    <n v="0"/>
    <n v="0"/>
    <x v="1"/>
    <x v="93"/>
    <x v="2"/>
    <x v="2"/>
  </r>
  <r>
    <x v="422"/>
    <x v="0"/>
    <x v="0"/>
    <x v="0"/>
    <s v=" Leo"/>
    <s v=" Mr."/>
    <s v="Zimmerman"/>
    <s v="male"/>
    <x v="0"/>
    <x v="27"/>
    <x v="0"/>
    <s v="Adult"/>
    <n v="0"/>
    <n v="0"/>
    <x v="1"/>
    <x v="172"/>
    <x v="2"/>
    <x v="0"/>
  </r>
  <r>
    <x v="423"/>
    <x v="0"/>
    <x v="0"/>
    <x v="0"/>
    <s v=" Ernst Gilbert "/>
    <s v=" Mrs."/>
    <s v="Danbom"/>
    <s v="female"/>
    <x v="1"/>
    <x v="4"/>
    <x v="0"/>
    <s v="Adult"/>
    <n v="1"/>
    <n v="1"/>
    <x v="3"/>
    <x v="173"/>
    <x v="2"/>
    <x v="0"/>
  </r>
  <r>
    <x v="424"/>
    <x v="0"/>
    <x v="0"/>
    <x v="0"/>
    <s v=" Viktor Richard"/>
    <s v=" Mr."/>
    <s v="Rosblom"/>
    <s v="male"/>
    <x v="0"/>
    <x v="23"/>
    <x v="0"/>
    <s v="Adult"/>
    <n v="1"/>
    <n v="1"/>
    <x v="3"/>
    <x v="124"/>
    <x v="2"/>
    <x v="0"/>
  </r>
  <r>
    <x v="425"/>
    <x v="0"/>
    <x v="0"/>
    <x v="0"/>
    <s v=" Phillippe"/>
    <s v=" Mr."/>
    <s v="Wiseman"/>
    <s v="male"/>
    <x v="0"/>
    <x v="4"/>
    <x v="0"/>
    <s v="Adult"/>
    <n v="0"/>
    <n v="0"/>
    <x v="1"/>
    <x v="0"/>
    <x v="2"/>
    <x v="0"/>
  </r>
  <r>
    <x v="426"/>
    <x v="1"/>
    <x v="1"/>
    <x v="2"/>
    <s v=" Charles V "/>
    <s v=" Mrs."/>
    <s v="Clarke"/>
    <s v="female"/>
    <x v="1"/>
    <x v="4"/>
    <x v="0"/>
    <s v="Adult"/>
    <n v="1"/>
    <n v="0"/>
    <x v="0"/>
    <x v="19"/>
    <x v="2"/>
    <x v="0"/>
  </r>
  <r>
    <x v="427"/>
    <x v="1"/>
    <x v="1"/>
    <x v="2"/>
    <s v=" Kate Florence "/>
    <s v=" Miss."/>
    <s v="Phillips"/>
    <s v="female"/>
    <x v="1"/>
    <x v="18"/>
    <x v="0"/>
    <s v="Adult"/>
    <n v="0"/>
    <n v="0"/>
    <x v="1"/>
    <x v="19"/>
    <x v="2"/>
    <x v="0"/>
  </r>
  <r>
    <x v="428"/>
    <x v="0"/>
    <x v="0"/>
    <x v="0"/>
    <s v=" James"/>
    <s v=" Mr."/>
    <s v="Flynn"/>
    <s v="male"/>
    <x v="0"/>
    <x v="4"/>
    <x v="0"/>
    <s v="Adult"/>
    <n v="0"/>
    <n v="0"/>
    <x v="1"/>
    <x v="28"/>
    <x v="2"/>
    <x v="2"/>
  </r>
  <r>
    <x v="429"/>
    <x v="1"/>
    <x v="1"/>
    <x v="0"/>
    <s v=" Berk "/>
    <s v=" Mr."/>
    <s v="Pickard"/>
    <s v="male"/>
    <x v="0"/>
    <x v="34"/>
    <x v="0"/>
    <s v="Adult"/>
    <n v="0"/>
    <n v="0"/>
    <x v="1"/>
    <x v="4"/>
    <x v="2"/>
    <x v="0"/>
  </r>
  <r>
    <x v="430"/>
    <x v="1"/>
    <x v="1"/>
    <x v="1"/>
    <s v=" Mauritz Hakan"/>
    <s v=" Mr."/>
    <s v="Bjornstrom-Steffansson"/>
    <s v="male"/>
    <x v="0"/>
    <x v="4"/>
    <x v="0"/>
    <s v="Adult"/>
    <n v="0"/>
    <n v="0"/>
    <x v="1"/>
    <x v="11"/>
    <x v="2"/>
    <x v="0"/>
  </r>
  <r>
    <x v="431"/>
    <x v="1"/>
    <x v="1"/>
    <x v="0"/>
    <s v=" Percival "/>
    <s v=" Mrs."/>
    <s v="Thorneycroft"/>
    <s v="female"/>
    <x v="1"/>
    <x v="4"/>
    <x v="0"/>
    <s v="Adult"/>
    <n v="1"/>
    <n v="0"/>
    <x v="0"/>
    <x v="95"/>
    <x v="2"/>
    <x v="0"/>
  </r>
  <r>
    <x v="432"/>
    <x v="1"/>
    <x v="1"/>
    <x v="2"/>
    <s v=" Charles Alexander "/>
    <s v=" Mrs."/>
    <s v="Louch"/>
    <s v="female"/>
    <x v="1"/>
    <x v="21"/>
    <x v="0"/>
    <s v="Adult"/>
    <n v="1"/>
    <n v="0"/>
    <x v="0"/>
    <x v="19"/>
    <x v="2"/>
    <x v="0"/>
  </r>
  <r>
    <x v="433"/>
    <x v="0"/>
    <x v="0"/>
    <x v="0"/>
    <s v=" Nikolai Erland"/>
    <s v=" Mr."/>
    <s v="Kallio"/>
    <s v="male"/>
    <x v="0"/>
    <x v="33"/>
    <x v="2"/>
    <s v="Teen"/>
    <n v="0"/>
    <n v="0"/>
    <x v="1"/>
    <x v="122"/>
    <x v="2"/>
    <x v="0"/>
  </r>
  <r>
    <x v="434"/>
    <x v="0"/>
    <x v="0"/>
    <x v="1"/>
    <s v=" William Baird"/>
    <s v=" Mr."/>
    <s v="Silvey"/>
    <s v="male"/>
    <x v="0"/>
    <x v="60"/>
    <x v="0"/>
    <s v="Adult"/>
    <n v="1"/>
    <n v="0"/>
    <x v="0"/>
    <x v="174"/>
    <x v="2"/>
    <x v="0"/>
  </r>
  <r>
    <x v="435"/>
    <x v="1"/>
    <x v="1"/>
    <x v="1"/>
    <s v=" Lucile Polk"/>
    <s v=" Miss."/>
    <s v="Carter"/>
    <s v="female"/>
    <x v="1"/>
    <x v="8"/>
    <x v="2"/>
    <s v="Teen"/>
    <n v="1"/>
    <n v="2"/>
    <x v="6"/>
    <x v="167"/>
    <x v="2"/>
    <x v="0"/>
  </r>
  <r>
    <x v="436"/>
    <x v="0"/>
    <x v="0"/>
    <x v="0"/>
    <s v=" Doolina Margaret &quot;Daisy&quot;"/>
    <s v=" Miss."/>
    <s v="Ford"/>
    <s v="female"/>
    <x v="1"/>
    <x v="22"/>
    <x v="0"/>
    <s v="Adult"/>
    <n v="2"/>
    <n v="2"/>
    <x v="2"/>
    <x v="63"/>
    <x v="2"/>
    <x v="0"/>
  </r>
  <r>
    <x v="437"/>
    <x v="1"/>
    <x v="1"/>
    <x v="2"/>
    <s v=" Sidney "/>
    <s v=" Mrs."/>
    <s v="Richards"/>
    <s v="female"/>
    <x v="1"/>
    <x v="41"/>
    <x v="0"/>
    <s v="Adult"/>
    <n v="2"/>
    <n v="3"/>
    <x v="5"/>
    <x v="169"/>
    <x v="2"/>
    <x v="0"/>
  </r>
  <r>
    <x v="438"/>
    <x v="0"/>
    <x v="0"/>
    <x v="1"/>
    <s v=" Mark"/>
    <s v=" Mr."/>
    <s v="Fortune"/>
    <s v="male"/>
    <x v="0"/>
    <x v="73"/>
    <x v="3"/>
    <s v="Old Age"/>
    <n v="1"/>
    <n v="4"/>
    <x v="5"/>
    <x v="23"/>
    <x v="2"/>
    <x v="0"/>
  </r>
  <r>
    <x v="439"/>
    <x v="0"/>
    <x v="0"/>
    <x v="2"/>
    <s v=" Johan Henrik Johannesson"/>
    <s v=" Mr."/>
    <s v="Kvillner"/>
    <s v="male"/>
    <x v="0"/>
    <x v="14"/>
    <x v="0"/>
    <s v="Adult"/>
    <n v="0"/>
    <n v="0"/>
    <x v="1"/>
    <x v="29"/>
    <x v="2"/>
    <x v="0"/>
  </r>
  <r>
    <x v="440"/>
    <x v="1"/>
    <x v="1"/>
    <x v="2"/>
    <s v=" Benjamin "/>
    <s v=" Mrs."/>
    <s v="Hart"/>
    <s v="female"/>
    <x v="1"/>
    <x v="32"/>
    <x v="0"/>
    <s v="Adult"/>
    <n v="1"/>
    <n v="1"/>
    <x v="3"/>
    <x v="120"/>
    <x v="2"/>
    <x v="0"/>
  </r>
  <r>
    <x v="441"/>
    <x v="0"/>
    <x v="0"/>
    <x v="0"/>
    <s v=" Leon"/>
    <s v=" Mr."/>
    <s v="Hampe"/>
    <s v="male"/>
    <x v="0"/>
    <x v="11"/>
    <x v="0"/>
    <s v="Adult"/>
    <n v="0"/>
    <n v="0"/>
    <x v="1"/>
    <x v="59"/>
    <x v="2"/>
    <x v="0"/>
  </r>
  <r>
    <x v="442"/>
    <x v="0"/>
    <x v="0"/>
    <x v="0"/>
    <s v=" Johan Emil"/>
    <s v=" Mr."/>
    <s v="Petterson"/>
    <s v="male"/>
    <x v="0"/>
    <x v="36"/>
    <x v="0"/>
    <s v="Adult"/>
    <n v="1"/>
    <n v="0"/>
    <x v="0"/>
    <x v="71"/>
    <x v="2"/>
    <x v="0"/>
  </r>
  <r>
    <x v="443"/>
    <x v="1"/>
    <x v="1"/>
    <x v="2"/>
    <s v=" Encarnacion"/>
    <s v=" Ms."/>
    <s v="Reynaldo"/>
    <s v="female"/>
    <x v="1"/>
    <x v="4"/>
    <x v="0"/>
    <s v="Adult"/>
    <n v="0"/>
    <n v="0"/>
    <x v="1"/>
    <x v="16"/>
    <x v="2"/>
    <x v="0"/>
  </r>
  <r>
    <x v="444"/>
    <x v="1"/>
    <x v="1"/>
    <x v="0"/>
    <s v=" Bernt"/>
    <s v=" Mr."/>
    <s v="Johannesen-Bratthammer"/>
    <s v="male"/>
    <x v="0"/>
    <x v="4"/>
    <x v="0"/>
    <s v="Adult"/>
    <n v="0"/>
    <n v="0"/>
    <x v="1"/>
    <x v="175"/>
    <x v="2"/>
    <x v="0"/>
  </r>
  <r>
    <x v="445"/>
    <x v="1"/>
    <x v="1"/>
    <x v="1"/>
    <s v=" Washington"/>
    <s v=" Master."/>
    <s v="Dodge"/>
    <s v="male"/>
    <x v="0"/>
    <x v="9"/>
    <x v="1"/>
    <s v="Child"/>
    <n v="0"/>
    <n v="2"/>
    <x v="3"/>
    <x v="176"/>
    <x v="2"/>
    <x v="0"/>
  </r>
  <r>
    <x v="446"/>
    <x v="1"/>
    <x v="1"/>
    <x v="2"/>
    <s v=" Madeleine Violet"/>
    <s v=" Miss."/>
    <s v="Mellinger"/>
    <s v="female"/>
    <x v="1"/>
    <x v="74"/>
    <x v="2"/>
    <s v="Teen"/>
    <n v="0"/>
    <n v="1"/>
    <x v="0"/>
    <x v="130"/>
    <x v="2"/>
    <x v="0"/>
  </r>
  <r>
    <x v="447"/>
    <x v="1"/>
    <x v="1"/>
    <x v="1"/>
    <s v=" Frederic Kimber"/>
    <s v=" Mr."/>
    <s v="Seward"/>
    <s v="male"/>
    <x v="0"/>
    <x v="15"/>
    <x v="0"/>
    <s v="Adult"/>
    <n v="0"/>
    <n v="0"/>
    <x v="1"/>
    <x v="11"/>
    <x v="2"/>
    <x v="0"/>
  </r>
  <r>
    <x v="448"/>
    <x v="1"/>
    <x v="1"/>
    <x v="0"/>
    <s v=" Marie Catherine"/>
    <s v=" Miss."/>
    <s v="Baclini"/>
    <s v="female"/>
    <x v="1"/>
    <x v="30"/>
    <x v="1"/>
    <s v="Child"/>
    <n v="2"/>
    <n v="1"/>
    <x v="6"/>
    <x v="177"/>
    <x v="2"/>
    <x v="1"/>
  </r>
  <r>
    <x v="449"/>
    <x v="1"/>
    <x v="1"/>
    <x v="1"/>
    <s v=" Arthur Godfrey"/>
    <s v=" Major."/>
    <s v="Peuchen"/>
    <s v="male"/>
    <x v="0"/>
    <x v="66"/>
    <x v="0"/>
    <s v="Adult"/>
    <n v="0"/>
    <n v="0"/>
    <x v="1"/>
    <x v="139"/>
    <x v="2"/>
    <x v="0"/>
  </r>
  <r>
    <x v="450"/>
    <x v="0"/>
    <x v="0"/>
    <x v="2"/>
    <s v=" Edwy Arthur"/>
    <s v=" Mr."/>
    <s v="West"/>
    <s v="male"/>
    <x v="0"/>
    <x v="61"/>
    <x v="0"/>
    <s v="Adult"/>
    <n v="1"/>
    <n v="2"/>
    <x v="6"/>
    <x v="44"/>
    <x v="2"/>
    <x v="0"/>
  </r>
  <r>
    <x v="451"/>
    <x v="0"/>
    <x v="0"/>
    <x v="0"/>
    <s v=" Ingvald Olai Olsen"/>
    <s v=" Mr."/>
    <s v="Hagland"/>
    <s v="male"/>
    <x v="0"/>
    <x v="4"/>
    <x v="0"/>
    <s v="Adult"/>
    <n v="1"/>
    <n v="0"/>
    <x v="0"/>
    <x v="178"/>
    <x v="2"/>
    <x v="0"/>
  </r>
  <r>
    <x v="452"/>
    <x v="0"/>
    <x v="0"/>
    <x v="1"/>
    <s v=" Benjamin Laventall"/>
    <s v=" Mr."/>
    <s v="Foreman"/>
    <s v="male"/>
    <x v="0"/>
    <x v="38"/>
    <x v="0"/>
    <s v="Adult"/>
    <n v="0"/>
    <n v="0"/>
    <x v="1"/>
    <x v="44"/>
    <x v="2"/>
    <x v="1"/>
  </r>
  <r>
    <x v="453"/>
    <x v="1"/>
    <x v="1"/>
    <x v="1"/>
    <s v=" Samuel L"/>
    <s v=" Mr."/>
    <s v="Goldenberg"/>
    <s v="male"/>
    <x v="0"/>
    <x v="26"/>
    <x v="0"/>
    <s v="Adult"/>
    <n v="1"/>
    <n v="0"/>
    <x v="0"/>
    <x v="179"/>
    <x v="2"/>
    <x v="1"/>
  </r>
  <r>
    <x v="454"/>
    <x v="0"/>
    <x v="0"/>
    <x v="0"/>
    <s v=" Joseph"/>
    <s v=" Mr."/>
    <s v="Peduzzi"/>
    <s v="male"/>
    <x v="0"/>
    <x v="4"/>
    <x v="0"/>
    <s v="Adult"/>
    <n v="0"/>
    <n v="0"/>
    <x v="1"/>
    <x v="4"/>
    <x v="2"/>
    <x v="0"/>
  </r>
  <r>
    <x v="455"/>
    <x v="1"/>
    <x v="1"/>
    <x v="0"/>
    <s v=" Ivan"/>
    <s v=" Mr."/>
    <s v="Jalsevac"/>
    <s v="male"/>
    <x v="0"/>
    <x v="27"/>
    <x v="0"/>
    <s v="Adult"/>
    <n v="0"/>
    <n v="0"/>
    <x v="1"/>
    <x v="25"/>
    <x v="2"/>
    <x v="1"/>
  </r>
  <r>
    <x v="456"/>
    <x v="0"/>
    <x v="0"/>
    <x v="1"/>
    <s v=" Francis Davis"/>
    <s v=" Mr."/>
    <s v="Millet"/>
    <s v="male"/>
    <x v="0"/>
    <x v="28"/>
    <x v="3"/>
    <s v="Old Age"/>
    <n v="0"/>
    <n v="0"/>
    <x v="1"/>
    <x v="11"/>
    <x v="2"/>
    <x v="0"/>
  </r>
  <r>
    <x v="457"/>
    <x v="1"/>
    <x v="1"/>
    <x v="1"/>
    <s v=" Frederick R "/>
    <s v=" Mrs."/>
    <s v="Kenyon"/>
    <s v="female"/>
    <x v="1"/>
    <x v="4"/>
    <x v="0"/>
    <s v="Adult"/>
    <n v="1"/>
    <n v="0"/>
    <x v="0"/>
    <x v="6"/>
    <x v="2"/>
    <x v="0"/>
  </r>
  <r>
    <x v="458"/>
    <x v="1"/>
    <x v="1"/>
    <x v="2"/>
    <s v=" Ellen"/>
    <s v=" Miss."/>
    <s v="Toomey"/>
    <s v="female"/>
    <x v="1"/>
    <x v="60"/>
    <x v="0"/>
    <s v="Adult"/>
    <n v="0"/>
    <n v="0"/>
    <x v="1"/>
    <x v="29"/>
    <x v="2"/>
    <x v="0"/>
  </r>
  <r>
    <x v="459"/>
    <x v="0"/>
    <x v="0"/>
    <x v="0"/>
    <s v=" Maurice"/>
    <s v=" Mr."/>
    <s v="O'Connor"/>
    <s v="male"/>
    <x v="0"/>
    <x v="4"/>
    <x v="0"/>
    <s v="Adult"/>
    <n v="0"/>
    <n v="0"/>
    <x v="1"/>
    <x v="28"/>
    <x v="2"/>
    <x v="2"/>
  </r>
  <r>
    <x v="460"/>
    <x v="1"/>
    <x v="1"/>
    <x v="1"/>
    <s v=" Harry"/>
    <s v=" Mr."/>
    <s v="Anderson"/>
    <s v="male"/>
    <x v="0"/>
    <x v="75"/>
    <x v="0"/>
    <s v="Adult"/>
    <n v="0"/>
    <n v="0"/>
    <x v="1"/>
    <x v="11"/>
    <x v="2"/>
    <x v="0"/>
  </r>
  <r>
    <x v="461"/>
    <x v="0"/>
    <x v="0"/>
    <x v="0"/>
    <s v=" William"/>
    <s v=" Mr."/>
    <s v="Morley"/>
    <s v="male"/>
    <x v="0"/>
    <x v="15"/>
    <x v="0"/>
    <s v="Adult"/>
    <n v="0"/>
    <n v="0"/>
    <x v="1"/>
    <x v="4"/>
    <x v="2"/>
    <x v="0"/>
  </r>
  <r>
    <x v="462"/>
    <x v="0"/>
    <x v="0"/>
    <x v="1"/>
    <s v=" Arthur H"/>
    <s v=" Mr."/>
    <s v="Gee"/>
    <s v="male"/>
    <x v="0"/>
    <x v="46"/>
    <x v="0"/>
    <s v="Adult"/>
    <n v="0"/>
    <n v="0"/>
    <x v="1"/>
    <x v="180"/>
    <x v="2"/>
    <x v="0"/>
  </r>
  <r>
    <x v="463"/>
    <x v="0"/>
    <x v="0"/>
    <x v="2"/>
    <s v=" Jacob Christian"/>
    <s v=" Mr."/>
    <s v="Milling"/>
    <s v="male"/>
    <x v="0"/>
    <x v="75"/>
    <x v="0"/>
    <s v="Adult"/>
    <n v="0"/>
    <n v="0"/>
    <x v="1"/>
    <x v="16"/>
    <x v="2"/>
    <x v="0"/>
  </r>
  <r>
    <x v="464"/>
    <x v="0"/>
    <x v="0"/>
    <x v="0"/>
    <s v=" Simon"/>
    <s v=" Mr."/>
    <s v="Maisner"/>
    <s v="male"/>
    <x v="0"/>
    <x v="4"/>
    <x v="0"/>
    <s v="Adult"/>
    <n v="0"/>
    <n v="0"/>
    <x v="1"/>
    <x v="4"/>
    <x v="2"/>
    <x v="0"/>
  </r>
  <r>
    <x v="465"/>
    <x v="0"/>
    <x v="0"/>
    <x v="0"/>
    <s v=" Manuel Estanslas"/>
    <s v=" Mr."/>
    <s v="Goncalves"/>
    <s v="male"/>
    <x v="0"/>
    <x v="1"/>
    <x v="0"/>
    <s v="Adult"/>
    <n v="0"/>
    <n v="0"/>
    <x v="1"/>
    <x v="79"/>
    <x v="2"/>
    <x v="0"/>
  </r>
  <r>
    <x v="466"/>
    <x v="0"/>
    <x v="0"/>
    <x v="2"/>
    <s v=" William"/>
    <s v=" Mr."/>
    <s v="Campbell"/>
    <s v="male"/>
    <x v="0"/>
    <x v="4"/>
    <x v="0"/>
    <s v="Adult"/>
    <n v="0"/>
    <n v="0"/>
    <x v="1"/>
    <x v="53"/>
    <x v="2"/>
    <x v="0"/>
  </r>
  <r>
    <x v="467"/>
    <x v="0"/>
    <x v="0"/>
    <x v="1"/>
    <s v=" John Montgomery"/>
    <s v=" Mr."/>
    <s v="Smart"/>
    <s v="male"/>
    <x v="0"/>
    <x v="59"/>
    <x v="0"/>
    <s v="Adult"/>
    <n v="0"/>
    <n v="0"/>
    <x v="1"/>
    <x v="11"/>
    <x v="2"/>
    <x v="0"/>
  </r>
  <r>
    <x v="468"/>
    <x v="0"/>
    <x v="0"/>
    <x v="0"/>
    <s v=" James"/>
    <s v=" Mr."/>
    <s v="Scanlan"/>
    <s v="male"/>
    <x v="0"/>
    <x v="4"/>
    <x v="0"/>
    <s v="Adult"/>
    <n v="0"/>
    <n v="0"/>
    <x v="1"/>
    <x v="181"/>
    <x v="2"/>
    <x v="2"/>
  </r>
  <r>
    <x v="469"/>
    <x v="1"/>
    <x v="1"/>
    <x v="0"/>
    <s v=" Helene Barbara"/>
    <s v=" Miss."/>
    <s v="Baclini"/>
    <s v="female"/>
    <x v="1"/>
    <x v="76"/>
    <x v="1"/>
    <s v="Child"/>
    <n v="2"/>
    <n v="1"/>
    <x v="6"/>
    <x v="177"/>
    <x v="2"/>
    <x v="1"/>
  </r>
  <r>
    <x v="470"/>
    <x v="0"/>
    <x v="0"/>
    <x v="0"/>
    <s v=" Arthur"/>
    <s v=" Mr."/>
    <s v="Keefe"/>
    <s v="male"/>
    <x v="0"/>
    <x v="4"/>
    <x v="0"/>
    <s v="Adult"/>
    <n v="0"/>
    <n v="0"/>
    <x v="1"/>
    <x v="0"/>
    <x v="2"/>
    <x v="0"/>
  </r>
  <r>
    <x v="471"/>
    <x v="0"/>
    <x v="0"/>
    <x v="0"/>
    <s v=" Luka"/>
    <s v=" Mr."/>
    <s v="Cacic"/>
    <s v="male"/>
    <x v="0"/>
    <x v="1"/>
    <x v="0"/>
    <s v="Adult"/>
    <n v="0"/>
    <n v="0"/>
    <x v="1"/>
    <x v="51"/>
    <x v="2"/>
    <x v="0"/>
  </r>
  <r>
    <x v="472"/>
    <x v="1"/>
    <x v="1"/>
    <x v="2"/>
    <s v=" Edwy Arthur "/>
    <s v=" Mrs."/>
    <s v="West"/>
    <s v="female"/>
    <x v="1"/>
    <x v="39"/>
    <x v="0"/>
    <s v="Adult"/>
    <n v="1"/>
    <n v="2"/>
    <x v="6"/>
    <x v="44"/>
    <x v="2"/>
    <x v="0"/>
  </r>
  <r>
    <x v="473"/>
    <x v="1"/>
    <x v="1"/>
    <x v="2"/>
    <s v=" Amin S "/>
    <s v=" Mrs."/>
    <s v="Jerwan"/>
    <s v="female"/>
    <x v="1"/>
    <x v="40"/>
    <x v="0"/>
    <s v="Adult"/>
    <n v="0"/>
    <n v="0"/>
    <x v="1"/>
    <x v="182"/>
    <x v="2"/>
    <x v="1"/>
  </r>
  <r>
    <x v="474"/>
    <x v="0"/>
    <x v="0"/>
    <x v="0"/>
    <s v=" Ida Sofia"/>
    <s v=" Miss."/>
    <s v="Strandberg"/>
    <s v="female"/>
    <x v="1"/>
    <x v="0"/>
    <x v="0"/>
    <s v="Adult"/>
    <n v="0"/>
    <n v="0"/>
    <x v="1"/>
    <x v="183"/>
    <x v="2"/>
    <x v="0"/>
  </r>
  <r>
    <x v="475"/>
    <x v="0"/>
    <x v="0"/>
    <x v="1"/>
    <s v=" George Quincy"/>
    <s v=" Mr."/>
    <s v="Clifford"/>
    <s v="male"/>
    <x v="0"/>
    <x v="4"/>
    <x v="0"/>
    <s v="Adult"/>
    <n v="0"/>
    <n v="0"/>
    <x v="1"/>
    <x v="31"/>
    <x v="2"/>
    <x v="0"/>
  </r>
  <r>
    <x v="476"/>
    <x v="0"/>
    <x v="0"/>
    <x v="2"/>
    <s v=" Peter Henry"/>
    <s v=" Mr."/>
    <s v="Renouf"/>
    <s v="male"/>
    <x v="0"/>
    <x v="15"/>
    <x v="0"/>
    <s v="Adult"/>
    <n v="1"/>
    <n v="0"/>
    <x v="0"/>
    <x v="35"/>
    <x v="2"/>
    <x v="0"/>
  </r>
  <r>
    <x v="477"/>
    <x v="0"/>
    <x v="0"/>
    <x v="0"/>
    <s v=" Lewis Richard"/>
    <s v=" Mr."/>
    <s v="Braund"/>
    <s v="male"/>
    <x v="0"/>
    <x v="27"/>
    <x v="0"/>
    <s v="Adult"/>
    <n v="1"/>
    <n v="0"/>
    <x v="0"/>
    <x v="184"/>
    <x v="2"/>
    <x v="0"/>
  </r>
  <r>
    <x v="478"/>
    <x v="0"/>
    <x v="0"/>
    <x v="0"/>
    <s v=" Nils August"/>
    <s v=" Mr."/>
    <s v="Karlsson"/>
    <s v="male"/>
    <x v="0"/>
    <x v="0"/>
    <x v="0"/>
    <s v="Adult"/>
    <n v="0"/>
    <n v="0"/>
    <x v="1"/>
    <x v="185"/>
    <x v="2"/>
    <x v="0"/>
  </r>
  <r>
    <x v="479"/>
    <x v="1"/>
    <x v="1"/>
    <x v="0"/>
    <s v=" Hildur E"/>
    <s v=" Miss."/>
    <s v="Hirvonen"/>
    <s v="female"/>
    <x v="1"/>
    <x v="6"/>
    <x v="1"/>
    <s v="Child"/>
    <n v="0"/>
    <n v="1"/>
    <x v="0"/>
    <x v="186"/>
    <x v="2"/>
    <x v="0"/>
  </r>
  <r>
    <x v="480"/>
    <x v="0"/>
    <x v="0"/>
    <x v="0"/>
    <s v=" Harold Victor"/>
    <s v=" Master."/>
    <s v="Goodwin"/>
    <s v="male"/>
    <x v="0"/>
    <x v="51"/>
    <x v="1"/>
    <s v="Child"/>
    <n v="5"/>
    <n v="2"/>
    <x v="7"/>
    <x v="45"/>
    <x v="2"/>
    <x v="0"/>
  </r>
  <r>
    <x v="481"/>
    <x v="0"/>
    <x v="0"/>
    <x v="2"/>
    <s v=" Anthony Wood &quot;Archie&quot;"/>
    <s v=" Mr."/>
    <s v="Frost"/>
    <s v="male"/>
    <x v="0"/>
    <x v="4"/>
    <x v="0"/>
    <s v="Adult"/>
    <n v="0"/>
    <n v="0"/>
    <x v="1"/>
    <x v="53"/>
    <x v="2"/>
    <x v="0"/>
  </r>
  <r>
    <x v="482"/>
    <x v="0"/>
    <x v="0"/>
    <x v="0"/>
    <s v=" Richard Henry"/>
    <s v=" Mr."/>
    <s v="Rouse"/>
    <s v="male"/>
    <x v="0"/>
    <x v="60"/>
    <x v="0"/>
    <s v="Adult"/>
    <n v="0"/>
    <n v="0"/>
    <x v="1"/>
    <x v="4"/>
    <x v="2"/>
    <x v="0"/>
  </r>
  <r>
    <x v="483"/>
    <x v="1"/>
    <x v="1"/>
    <x v="0"/>
    <s v=" "/>
    <s v=" Mrs."/>
    <s v="Turkula"/>
    <s v="female"/>
    <x v="1"/>
    <x v="67"/>
    <x v="3"/>
    <s v="Old Age"/>
    <n v="0"/>
    <n v="0"/>
    <x v="1"/>
    <x v="187"/>
    <x v="2"/>
    <x v="0"/>
  </r>
  <r>
    <x v="484"/>
    <x v="1"/>
    <x v="1"/>
    <x v="1"/>
    <s v=" Dickinson H"/>
    <s v=" Mr."/>
    <s v="Bishop"/>
    <s v="male"/>
    <x v="0"/>
    <x v="36"/>
    <x v="0"/>
    <s v="Adult"/>
    <n v="1"/>
    <n v="0"/>
    <x v="0"/>
    <x v="135"/>
    <x v="2"/>
    <x v="1"/>
  </r>
  <r>
    <x v="485"/>
    <x v="0"/>
    <x v="0"/>
    <x v="0"/>
    <s v=" Jeannie"/>
    <s v=" Miss."/>
    <s v="Lefebre"/>
    <s v="female"/>
    <x v="1"/>
    <x v="4"/>
    <x v="0"/>
    <s v="Adult"/>
    <n v="3"/>
    <n v="1"/>
    <x v="2"/>
    <x v="102"/>
    <x v="2"/>
    <x v="0"/>
  </r>
  <r>
    <x v="486"/>
    <x v="1"/>
    <x v="1"/>
    <x v="1"/>
    <s v=" Frederick Maxfield "/>
    <s v=" Mrs."/>
    <s v="Hoyt"/>
    <s v="female"/>
    <x v="1"/>
    <x v="3"/>
    <x v="0"/>
    <s v="Adult"/>
    <n v="1"/>
    <n v="0"/>
    <x v="0"/>
    <x v="116"/>
    <x v="2"/>
    <x v="0"/>
  </r>
  <r>
    <x v="487"/>
    <x v="0"/>
    <x v="0"/>
    <x v="1"/>
    <s v=" Edward Austin"/>
    <s v=" Mr."/>
    <s v="Kent"/>
    <s v="male"/>
    <x v="0"/>
    <x v="10"/>
    <x v="0"/>
    <s v="Adult"/>
    <n v="0"/>
    <n v="0"/>
    <x v="1"/>
    <x v="131"/>
    <x v="2"/>
    <x v="1"/>
  </r>
  <r>
    <x v="488"/>
    <x v="0"/>
    <x v="0"/>
    <x v="0"/>
    <s v=" Francis William"/>
    <s v=" Mr."/>
    <s v="Somerton"/>
    <s v="male"/>
    <x v="0"/>
    <x v="38"/>
    <x v="0"/>
    <s v="Adult"/>
    <n v="0"/>
    <n v="0"/>
    <x v="1"/>
    <x v="4"/>
    <x v="2"/>
    <x v="0"/>
  </r>
  <r>
    <x v="489"/>
    <x v="1"/>
    <x v="1"/>
    <x v="0"/>
    <s v=" Eden Leslie &quot;Neville&quot;"/>
    <s v=" Master."/>
    <s v="Coutts"/>
    <s v="male"/>
    <x v="0"/>
    <x v="51"/>
    <x v="1"/>
    <s v="Child"/>
    <n v="1"/>
    <n v="1"/>
    <x v="3"/>
    <x v="155"/>
    <x v="2"/>
    <x v="0"/>
  </r>
  <r>
    <x v="490"/>
    <x v="0"/>
    <x v="0"/>
    <x v="0"/>
    <s v=" Konrad Mathias Reiersen"/>
    <s v=" Mr."/>
    <s v="Hagland"/>
    <s v="male"/>
    <x v="0"/>
    <x v="4"/>
    <x v="0"/>
    <s v="Adult"/>
    <n v="1"/>
    <n v="0"/>
    <x v="0"/>
    <x v="178"/>
    <x v="2"/>
    <x v="0"/>
  </r>
  <r>
    <x v="491"/>
    <x v="0"/>
    <x v="0"/>
    <x v="0"/>
    <s v=" Einar"/>
    <s v=" Mr."/>
    <s v="Windelov"/>
    <s v="male"/>
    <x v="0"/>
    <x v="22"/>
    <x v="0"/>
    <s v="Adult"/>
    <n v="0"/>
    <n v="0"/>
    <x v="1"/>
    <x v="0"/>
    <x v="2"/>
    <x v="0"/>
  </r>
  <r>
    <x v="492"/>
    <x v="0"/>
    <x v="0"/>
    <x v="1"/>
    <s v=" Harry Markland"/>
    <s v=" Mr."/>
    <s v="Molson"/>
    <s v="male"/>
    <x v="0"/>
    <x v="13"/>
    <x v="0"/>
    <s v="Adult"/>
    <n v="0"/>
    <n v="0"/>
    <x v="1"/>
    <x v="139"/>
    <x v="2"/>
    <x v="0"/>
  </r>
  <r>
    <x v="493"/>
    <x v="0"/>
    <x v="0"/>
    <x v="1"/>
    <s v=" Ramon"/>
    <s v=" Mr."/>
    <s v="Artagaveytia"/>
    <s v="male"/>
    <x v="0"/>
    <x v="44"/>
    <x v="3"/>
    <s v="Old Age"/>
    <n v="0"/>
    <n v="0"/>
    <x v="1"/>
    <x v="188"/>
    <x v="2"/>
    <x v="1"/>
  </r>
  <r>
    <x v="494"/>
    <x v="0"/>
    <x v="0"/>
    <x v="0"/>
    <s v=" Edward Roland"/>
    <s v=" Mr."/>
    <s v="Stanley"/>
    <s v="male"/>
    <x v="0"/>
    <x v="22"/>
    <x v="0"/>
    <s v="Adult"/>
    <n v="0"/>
    <n v="0"/>
    <x v="1"/>
    <x v="4"/>
    <x v="2"/>
    <x v="0"/>
  </r>
  <r>
    <x v="495"/>
    <x v="0"/>
    <x v="0"/>
    <x v="0"/>
    <s v=" Gerious"/>
    <s v=" Mr."/>
    <s v="Yousseff"/>
    <s v="male"/>
    <x v="0"/>
    <x v="4"/>
    <x v="0"/>
    <s v="Adult"/>
    <n v="0"/>
    <n v="0"/>
    <x v="1"/>
    <x v="74"/>
    <x v="2"/>
    <x v="1"/>
  </r>
  <r>
    <x v="496"/>
    <x v="1"/>
    <x v="1"/>
    <x v="1"/>
    <s v=" Elizabeth Mussey"/>
    <s v=" Miss."/>
    <s v="Eustis"/>
    <s v="female"/>
    <x v="1"/>
    <x v="5"/>
    <x v="0"/>
    <s v="Adult"/>
    <n v="1"/>
    <n v="0"/>
    <x v="0"/>
    <x v="189"/>
    <x v="2"/>
    <x v="1"/>
  </r>
  <r>
    <x v="497"/>
    <x v="0"/>
    <x v="0"/>
    <x v="0"/>
    <s v=" Frederick William"/>
    <s v=" Mr."/>
    <s v="Shellard"/>
    <s v="male"/>
    <x v="0"/>
    <x v="4"/>
    <x v="0"/>
    <s v="Adult"/>
    <n v="0"/>
    <n v="0"/>
    <x v="1"/>
    <x v="190"/>
    <x v="2"/>
    <x v="0"/>
  </r>
  <r>
    <x v="498"/>
    <x v="0"/>
    <x v="0"/>
    <x v="1"/>
    <s v=" Hudson J C "/>
    <s v=" Mrs."/>
    <s v="Allison"/>
    <s v="female"/>
    <x v="1"/>
    <x v="36"/>
    <x v="0"/>
    <s v="Adult"/>
    <n v="1"/>
    <n v="2"/>
    <x v="6"/>
    <x v="138"/>
    <x v="2"/>
    <x v="0"/>
  </r>
  <r>
    <x v="499"/>
    <x v="0"/>
    <x v="0"/>
    <x v="0"/>
    <s v=" Olof"/>
    <s v=" Mr."/>
    <s v="Svensson"/>
    <s v="male"/>
    <x v="0"/>
    <x v="41"/>
    <x v="0"/>
    <s v="Adult"/>
    <n v="0"/>
    <n v="0"/>
    <x v="1"/>
    <x v="88"/>
    <x v="2"/>
    <x v="0"/>
  </r>
  <r>
    <x v="500"/>
    <x v="0"/>
    <x v="0"/>
    <x v="0"/>
    <s v=" Petar"/>
    <s v=" Mr."/>
    <s v="Calic"/>
    <s v="male"/>
    <x v="0"/>
    <x v="33"/>
    <x v="2"/>
    <s v="Teen"/>
    <n v="0"/>
    <n v="0"/>
    <x v="1"/>
    <x v="51"/>
    <x v="2"/>
    <x v="0"/>
  </r>
  <r>
    <x v="501"/>
    <x v="0"/>
    <x v="0"/>
    <x v="0"/>
    <s v=" Mary"/>
    <s v=" Miss."/>
    <s v="Canavan"/>
    <s v="female"/>
    <x v="1"/>
    <x v="22"/>
    <x v="0"/>
    <s v="Adult"/>
    <n v="0"/>
    <n v="0"/>
    <x v="1"/>
    <x v="28"/>
    <x v="2"/>
    <x v="2"/>
  </r>
  <r>
    <x v="502"/>
    <x v="0"/>
    <x v="0"/>
    <x v="0"/>
    <s v=" Bridget Mary"/>
    <s v=" Miss."/>
    <s v="O'Sullivan"/>
    <s v="female"/>
    <x v="1"/>
    <x v="4"/>
    <x v="0"/>
    <s v="Adult"/>
    <n v="0"/>
    <n v="0"/>
    <x v="1"/>
    <x v="191"/>
    <x v="2"/>
    <x v="2"/>
  </r>
  <r>
    <x v="503"/>
    <x v="0"/>
    <x v="0"/>
    <x v="0"/>
    <s v=" Kristina Sofia"/>
    <s v=" Miss."/>
    <s v="Laitinen"/>
    <s v="female"/>
    <x v="1"/>
    <x v="45"/>
    <x v="0"/>
    <s v="Adult"/>
    <n v="0"/>
    <n v="0"/>
    <x v="1"/>
    <x v="187"/>
    <x v="2"/>
    <x v="0"/>
  </r>
  <r>
    <x v="504"/>
    <x v="1"/>
    <x v="1"/>
    <x v="1"/>
    <s v=" Roberta"/>
    <s v=" Miss."/>
    <s v="Maioni"/>
    <s v="female"/>
    <x v="1"/>
    <x v="35"/>
    <x v="2"/>
    <s v="Teen"/>
    <n v="0"/>
    <n v="0"/>
    <x v="1"/>
    <x v="125"/>
    <x v="2"/>
    <x v="0"/>
  </r>
  <r>
    <x v="505"/>
    <x v="0"/>
    <x v="0"/>
    <x v="1"/>
    <s v=" Victor de Satode"/>
    <s v=" Mr."/>
    <s v="Penasco y Castellana"/>
    <s v="male"/>
    <x v="0"/>
    <x v="23"/>
    <x v="0"/>
    <s v="Adult"/>
    <n v="1"/>
    <n v="0"/>
    <x v="0"/>
    <x v="143"/>
    <x v="2"/>
    <x v="1"/>
  </r>
  <r>
    <x v="506"/>
    <x v="1"/>
    <x v="1"/>
    <x v="2"/>
    <s v=" Frederick Charles "/>
    <s v=" Mrs."/>
    <s v="Quick"/>
    <s v="female"/>
    <x v="1"/>
    <x v="39"/>
    <x v="0"/>
    <s v="Adult"/>
    <n v="0"/>
    <n v="2"/>
    <x v="3"/>
    <x v="19"/>
    <x v="2"/>
    <x v="0"/>
  </r>
  <r>
    <x v="507"/>
    <x v="1"/>
    <x v="1"/>
    <x v="1"/>
    <s v=" George "/>
    <s v=" Mr."/>
    <s v="Bradley"/>
    <s v="male"/>
    <x v="0"/>
    <x v="4"/>
    <x v="0"/>
    <s v="Adult"/>
    <n v="0"/>
    <n v="0"/>
    <x v="1"/>
    <x v="11"/>
    <x v="2"/>
    <x v="0"/>
  </r>
  <r>
    <x v="508"/>
    <x v="0"/>
    <x v="0"/>
    <x v="0"/>
    <s v=" Henry Margido"/>
    <s v=" Mr."/>
    <s v="Olsen"/>
    <s v="male"/>
    <x v="0"/>
    <x v="4"/>
    <x v="0"/>
    <s v="Adult"/>
    <n v="0"/>
    <n v="0"/>
    <x v="1"/>
    <x v="192"/>
    <x v="2"/>
    <x v="0"/>
  </r>
  <r>
    <x v="509"/>
    <x v="1"/>
    <x v="1"/>
    <x v="0"/>
    <s v=" Fang"/>
    <s v=" Mr."/>
    <s v="Lang"/>
    <s v="male"/>
    <x v="0"/>
    <x v="2"/>
    <x v="0"/>
    <s v="Adult"/>
    <n v="0"/>
    <n v="0"/>
    <x v="1"/>
    <x v="54"/>
    <x v="2"/>
    <x v="0"/>
  </r>
  <r>
    <x v="510"/>
    <x v="1"/>
    <x v="1"/>
    <x v="0"/>
    <s v=" Eugene Patrick"/>
    <s v=" Mr."/>
    <s v="Daly"/>
    <s v="male"/>
    <x v="0"/>
    <x v="27"/>
    <x v="0"/>
    <s v="Adult"/>
    <n v="0"/>
    <n v="0"/>
    <x v="1"/>
    <x v="28"/>
    <x v="2"/>
    <x v="2"/>
  </r>
  <r>
    <x v="511"/>
    <x v="0"/>
    <x v="0"/>
    <x v="0"/>
    <s v=" James"/>
    <s v=" Mr."/>
    <s v="Webber"/>
    <s v="male"/>
    <x v="0"/>
    <x v="4"/>
    <x v="0"/>
    <s v="Adult"/>
    <n v="0"/>
    <n v="0"/>
    <x v="1"/>
    <x v="4"/>
    <x v="2"/>
    <x v="0"/>
  </r>
  <r>
    <x v="512"/>
    <x v="1"/>
    <x v="1"/>
    <x v="1"/>
    <s v=" James Robert"/>
    <s v=" Mr."/>
    <s v="McGough"/>
    <s v="male"/>
    <x v="0"/>
    <x v="61"/>
    <x v="0"/>
    <s v="Adult"/>
    <n v="0"/>
    <n v="0"/>
    <x v="1"/>
    <x v="193"/>
    <x v="2"/>
    <x v="0"/>
  </r>
  <r>
    <x v="513"/>
    <x v="1"/>
    <x v="1"/>
    <x v="1"/>
    <s v=" Martin "/>
    <s v=" Mrs."/>
    <s v="Rothschild"/>
    <s v="female"/>
    <x v="1"/>
    <x v="5"/>
    <x v="0"/>
    <s v="Adult"/>
    <n v="1"/>
    <n v="0"/>
    <x v="0"/>
    <x v="194"/>
    <x v="2"/>
    <x v="1"/>
  </r>
  <r>
    <x v="514"/>
    <x v="0"/>
    <x v="0"/>
    <x v="0"/>
    <s v=" Satio"/>
    <s v=" Mr."/>
    <s v="Coleff"/>
    <s v="male"/>
    <x v="0"/>
    <x v="41"/>
    <x v="0"/>
    <s v="Adult"/>
    <n v="0"/>
    <n v="0"/>
    <x v="1"/>
    <x v="195"/>
    <x v="2"/>
    <x v="0"/>
  </r>
  <r>
    <x v="515"/>
    <x v="0"/>
    <x v="0"/>
    <x v="1"/>
    <s v=" William Anderson"/>
    <s v=" Mr."/>
    <s v="Walker"/>
    <s v="male"/>
    <x v="0"/>
    <x v="46"/>
    <x v="0"/>
    <s v="Adult"/>
    <n v="0"/>
    <n v="0"/>
    <x v="1"/>
    <x v="196"/>
    <x v="2"/>
    <x v="0"/>
  </r>
  <r>
    <x v="516"/>
    <x v="1"/>
    <x v="1"/>
    <x v="2"/>
    <s v=" "/>
    <s v=" Mrs."/>
    <s v="Lemore"/>
    <s v="female"/>
    <x v="1"/>
    <x v="15"/>
    <x v="0"/>
    <s v="Adult"/>
    <n v="0"/>
    <n v="0"/>
    <x v="1"/>
    <x v="29"/>
    <x v="2"/>
    <x v="0"/>
  </r>
  <r>
    <x v="517"/>
    <x v="0"/>
    <x v="0"/>
    <x v="0"/>
    <s v=" Patrick"/>
    <s v=" Mr."/>
    <s v="Ryan"/>
    <s v="male"/>
    <x v="0"/>
    <x v="4"/>
    <x v="0"/>
    <s v="Adult"/>
    <n v="0"/>
    <n v="0"/>
    <x v="1"/>
    <x v="72"/>
    <x v="2"/>
    <x v="2"/>
  </r>
  <r>
    <x v="518"/>
    <x v="1"/>
    <x v="1"/>
    <x v="2"/>
    <s v=" William A "/>
    <s v=" Mrs."/>
    <s v="Angle"/>
    <s v="female"/>
    <x v="1"/>
    <x v="61"/>
    <x v="0"/>
    <s v="Adult"/>
    <n v="1"/>
    <n v="0"/>
    <x v="0"/>
    <x v="19"/>
    <x v="2"/>
    <x v="0"/>
  </r>
  <r>
    <x v="519"/>
    <x v="0"/>
    <x v="0"/>
    <x v="0"/>
    <s v=" Stefo"/>
    <s v=" Mr."/>
    <s v="Pavlovic"/>
    <s v="male"/>
    <x v="0"/>
    <x v="34"/>
    <x v="0"/>
    <s v="Adult"/>
    <n v="0"/>
    <n v="0"/>
    <x v="1"/>
    <x v="25"/>
    <x v="2"/>
    <x v="0"/>
  </r>
  <r>
    <x v="520"/>
    <x v="1"/>
    <x v="1"/>
    <x v="1"/>
    <s v=" Anne"/>
    <s v=" Miss."/>
    <s v="Perreault"/>
    <s v="female"/>
    <x v="1"/>
    <x v="38"/>
    <x v="0"/>
    <s v="Adult"/>
    <n v="0"/>
    <n v="0"/>
    <x v="1"/>
    <x v="197"/>
    <x v="2"/>
    <x v="0"/>
  </r>
  <r>
    <x v="521"/>
    <x v="0"/>
    <x v="0"/>
    <x v="0"/>
    <s v=" Janko"/>
    <s v=" Mr."/>
    <s v="Vovk"/>
    <s v="male"/>
    <x v="0"/>
    <x v="0"/>
    <x v="0"/>
    <s v="Adult"/>
    <n v="0"/>
    <n v="0"/>
    <x v="1"/>
    <x v="25"/>
    <x v="2"/>
    <x v="0"/>
  </r>
  <r>
    <x v="522"/>
    <x v="0"/>
    <x v="0"/>
    <x v="0"/>
    <s v=" Sarkis"/>
    <s v=" Mr."/>
    <s v="Lahoud"/>
    <s v="male"/>
    <x v="0"/>
    <x v="4"/>
    <x v="0"/>
    <s v="Adult"/>
    <n v="0"/>
    <n v="0"/>
    <x v="1"/>
    <x v="18"/>
    <x v="2"/>
    <x v="1"/>
  </r>
  <r>
    <x v="523"/>
    <x v="1"/>
    <x v="1"/>
    <x v="1"/>
    <s v=" Louis Albert "/>
    <s v=" Mrs."/>
    <s v="Hippach"/>
    <s v="female"/>
    <x v="1"/>
    <x v="56"/>
    <x v="0"/>
    <s v="Adult"/>
    <n v="0"/>
    <n v="1"/>
    <x v="0"/>
    <x v="152"/>
    <x v="2"/>
    <x v="1"/>
  </r>
  <r>
    <x v="524"/>
    <x v="0"/>
    <x v="0"/>
    <x v="0"/>
    <s v=" Fared"/>
    <s v=" Mr."/>
    <s v="Kassem"/>
    <s v="male"/>
    <x v="0"/>
    <x v="4"/>
    <x v="0"/>
    <s v="Adult"/>
    <n v="0"/>
    <n v="0"/>
    <x v="1"/>
    <x v="32"/>
    <x v="2"/>
    <x v="1"/>
  </r>
  <r>
    <x v="525"/>
    <x v="0"/>
    <x v="0"/>
    <x v="0"/>
    <s v=" James"/>
    <s v=" Mr."/>
    <s v="Farrell"/>
    <s v="male"/>
    <x v="0"/>
    <x v="55"/>
    <x v="0"/>
    <s v="Adult"/>
    <n v="0"/>
    <n v="0"/>
    <x v="1"/>
    <x v="28"/>
    <x v="2"/>
    <x v="2"/>
  </r>
  <r>
    <x v="526"/>
    <x v="1"/>
    <x v="1"/>
    <x v="2"/>
    <s v=" Lucy"/>
    <s v=" Miss."/>
    <s v="Ridsdale"/>
    <s v="female"/>
    <x v="1"/>
    <x v="60"/>
    <x v="0"/>
    <s v="Adult"/>
    <n v="0"/>
    <n v="0"/>
    <x v="1"/>
    <x v="29"/>
    <x v="2"/>
    <x v="0"/>
  </r>
  <r>
    <x v="527"/>
    <x v="0"/>
    <x v="0"/>
    <x v="1"/>
    <s v=" John"/>
    <s v=" Mr."/>
    <s v="Farthing"/>
    <s v="male"/>
    <x v="0"/>
    <x v="4"/>
    <x v="0"/>
    <s v="Adult"/>
    <n v="0"/>
    <n v="0"/>
    <x v="1"/>
    <x v="198"/>
    <x v="2"/>
    <x v="0"/>
  </r>
  <r>
    <x v="528"/>
    <x v="0"/>
    <x v="0"/>
    <x v="0"/>
    <s v=" Johan Werner"/>
    <s v=" Mr."/>
    <s v="Salonen"/>
    <s v="male"/>
    <x v="0"/>
    <x v="12"/>
    <x v="0"/>
    <s v="Adult"/>
    <n v="0"/>
    <n v="0"/>
    <x v="1"/>
    <x v="2"/>
    <x v="2"/>
    <x v="0"/>
  </r>
  <r>
    <x v="529"/>
    <x v="0"/>
    <x v="0"/>
    <x v="2"/>
    <s v=" Richard George"/>
    <s v=" Mr."/>
    <s v="Hocking"/>
    <s v="male"/>
    <x v="0"/>
    <x v="40"/>
    <x v="0"/>
    <s v="Adult"/>
    <n v="2"/>
    <n v="1"/>
    <x v="6"/>
    <x v="86"/>
    <x v="2"/>
    <x v="0"/>
  </r>
  <r>
    <x v="530"/>
    <x v="1"/>
    <x v="1"/>
    <x v="2"/>
    <s v=" Phyllis May"/>
    <s v=" Miss."/>
    <s v="Quick"/>
    <s v="female"/>
    <x v="1"/>
    <x v="6"/>
    <x v="1"/>
    <s v="Child"/>
    <n v="1"/>
    <n v="1"/>
    <x v="3"/>
    <x v="19"/>
    <x v="2"/>
    <x v="0"/>
  </r>
  <r>
    <x v="531"/>
    <x v="0"/>
    <x v="0"/>
    <x v="0"/>
    <s v=" Nakli"/>
    <s v=" Mr."/>
    <s v="Toufik"/>
    <s v="male"/>
    <x v="0"/>
    <x v="4"/>
    <x v="0"/>
    <s v="Adult"/>
    <n v="0"/>
    <n v="0"/>
    <x v="1"/>
    <x v="32"/>
    <x v="2"/>
    <x v="1"/>
  </r>
  <r>
    <x v="532"/>
    <x v="0"/>
    <x v="0"/>
    <x v="0"/>
    <s v=" Joseph Jr"/>
    <s v=" Mr."/>
    <s v="Elias"/>
    <s v="male"/>
    <x v="0"/>
    <x v="33"/>
    <x v="2"/>
    <s v="Teen"/>
    <n v="1"/>
    <n v="1"/>
    <x v="3"/>
    <x v="32"/>
    <x v="2"/>
    <x v="1"/>
  </r>
  <r>
    <x v="533"/>
    <x v="1"/>
    <x v="1"/>
    <x v="0"/>
    <s v=" Catherine "/>
    <s v=" Mrs."/>
    <s v="Peter"/>
    <s v="female"/>
    <x v="1"/>
    <x v="4"/>
    <x v="0"/>
    <s v="Adult"/>
    <n v="0"/>
    <n v="2"/>
    <x v="3"/>
    <x v="77"/>
    <x v="2"/>
    <x v="1"/>
  </r>
  <r>
    <x v="534"/>
    <x v="0"/>
    <x v="0"/>
    <x v="0"/>
    <s v=" Marija"/>
    <s v=" Miss."/>
    <s v="Cacic"/>
    <s v="female"/>
    <x v="1"/>
    <x v="38"/>
    <x v="0"/>
    <s v="Adult"/>
    <n v="0"/>
    <n v="0"/>
    <x v="1"/>
    <x v="51"/>
    <x v="2"/>
    <x v="0"/>
  </r>
  <r>
    <x v="535"/>
    <x v="1"/>
    <x v="1"/>
    <x v="2"/>
    <s v=" Eva Miriam"/>
    <s v=" Miss."/>
    <s v="Hart"/>
    <s v="female"/>
    <x v="1"/>
    <x v="25"/>
    <x v="1"/>
    <s v="Child"/>
    <n v="0"/>
    <n v="2"/>
    <x v="3"/>
    <x v="120"/>
    <x v="2"/>
    <x v="0"/>
  </r>
  <r>
    <x v="536"/>
    <x v="0"/>
    <x v="0"/>
    <x v="1"/>
    <s v=" Archibald Willingham"/>
    <s v=" Major."/>
    <s v="Butt"/>
    <s v="male"/>
    <x v="0"/>
    <x v="32"/>
    <x v="0"/>
    <s v="Adult"/>
    <n v="0"/>
    <n v="0"/>
    <x v="1"/>
    <x v="11"/>
    <x v="2"/>
    <x v="0"/>
  </r>
  <r>
    <x v="537"/>
    <x v="1"/>
    <x v="1"/>
    <x v="1"/>
    <s v=" Bertha"/>
    <s v=" Miss."/>
    <s v="LeRoy"/>
    <s v="female"/>
    <x v="1"/>
    <x v="38"/>
    <x v="0"/>
    <s v="Adult"/>
    <n v="0"/>
    <n v="0"/>
    <x v="1"/>
    <x v="199"/>
    <x v="2"/>
    <x v="1"/>
  </r>
  <r>
    <x v="538"/>
    <x v="0"/>
    <x v="0"/>
    <x v="0"/>
    <s v=" Samuel Beard"/>
    <s v=" Mr."/>
    <s v="Risien"/>
    <s v="male"/>
    <x v="0"/>
    <x v="4"/>
    <x v="0"/>
    <s v="Adult"/>
    <n v="0"/>
    <n v="0"/>
    <x v="1"/>
    <x v="80"/>
    <x v="2"/>
    <x v="0"/>
  </r>
  <r>
    <x v="539"/>
    <x v="1"/>
    <x v="1"/>
    <x v="1"/>
    <s v=" Hedwig Margaritha"/>
    <s v=" Miss."/>
    <s v="Frolicher"/>
    <s v="female"/>
    <x v="1"/>
    <x v="0"/>
    <x v="0"/>
    <s v="Adult"/>
    <n v="0"/>
    <n v="2"/>
    <x v="3"/>
    <x v="200"/>
    <x v="2"/>
    <x v="1"/>
  </r>
  <r>
    <x v="540"/>
    <x v="1"/>
    <x v="1"/>
    <x v="1"/>
    <s v=" Harriet R"/>
    <s v=" Miss."/>
    <s v="Crosby"/>
    <s v="female"/>
    <x v="1"/>
    <x v="61"/>
    <x v="0"/>
    <s v="Adult"/>
    <n v="0"/>
    <n v="2"/>
    <x v="3"/>
    <x v="201"/>
    <x v="2"/>
    <x v="0"/>
  </r>
  <r>
    <x v="541"/>
    <x v="0"/>
    <x v="0"/>
    <x v="0"/>
    <s v=" Ingeborg Constanzia"/>
    <s v=" Miss."/>
    <s v="Andersson"/>
    <s v="female"/>
    <x v="1"/>
    <x v="51"/>
    <x v="1"/>
    <s v="Child"/>
    <n v="4"/>
    <n v="2"/>
    <x v="4"/>
    <x v="12"/>
    <x v="2"/>
    <x v="0"/>
  </r>
  <r>
    <x v="542"/>
    <x v="0"/>
    <x v="0"/>
    <x v="0"/>
    <s v=" Sigrid Elisabeth"/>
    <s v=" Miss."/>
    <s v="Andersson"/>
    <s v="female"/>
    <x v="1"/>
    <x v="31"/>
    <x v="1"/>
    <s v="Child"/>
    <n v="4"/>
    <n v="2"/>
    <x v="4"/>
    <x v="12"/>
    <x v="2"/>
    <x v="0"/>
  </r>
  <r>
    <x v="543"/>
    <x v="1"/>
    <x v="1"/>
    <x v="2"/>
    <s v=" Edward"/>
    <s v=" Mr."/>
    <s v="Beane"/>
    <s v="male"/>
    <x v="0"/>
    <x v="34"/>
    <x v="0"/>
    <s v="Adult"/>
    <n v="1"/>
    <n v="0"/>
    <x v="0"/>
    <x v="19"/>
    <x v="2"/>
    <x v="0"/>
  </r>
  <r>
    <x v="544"/>
    <x v="0"/>
    <x v="0"/>
    <x v="1"/>
    <s v=" Walter Donald"/>
    <s v=" Mr."/>
    <s v="Douglas"/>
    <s v="male"/>
    <x v="0"/>
    <x v="60"/>
    <x v="0"/>
    <s v="Adult"/>
    <n v="1"/>
    <n v="0"/>
    <x v="0"/>
    <x v="199"/>
    <x v="2"/>
    <x v="1"/>
  </r>
  <r>
    <x v="545"/>
    <x v="0"/>
    <x v="0"/>
    <x v="1"/>
    <s v=" Arthur Ernest"/>
    <s v=" Mr."/>
    <s v="Nicholson"/>
    <s v="male"/>
    <x v="0"/>
    <x v="73"/>
    <x v="3"/>
    <s v="Old Age"/>
    <n v="0"/>
    <n v="0"/>
    <x v="1"/>
    <x v="19"/>
    <x v="2"/>
    <x v="0"/>
  </r>
  <r>
    <x v="546"/>
    <x v="1"/>
    <x v="1"/>
    <x v="2"/>
    <s v=" Edward "/>
    <s v=" Mrs."/>
    <s v="Beane"/>
    <s v="female"/>
    <x v="1"/>
    <x v="18"/>
    <x v="0"/>
    <s v="Adult"/>
    <n v="1"/>
    <n v="0"/>
    <x v="0"/>
    <x v="19"/>
    <x v="2"/>
    <x v="0"/>
  </r>
  <r>
    <x v="547"/>
    <x v="1"/>
    <x v="1"/>
    <x v="2"/>
    <s v=" Julian"/>
    <s v=" Mr."/>
    <s v="Padro y Manent"/>
    <s v="male"/>
    <x v="0"/>
    <x v="4"/>
    <x v="0"/>
    <s v="Adult"/>
    <n v="0"/>
    <n v="0"/>
    <x v="1"/>
    <x v="202"/>
    <x v="2"/>
    <x v="1"/>
  </r>
  <r>
    <x v="548"/>
    <x v="0"/>
    <x v="0"/>
    <x v="0"/>
    <s v=" Frank John"/>
    <s v=" Mr."/>
    <s v="Goldsmith"/>
    <s v="male"/>
    <x v="0"/>
    <x v="39"/>
    <x v="0"/>
    <s v="Adult"/>
    <n v="1"/>
    <n v="1"/>
    <x v="3"/>
    <x v="97"/>
    <x v="2"/>
    <x v="0"/>
  </r>
  <r>
    <x v="549"/>
    <x v="1"/>
    <x v="1"/>
    <x v="2"/>
    <s v=" John Morgan Jr"/>
    <s v=" Master."/>
    <s v="Davies"/>
    <s v="male"/>
    <x v="0"/>
    <x v="17"/>
    <x v="1"/>
    <s v="Child"/>
    <n v="1"/>
    <n v="1"/>
    <x v="3"/>
    <x v="87"/>
    <x v="2"/>
    <x v="0"/>
  </r>
  <r>
    <x v="550"/>
    <x v="1"/>
    <x v="1"/>
    <x v="1"/>
    <s v=" John Borland Jr"/>
    <s v=" Mr."/>
    <s v="Thayer"/>
    <s v="male"/>
    <x v="0"/>
    <x v="33"/>
    <x v="2"/>
    <s v="Teen"/>
    <n v="0"/>
    <n v="2"/>
    <x v="3"/>
    <x v="142"/>
    <x v="2"/>
    <x v="1"/>
  </r>
  <r>
    <x v="551"/>
    <x v="0"/>
    <x v="0"/>
    <x v="2"/>
    <s v=" Percival James R"/>
    <s v=" Mr."/>
    <s v="Sharp"/>
    <s v="male"/>
    <x v="0"/>
    <x v="7"/>
    <x v="0"/>
    <s v="Adult"/>
    <n v="0"/>
    <n v="0"/>
    <x v="1"/>
    <x v="19"/>
    <x v="2"/>
    <x v="0"/>
  </r>
  <r>
    <x v="552"/>
    <x v="0"/>
    <x v="0"/>
    <x v="0"/>
    <s v=" Timothy"/>
    <s v=" Mr."/>
    <s v="O'Brien"/>
    <s v="male"/>
    <x v="0"/>
    <x v="4"/>
    <x v="0"/>
    <s v="Adult"/>
    <n v="0"/>
    <n v="0"/>
    <x v="1"/>
    <x v="203"/>
    <x v="2"/>
    <x v="2"/>
  </r>
  <r>
    <x v="553"/>
    <x v="1"/>
    <x v="1"/>
    <x v="0"/>
    <s v=" Fahim "/>
    <s v=" Mr."/>
    <s v="Leeni"/>
    <s v="male"/>
    <x v="0"/>
    <x v="0"/>
    <x v="0"/>
    <s v="Adult"/>
    <n v="0"/>
    <n v="0"/>
    <x v="1"/>
    <x v="18"/>
    <x v="2"/>
    <x v="1"/>
  </r>
  <r>
    <x v="554"/>
    <x v="1"/>
    <x v="1"/>
    <x v="0"/>
    <s v=" Velin"/>
    <s v=" Miss."/>
    <s v="Ohman"/>
    <s v="female"/>
    <x v="1"/>
    <x v="0"/>
    <x v="0"/>
    <s v="Adult"/>
    <n v="0"/>
    <n v="0"/>
    <x v="1"/>
    <x v="71"/>
    <x v="2"/>
    <x v="0"/>
  </r>
  <r>
    <x v="555"/>
    <x v="0"/>
    <x v="0"/>
    <x v="1"/>
    <s v=" George"/>
    <s v=" Mr."/>
    <s v="Wright"/>
    <s v="male"/>
    <x v="0"/>
    <x v="64"/>
    <x v="3"/>
    <s v="Old Age"/>
    <n v="0"/>
    <n v="0"/>
    <x v="1"/>
    <x v="11"/>
    <x v="2"/>
    <x v="0"/>
  </r>
  <r>
    <x v="556"/>
    <x v="1"/>
    <x v="1"/>
    <x v="1"/>
    <s v=" "/>
    <s v=" Lady."/>
    <s v="Duff Gordon"/>
    <s v="female"/>
    <x v="1"/>
    <x v="75"/>
    <x v="0"/>
    <s v="Adult"/>
    <n v="1"/>
    <n v="0"/>
    <x v="0"/>
    <x v="204"/>
    <x v="2"/>
    <x v="1"/>
  </r>
  <r>
    <x v="557"/>
    <x v="0"/>
    <x v="0"/>
    <x v="1"/>
    <s v=" Victor"/>
    <s v=" Mr."/>
    <s v="Robbins"/>
    <s v="male"/>
    <x v="0"/>
    <x v="4"/>
    <x v="0"/>
    <s v="Adult"/>
    <n v="0"/>
    <n v="0"/>
    <x v="1"/>
    <x v="163"/>
    <x v="2"/>
    <x v="1"/>
  </r>
  <r>
    <x v="558"/>
    <x v="1"/>
    <x v="1"/>
    <x v="1"/>
    <s v=" Emil "/>
    <s v=" Mrs."/>
    <s v="Taussig"/>
    <s v="female"/>
    <x v="1"/>
    <x v="12"/>
    <x v="0"/>
    <s v="Adult"/>
    <n v="1"/>
    <n v="1"/>
    <x v="3"/>
    <x v="127"/>
    <x v="2"/>
    <x v="0"/>
  </r>
  <r>
    <x v="559"/>
    <x v="1"/>
    <x v="1"/>
    <x v="0"/>
    <s v=" Guillaume Joseph "/>
    <s v=" Mrs."/>
    <s v="de Messemaeker"/>
    <s v="female"/>
    <x v="1"/>
    <x v="61"/>
    <x v="0"/>
    <s v="Adult"/>
    <n v="1"/>
    <n v="0"/>
    <x v="0"/>
    <x v="205"/>
    <x v="2"/>
    <x v="0"/>
  </r>
  <r>
    <x v="560"/>
    <x v="0"/>
    <x v="0"/>
    <x v="0"/>
    <s v=" Thomas Rowan"/>
    <s v=" Mr."/>
    <s v="Morrow"/>
    <s v="male"/>
    <x v="0"/>
    <x v="4"/>
    <x v="0"/>
    <s v="Adult"/>
    <n v="0"/>
    <n v="0"/>
    <x v="1"/>
    <x v="28"/>
    <x v="2"/>
    <x v="2"/>
  </r>
  <r>
    <x v="561"/>
    <x v="0"/>
    <x v="0"/>
    <x v="0"/>
    <s v=" Husein"/>
    <s v=" Mr."/>
    <s v="Sivic"/>
    <s v="male"/>
    <x v="0"/>
    <x v="19"/>
    <x v="0"/>
    <s v="Adult"/>
    <n v="0"/>
    <n v="0"/>
    <x v="1"/>
    <x v="25"/>
    <x v="2"/>
    <x v="0"/>
  </r>
  <r>
    <x v="562"/>
    <x v="0"/>
    <x v="0"/>
    <x v="2"/>
    <s v=" Robert Douglas"/>
    <s v=" Mr."/>
    <s v="Norman"/>
    <s v="male"/>
    <x v="0"/>
    <x v="4"/>
    <x v="0"/>
    <s v="Adult"/>
    <n v="0"/>
    <n v="0"/>
    <x v="1"/>
    <x v="118"/>
    <x v="2"/>
    <x v="0"/>
  </r>
  <r>
    <x v="563"/>
    <x v="0"/>
    <x v="0"/>
    <x v="0"/>
    <s v=" John"/>
    <s v=" Mr."/>
    <s v="Simmons"/>
    <s v="male"/>
    <x v="0"/>
    <x v="4"/>
    <x v="0"/>
    <s v="Adult"/>
    <n v="0"/>
    <n v="0"/>
    <x v="1"/>
    <x v="4"/>
    <x v="2"/>
    <x v="0"/>
  </r>
  <r>
    <x v="564"/>
    <x v="0"/>
    <x v="0"/>
    <x v="0"/>
    <s v=" "/>
    <s v=" Miss."/>
    <s v="Meanwell"/>
    <s v="female"/>
    <x v="1"/>
    <x v="4"/>
    <x v="0"/>
    <s v="Adult"/>
    <n v="0"/>
    <n v="0"/>
    <x v="1"/>
    <x v="4"/>
    <x v="2"/>
    <x v="0"/>
  </r>
  <r>
    <x v="565"/>
    <x v="0"/>
    <x v="0"/>
    <x v="0"/>
    <s v=" Alfred J"/>
    <s v=" Mr."/>
    <s v="Davies"/>
    <s v="male"/>
    <x v="0"/>
    <x v="41"/>
    <x v="0"/>
    <s v="Adult"/>
    <n v="2"/>
    <n v="0"/>
    <x v="3"/>
    <x v="72"/>
    <x v="2"/>
    <x v="0"/>
  </r>
  <r>
    <x v="566"/>
    <x v="0"/>
    <x v="0"/>
    <x v="0"/>
    <s v=" Ilia"/>
    <s v=" Mr."/>
    <s v="Stoytcheff"/>
    <s v="male"/>
    <x v="0"/>
    <x v="18"/>
    <x v="0"/>
    <s v="Adult"/>
    <n v="0"/>
    <n v="0"/>
    <x v="1"/>
    <x v="25"/>
    <x v="2"/>
    <x v="0"/>
  </r>
  <r>
    <x v="567"/>
    <x v="0"/>
    <x v="0"/>
    <x v="0"/>
    <s v=" Nils "/>
    <s v=" Mrs."/>
    <s v="Palsson"/>
    <s v="female"/>
    <x v="1"/>
    <x v="27"/>
    <x v="0"/>
    <s v="Adult"/>
    <n v="0"/>
    <n v="4"/>
    <x v="2"/>
    <x v="7"/>
    <x v="2"/>
    <x v="0"/>
  </r>
  <r>
    <x v="568"/>
    <x v="0"/>
    <x v="0"/>
    <x v="0"/>
    <s v=" Tannous"/>
    <s v=" Mr."/>
    <s v="Doharr"/>
    <s v="male"/>
    <x v="0"/>
    <x v="4"/>
    <x v="0"/>
    <s v="Adult"/>
    <n v="0"/>
    <n v="0"/>
    <x v="1"/>
    <x v="32"/>
    <x v="2"/>
    <x v="1"/>
  </r>
  <r>
    <x v="569"/>
    <x v="1"/>
    <x v="1"/>
    <x v="0"/>
    <s v=" Carl"/>
    <s v=" Mr."/>
    <s v="Jonsson"/>
    <s v="male"/>
    <x v="0"/>
    <x v="34"/>
    <x v="0"/>
    <s v="Adult"/>
    <n v="0"/>
    <n v="0"/>
    <x v="1"/>
    <x v="13"/>
    <x v="2"/>
    <x v="0"/>
  </r>
  <r>
    <x v="570"/>
    <x v="1"/>
    <x v="1"/>
    <x v="2"/>
    <s v=" George"/>
    <s v=" Mr."/>
    <s v="Harris"/>
    <s v="male"/>
    <x v="0"/>
    <x v="64"/>
    <x v="3"/>
    <s v="Old Age"/>
    <n v="0"/>
    <n v="0"/>
    <x v="1"/>
    <x v="29"/>
    <x v="2"/>
    <x v="0"/>
  </r>
  <r>
    <x v="571"/>
    <x v="1"/>
    <x v="1"/>
    <x v="1"/>
    <s v=" Edward Dale "/>
    <s v=" Mrs."/>
    <s v="Appleton"/>
    <s v="female"/>
    <x v="1"/>
    <x v="77"/>
    <x v="0"/>
    <s v="Adult"/>
    <n v="2"/>
    <n v="0"/>
    <x v="3"/>
    <x v="206"/>
    <x v="2"/>
    <x v="0"/>
  </r>
  <r>
    <x v="572"/>
    <x v="1"/>
    <x v="1"/>
    <x v="1"/>
    <s v=" John Irwin "/>
    <s v=" Mr."/>
    <s v="Flynn"/>
    <s v="male"/>
    <x v="0"/>
    <x v="61"/>
    <x v="0"/>
    <s v="Adult"/>
    <n v="0"/>
    <n v="0"/>
    <x v="1"/>
    <x v="207"/>
    <x v="2"/>
    <x v="0"/>
  </r>
  <r>
    <x v="573"/>
    <x v="1"/>
    <x v="1"/>
    <x v="0"/>
    <s v=" Mary"/>
    <s v=" Miss."/>
    <s v="Kelly"/>
    <s v="female"/>
    <x v="1"/>
    <x v="4"/>
    <x v="0"/>
    <s v="Adult"/>
    <n v="0"/>
    <n v="0"/>
    <x v="1"/>
    <x v="28"/>
    <x v="2"/>
    <x v="2"/>
  </r>
  <r>
    <x v="574"/>
    <x v="0"/>
    <x v="0"/>
    <x v="0"/>
    <s v=" Alfred George John"/>
    <s v=" Mr."/>
    <s v="Rush"/>
    <s v="male"/>
    <x v="0"/>
    <x v="35"/>
    <x v="2"/>
    <s v="Teen"/>
    <n v="0"/>
    <n v="0"/>
    <x v="1"/>
    <x v="4"/>
    <x v="2"/>
    <x v="0"/>
  </r>
  <r>
    <x v="575"/>
    <x v="0"/>
    <x v="0"/>
    <x v="0"/>
    <s v=" George"/>
    <s v=" Mr."/>
    <s v="Patchett"/>
    <s v="male"/>
    <x v="0"/>
    <x v="18"/>
    <x v="0"/>
    <s v="Adult"/>
    <n v="0"/>
    <n v="0"/>
    <x v="1"/>
    <x v="80"/>
    <x v="2"/>
    <x v="0"/>
  </r>
  <r>
    <x v="576"/>
    <x v="1"/>
    <x v="1"/>
    <x v="2"/>
    <s v=" Ethel"/>
    <s v=" Miss."/>
    <s v="Garside"/>
    <s v="female"/>
    <x v="1"/>
    <x v="15"/>
    <x v="0"/>
    <s v="Adult"/>
    <n v="0"/>
    <n v="0"/>
    <x v="1"/>
    <x v="16"/>
    <x v="2"/>
    <x v="0"/>
  </r>
  <r>
    <x v="577"/>
    <x v="1"/>
    <x v="1"/>
    <x v="1"/>
    <s v=" William Baird "/>
    <s v=" Mrs."/>
    <s v="Silvey"/>
    <s v="female"/>
    <x v="1"/>
    <x v="12"/>
    <x v="0"/>
    <s v="Adult"/>
    <n v="1"/>
    <n v="0"/>
    <x v="0"/>
    <x v="174"/>
    <x v="2"/>
    <x v="0"/>
  </r>
  <r>
    <x v="578"/>
    <x v="0"/>
    <x v="0"/>
    <x v="0"/>
    <s v=" Joseph "/>
    <s v=" Mrs."/>
    <s v="Caram"/>
    <s v="female"/>
    <x v="1"/>
    <x v="4"/>
    <x v="0"/>
    <s v="Adult"/>
    <n v="1"/>
    <n v="0"/>
    <x v="0"/>
    <x v="74"/>
    <x v="2"/>
    <x v="1"/>
  </r>
  <r>
    <x v="579"/>
    <x v="1"/>
    <x v="1"/>
    <x v="0"/>
    <s v=" Eiriik"/>
    <s v=" Mr."/>
    <s v="Jussila"/>
    <s v="male"/>
    <x v="0"/>
    <x v="34"/>
    <x v="0"/>
    <s v="Adult"/>
    <n v="0"/>
    <n v="0"/>
    <x v="1"/>
    <x v="2"/>
    <x v="2"/>
    <x v="0"/>
  </r>
  <r>
    <x v="580"/>
    <x v="1"/>
    <x v="1"/>
    <x v="2"/>
    <s v=" Julie Rachel"/>
    <s v=" Miss."/>
    <s v="Christy"/>
    <s v="female"/>
    <x v="1"/>
    <x v="36"/>
    <x v="0"/>
    <s v="Adult"/>
    <n v="1"/>
    <n v="1"/>
    <x v="3"/>
    <x v="208"/>
    <x v="2"/>
    <x v="0"/>
  </r>
  <r>
    <x v="581"/>
    <x v="1"/>
    <x v="1"/>
    <x v="1"/>
    <s v=" John Borland "/>
    <s v=" Mrs."/>
    <s v="Thayer"/>
    <s v="female"/>
    <x v="1"/>
    <x v="12"/>
    <x v="0"/>
    <s v="Adult"/>
    <n v="1"/>
    <n v="1"/>
    <x v="3"/>
    <x v="142"/>
    <x v="2"/>
    <x v="1"/>
  </r>
  <r>
    <x v="582"/>
    <x v="0"/>
    <x v="0"/>
    <x v="2"/>
    <s v=" William James"/>
    <s v=" Mr."/>
    <s v="Downton"/>
    <s v="male"/>
    <x v="0"/>
    <x v="5"/>
    <x v="0"/>
    <s v="Adult"/>
    <n v="0"/>
    <n v="0"/>
    <x v="1"/>
    <x v="19"/>
    <x v="2"/>
    <x v="0"/>
  </r>
  <r>
    <x v="583"/>
    <x v="0"/>
    <x v="0"/>
    <x v="1"/>
    <s v=" John Hugo"/>
    <s v=" Mr."/>
    <s v="Ross"/>
    <s v="male"/>
    <x v="0"/>
    <x v="61"/>
    <x v="0"/>
    <s v="Adult"/>
    <n v="0"/>
    <n v="0"/>
    <x v="1"/>
    <x v="209"/>
    <x v="2"/>
    <x v="1"/>
  </r>
  <r>
    <x v="584"/>
    <x v="0"/>
    <x v="0"/>
    <x v="0"/>
    <s v=" Uscher"/>
    <s v=" Mr."/>
    <s v="Paulner"/>
    <s v="male"/>
    <x v="0"/>
    <x v="4"/>
    <x v="0"/>
    <s v="Adult"/>
    <n v="0"/>
    <n v="0"/>
    <x v="1"/>
    <x v="210"/>
    <x v="2"/>
    <x v="1"/>
  </r>
  <r>
    <x v="585"/>
    <x v="1"/>
    <x v="1"/>
    <x v="1"/>
    <s v=" Ruth"/>
    <s v=" Miss."/>
    <s v="Taussig"/>
    <s v="female"/>
    <x v="1"/>
    <x v="23"/>
    <x v="0"/>
    <s v="Adult"/>
    <n v="0"/>
    <n v="2"/>
    <x v="3"/>
    <x v="127"/>
    <x v="2"/>
    <x v="0"/>
  </r>
  <r>
    <x v="586"/>
    <x v="0"/>
    <x v="0"/>
    <x v="2"/>
    <s v=" John Denzil"/>
    <s v=" Mr."/>
    <s v="Jarvis"/>
    <s v="male"/>
    <x v="0"/>
    <x v="46"/>
    <x v="0"/>
    <s v="Adult"/>
    <n v="0"/>
    <n v="0"/>
    <x v="1"/>
    <x v="211"/>
    <x v="2"/>
    <x v="0"/>
  </r>
  <r>
    <x v="587"/>
    <x v="1"/>
    <x v="1"/>
    <x v="1"/>
    <s v=" Maxmillian"/>
    <s v=" Mr."/>
    <s v="Frolicher-Stehli"/>
    <s v="male"/>
    <x v="0"/>
    <x v="71"/>
    <x v="3"/>
    <e v="#N/A"/>
    <n v="1"/>
    <n v="1"/>
    <x v="3"/>
    <x v="84"/>
    <x v="2"/>
    <x v="1"/>
  </r>
  <r>
    <x v="588"/>
    <x v="0"/>
    <x v="0"/>
    <x v="0"/>
    <s v=" Eliezer"/>
    <s v=" Mr."/>
    <s v="Gilinski"/>
    <s v="male"/>
    <x v="0"/>
    <x v="0"/>
    <x v="0"/>
    <s v="Adult"/>
    <n v="0"/>
    <n v="0"/>
    <x v="1"/>
    <x v="4"/>
    <x v="2"/>
    <x v="0"/>
  </r>
  <r>
    <x v="589"/>
    <x v="0"/>
    <x v="0"/>
    <x v="0"/>
    <s v=" Joseph"/>
    <s v=" Mr."/>
    <s v="Murdlin"/>
    <s v="male"/>
    <x v="0"/>
    <x v="4"/>
    <x v="0"/>
    <s v="Adult"/>
    <n v="0"/>
    <n v="0"/>
    <x v="1"/>
    <x v="4"/>
    <x v="2"/>
    <x v="0"/>
  </r>
  <r>
    <x v="590"/>
    <x v="0"/>
    <x v="0"/>
    <x v="0"/>
    <s v=" Matti"/>
    <s v=" Mr."/>
    <s v="Rintamaki"/>
    <s v="male"/>
    <x v="0"/>
    <x v="3"/>
    <x v="0"/>
    <s v="Adult"/>
    <n v="0"/>
    <n v="0"/>
    <x v="1"/>
    <x v="122"/>
    <x v="2"/>
    <x v="0"/>
  </r>
  <r>
    <x v="591"/>
    <x v="1"/>
    <x v="1"/>
    <x v="1"/>
    <s v=" Walter Bertram "/>
    <s v=" Mrs."/>
    <s v="Stephenson"/>
    <s v="female"/>
    <x v="1"/>
    <x v="66"/>
    <x v="0"/>
    <s v="Adult"/>
    <n v="1"/>
    <n v="0"/>
    <x v="0"/>
    <x v="189"/>
    <x v="2"/>
    <x v="1"/>
  </r>
  <r>
    <x v="592"/>
    <x v="0"/>
    <x v="0"/>
    <x v="0"/>
    <s v=" William James"/>
    <s v=" Mr."/>
    <s v="Elsbury"/>
    <s v="male"/>
    <x v="0"/>
    <x v="46"/>
    <x v="0"/>
    <s v="Adult"/>
    <n v="0"/>
    <n v="0"/>
    <x v="1"/>
    <x v="0"/>
    <x v="2"/>
    <x v="0"/>
  </r>
  <r>
    <x v="593"/>
    <x v="0"/>
    <x v="0"/>
    <x v="0"/>
    <s v=" Mary"/>
    <s v=" Miss."/>
    <s v="Bourke"/>
    <s v="female"/>
    <x v="1"/>
    <x v="4"/>
    <x v="0"/>
    <s v="Adult"/>
    <n v="0"/>
    <n v="2"/>
    <x v="3"/>
    <x v="28"/>
    <x v="2"/>
    <x v="2"/>
  </r>
  <r>
    <x v="594"/>
    <x v="0"/>
    <x v="0"/>
    <x v="2"/>
    <s v=" John Henry"/>
    <s v=" Mr."/>
    <s v="Chapman"/>
    <s v="male"/>
    <x v="0"/>
    <x v="45"/>
    <x v="0"/>
    <s v="Adult"/>
    <n v="1"/>
    <n v="0"/>
    <x v="0"/>
    <x v="19"/>
    <x v="2"/>
    <x v="0"/>
  </r>
  <r>
    <x v="595"/>
    <x v="0"/>
    <x v="0"/>
    <x v="0"/>
    <s v=" Jean Baptiste"/>
    <s v=" Mr."/>
    <s v="Van Impe"/>
    <s v="male"/>
    <x v="0"/>
    <x v="61"/>
    <x v="0"/>
    <s v="Adult"/>
    <n v="1"/>
    <n v="1"/>
    <x v="3"/>
    <x v="72"/>
    <x v="2"/>
    <x v="0"/>
  </r>
  <r>
    <x v="596"/>
    <x v="1"/>
    <x v="1"/>
    <x v="2"/>
    <s v=" Jessie Wills"/>
    <s v=" Miss."/>
    <s v="Leitch"/>
    <s v="female"/>
    <x v="1"/>
    <x v="4"/>
    <x v="0"/>
    <s v="Adult"/>
    <n v="0"/>
    <n v="0"/>
    <x v="1"/>
    <x v="212"/>
    <x v="2"/>
    <x v="0"/>
  </r>
  <r>
    <x v="597"/>
    <x v="0"/>
    <x v="0"/>
    <x v="0"/>
    <s v=" Alfred"/>
    <s v=" Mr."/>
    <s v="Johnson"/>
    <s v="male"/>
    <x v="0"/>
    <x v="26"/>
    <x v="0"/>
    <s v="Adult"/>
    <n v="0"/>
    <n v="0"/>
    <x v="1"/>
    <x v="53"/>
    <x v="2"/>
    <x v="0"/>
  </r>
  <r>
    <x v="598"/>
    <x v="0"/>
    <x v="0"/>
    <x v="0"/>
    <s v=" Hanna"/>
    <s v=" Mr."/>
    <s v="Boulos"/>
    <s v="male"/>
    <x v="0"/>
    <x v="4"/>
    <x v="0"/>
    <s v="Adult"/>
    <n v="0"/>
    <n v="0"/>
    <x v="1"/>
    <x v="18"/>
    <x v="2"/>
    <x v="1"/>
  </r>
  <r>
    <x v="599"/>
    <x v="1"/>
    <x v="1"/>
    <x v="1"/>
    <s v=" Cosmo Edmund "/>
    <s v=" Sir."/>
    <s v="Duff Gordon"/>
    <s v="male"/>
    <x v="0"/>
    <x v="26"/>
    <x v="0"/>
    <s v="Adult"/>
    <n v="1"/>
    <n v="0"/>
    <x v="0"/>
    <x v="145"/>
    <x v="2"/>
    <x v="1"/>
  </r>
  <r>
    <x v="600"/>
    <x v="1"/>
    <x v="1"/>
    <x v="2"/>
    <s v=" Sidney Samuel "/>
    <s v=" Mrs."/>
    <s v="Jacobsohn"/>
    <s v="female"/>
    <x v="1"/>
    <x v="41"/>
    <x v="0"/>
    <s v="Adult"/>
    <n v="2"/>
    <n v="1"/>
    <x v="6"/>
    <x v="114"/>
    <x v="2"/>
    <x v="0"/>
  </r>
  <r>
    <x v="601"/>
    <x v="0"/>
    <x v="0"/>
    <x v="0"/>
    <s v=" Petco"/>
    <s v=" Mr."/>
    <s v="Slabenoff"/>
    <s v="male"/>
    <x v="0"/>
    <x v="4"/>
    <x v="0"/>
    <s v="Adult"/>
    <n v="0"/>
    <n v="0"/>
    <x v="1"/>
    <x v="25"/>
    <x v="2"/>
    <x v="0"/>
  </r>
  <r>
    <x v="602"/>
    <x v="0"/>
    <x v="0"/>
    <x v="1"/>
    <s v=" Charles H"/>
    <s v=" Mr."/>
    <s v="Harrington"/>
    <s v="male"/>
    <x v="0"/>
    <x v="4"/>
    <x v="0"/>
    <s v="Adult"/>
    <n v="0"/>
    <n v="0"/>
    <x v="1"/>
    <x v="213"/>
    <x v="2"/>
    <x v="0"/>
  </r>
  <r>
    <x v="603"/>
    <x v="0"/>
    <x v="0"/>
    <x v="0"/>
    <s v=" Ernst William"/>
    <s v=" Mr."/>
    <s v="Torber"/>
    <s v="male"/>
    <x v="0"/>
    <x v="56"/>
    <x v="0"/>
    <s v="Adult"/>
    <n v="0"/>
    <n v="0"/>
    <x v="1"/>
    <x v="4"/>
    <x v="2"/>
    <x v="0"/>
  </r>
  <r>
    <x v="604"/>
    <x v="1"/>
    <x v="1"/>
    <x v="1"/>
    <s v=" Harry "/>
    <s v=" Mr."/>
    <s v="Homer"/>
    <s v="male"/>
    <x v="0"/>
    <x v="3"/>
    <x v="0"/>
    <s v="Adult"/>
    <n v="0"/>
    <n v="0"/>
    <x v="1"/>
    <x v="11"/>
    <x v="2"/>
    <x v="1"/>
  </r>
  <r>
    <x v="605"/>
    <x v="0"/>
    <x v="0"/>
    <x v="0"/>
    <s v=" Edvard Bengtsson"/>
    <s v=" Mr."/>
    <s v="Lindell"/>
    <s v="male"/>
    <x v="0"/>
    <x v="61"/>
    <x v="0"/>
    <s v="Adult"/>
    <n v="1"/>
    <n v="0"/>
    <x v="0"/>
    <x v="214"/>
    <x v="2"/>
    <x v="0"/>
  </r>
  <r>
    <x v="606"/>
    <x v="0"/>
    <x v="0"/>
    <x v="0"/>
    <s v=" Milan"/>
    <s v=" Mr."/>
    <s v="Karaic"/>
    <s v="male"/>
    <x v="0"/>
    <x v="38"/>
    <x v="0"/>
    <s v="Adult"/>
    <n v="0"/>
    <n v="0"/>
    <x v="1"/>
    <x v="25"/>
    <x v="2"/>
    <x v="0"/>
  </r>
  <r>
    <x v="607"/>
    <x v="1"/>
    <x v="1"/>
    <x v="1"/>
    <s v=" Robert Williams"/>
    <s v=" Mr."/>
    <s v="Daniel"/>
    <s v="male"/>
    <x v="0"/>
    <x v="7"/>
    <x v="0"/>
    <s v="Adult"/>
    <n v="0"/>
    <n v="0"/>
    <x v="1"/>
    <x v="139"/>
    <x v="2"/>
    <x v="0"/>
  </r>
  <r>
    <x v="608"/>
    <x v="1"/>
    <x v="1"/>
    <x v="2"/>
    <s v=" Joseph "/>
    <s v=" Mrs."/>
    <s v="Laroche"/>
    <s v="female"/>
    <x v="1"/>
    <x v="0"/>
    <x v="0"/>
    <s v="Adult"/>
    <n v="1"/>
    <n v="2"/>
    <x v="6"/>
    <x v="36"/>
    <x v="2"/>
    <x v="1"/>
  </r>
  <r>
    <x v="609"/>
    <x v="1"/>
    <x v="1"/>
    <x v="1"/>
    <s v=" Elizabeth W"/>
    <s v=" Miss."/>
    <s v="Shutes"/>
    <s v="female"/>
    <x v="1"/>
    <x v="19"/>
    <x v="0"/>
    <s v="Adult"/>
    <n v="0"/>
    <n v="0"/>
    <x v="1"/>
    <x v="128"/>
    <x v="2"/>
    <x v="0"/>
  </r>
  <r>
    <x v="610"/>
    <x v="0"/>
    <x v="0"/>
    <x v="0"/>
    <s v=" Anders Johan "/>
    <s v=" Mrs."/>
    <s v="Andersson"/>
    <s v="female"/>
    <x v="1"/>
    <x v="12"/>
    <x v="0"/>
    <s v="Adult"/>
    <n v="1"/>
    <n v="5"/>
    <x v="4"/>
    <x v="12"/>
    <x v="2"/>
    <x v="0"/>
  </r>
  <r>
    <x v="611"/>
    <x v="0"/>
    <x v="0"/>
    <x v="0"/>
    <s v=" Jose Neto"/>
    <s v=" Mr."/>
    <s v="Jardin"/>
    <s v="male"/>
    <x v="0"/>
    <x v="4"/>
    <x v="0"/>
    <s v="Adult"/>
    <n v="0"/>
    <n v="0"/>
    <x v="1"/>
    <x v="79"/>
    <x v="2"/>
    <x v="0"/>
  </r>
  <r>
    <x v="612"/>
    <x v="1"/>
    <x v="1"/>
    <x v="0"/>
    <s v=" Margaret Jane"/>
    <s v=" Miss."/>
    <s v="Murphy"/>
    <s v="female"/>
    <x v="1"/>
    <x v="4"/>
    <x v="0"/>
    <s v="Adult"/>
    <n v="1"/>
    <n v="0"/>
    <x v="0"/>
    <x v="37"/>
    <x v="2"/>
    <x v="2"/>
  </r>
  <r>
    <x v="613"/>
    <x v="0"/>
    <x v="0"/>
    <x v="0"/>
    <s v=" John"/>
    <s v=" Mr."/>
    <s v="Horgan"/>
    <s v="male"/>
    <x v="0"/>
    <x v="4"/>
    <x v="0"/>
    <s v="Adult"/>
    <n v="0"/>
    <n v="0"/>
    <x v="1"/>
    <x v="28"/>
    <x v="2"/>
    <x v="2"/>
  </r>
  <r>
    <x v="614"/>
    <x v="0"/>
    <x v="0"/>
    <x v="0"/>
    <s v=" William Alfred"/>
    <s v=" Mr."/>
    <s v="Brocklebank"/>
    <s v="male"/>
    <x v="0"/>
    <x v="3"/>
    <x v="0"/>
    <s v="Adult"/>
    <n v="0"/>
    <n v="0"/>
    <x v="1"/>
    <x v="4"/>
    <x v="2"/>
    <x v="0"/>
  </r>
  <r>
    <x v="615"/>
    <x v="1"/>
    <x v="1"/>
    <x v="2"/>
    <s v=" Alice"/>
    <s v=" Miss."/>
    <s v="Herman"/>
    <s v="female"/>
    <x v="1"/>
    <x v="41"/>
    <x v="0"/>
    <s v="Adult"/>
    <n v="1"/>
    <n v="2"/>
    <x v="6"/>
    <x v="215"/>
    <x v="2"/>
    <x v="0"/>
  </r>
  <r>
    <x v="616"/>
    <x v="0"/>
    <x v="0"/>
    <x v="0"/>
    <s v=" Ernst Gilbert"/>
    <s v=" Mr."/>
    <s v="Danbom"/>
    <s v="male"/>
    <x v="0"/>
    <x v="15"/>
    <x v="0"/>
    <s v="Adult"/>
    <n v="1"/>
    <n v="1"/>
    <x v="3"/>
    <x v="173"/>
    <x v="2"/>
    <x v="0"/>
  </r>
  <r>
    <x v="617"/>
    <x v="0"/>
    <x v="0"/>
    <x v="0"/>
    <s v=" William Arthur "/>
    <s v=" Mrs."/>
    <s v="Lobb"/>
    <s v="female"/>
    <x v="1"/>
    <x v="2"/>
    <x v="0"/>
    <s v="Adult"/>
    <n v="1"/>
    <n v="0"/>
    <x v="0"/>
    <x v="95"/>
    <x v="2"/>
    <x v="0"/>
  </r>
  <r>
    <x v="618"/>
    <x v="1"/>
    <x v="1"/>
    <x v="2"/>
    <s v=" Marion Louise"/>
    <s v=" Miss."/>
    <s v="Becker"/>
    <s v="female"/>
    <x v="1"/>
    <x v="9"/>
    <x v="1"/>
    <s v="Child"/>
    <n v="2"/>
    <n v="1"/>
    <x v="6"/>
    <x v="105"/>
    <x v="2"/>
    <x v="0"/>
  </r>
  <r>
    <x v="619"/>
    <x v="0"/>
    <x v="0"/>
    <x v="2"/>
    <s v=" Lawrence"/>
    <s v=" Mr."/>
    <s v="Gavey"/>
    <s v="male"/>
    <x v="0"/>
    <x v="2"/>
    <x v="0"/>
    <s v="Adult"/>
    <n v="0"/>
    <n v="0"/>
    <x v="1"/>
    <x v="29"/>
    <x v="2"/>
    <x v="0"/>
  </r>
  <r>
    <x v="620"/>
    <x v="0"/>
    <x v="0"/>
    <x v="0"/>
    <s v=" Antoni"/>
    <s v=" Mr."/>
    <s v="Yasbeck"/>
    <s v="male"/>
    <x v="0"/>
    <x v="7"/>
    <x v="0"/>
    <s v="Adult"/>
    <n v="1"/>
    <n v="0"/>
    <x v="0"/>
    <x v="53"/>
    <x v="2"/>
    <x v="1"/>
  </r>
  <r>
    <x v="621"/>
    <x v="1"/>
    <x v="1"/>
    <x v="1"/>
    <s v=" Edwin Nelson Jr"/>
    <s v=" Mr."/>
    <s v="Kimball"/>
    <s v="male"/>
    <x v="0"/>
    <x v="21"/>
    <x v="0"/>
    <s v="Adult"/>
    <n v="1"/>
    <n v="0"/>
    <x v="0"/>
    <x v="123"/>
    <x v="2"/>
    <x v="0"/>
  </r>
  <r>
    <x v="622"/>
    <x v="1"/>
    <x v="1"/>
    <x v="0"/>
    <s v=" Sahid"/>
    <s v=" Mr."/>
    <s v="Nakid"/>
    <s v="male"/>
    <x v="0"/>
    <x v="11"/>
    <x v="0"/>
    <s v="Adult"/>
    <n v="1"/>
    <n v="1"/>
    <x v="3"/>
    <x v="164"/>
    <x v="2"/>
    <x v="1"/>
  </r>
  <r>
    <x v="623"/>
    <x v="0"/>
    <x v="0"/>
    <x v="0"/>
    <s v=" Henry Damsgaard"/>
    <s v=" Mr."/>
    <s v="Hansen"/>
    <s v="male"/>
    <x v="0"/>
    <x v="22"/>
    <x v="0"/>
    <s v="Adult"/>
    <n v="0"/>
    <n v="0"/>
    <x v="1"/>
    <x v="13"/>
    <x v="2"/>
    <x v="0"/>
  </r>
  <r>
    <x v="624"/>
    <x v="0"/>
    <x v="0"/>
    <x v="0"/>
    <s v=" David John &quot;Dai&quot;"/>
    <s v=" Mr."/>
    <s v="Bowen"/>
    <s v="male"/>
    <x v="0"/>
    <x v="22"/>
    <x v="0"/>
    <s v="Adult"/>
    <n v="0"/>
    <n v="0"/>
    <x v="1"/>
    <x v="95"/>
    <x v="2"/>
    <x v="0"/>
  </r>
  <r>
    <x v="625"/>
    <x v="0"/>
    <x v="0"/>
    <x v="1"/>
    <s v=" Frederick"/>
    <s v=" Mr."/>
    <s v="Sutton"/>
    <s v="male"/>
    <x v="0"/>
    <x v="58"/>
    <x v="3"/>
    <s v="Old Age"/>
    <n v="0"/>
    <n v="0"/>
    <x v="1"/>
    <x v="216"/>
    <x v="2"/>
    <x v="0"/>
  </r>
  <r>
    <x v="626"/>
    <x v="0"/>
    <x v="0"/>
    <x v="2"/>
    <s v=" Charles Leonard"/>
    <s v=" Rev."/>
    <s v="Kirkland"/>
    <s v="male"/>
    <x v="0"/>
    <x v="78"/>
    <x v="0"/>
    <s v="Adult"/>
    <n v="0"/>
    <n v="0"/>
    <x v="1"/>
    <x v="141"/>
    <x v="2"/>
    <x v="2"/>
  </r>
  <r>
    <x v="627"/>
    <x v="1"/>
    <x v="1"/>
    <x v="1"/>
    <s v=" Gretchen Fiske"/>
    <s v=" Miss."/>
    <s v="Longley"/>
    <s v="female"/>
    <x v="1"/>
    <x v="22"/>
    <x v="0"/>
    <s v="Adult"/>
    <n v="0"/>
    <n v="0"/>
    <x v="1"/>
    <x v="132"/>
    <x v="2"/>
    <x v="0"/>
  </r>
  <r>
    <x v="628"/>
    <x v="0"/>
    <x v="0"/>
    <x v="0"/>
    <s v=" Guentcho"/>
    <s v=" Mr."/>
    <s v="Bostandyeff"/>
    <s v="male"/>
    <x v="0"/>
    <x v="2"/>
    <x v="0"/>
    <s v="Adult"/>
    <n v="0"/>
    <n v="0"/>
    <x v="1"/>
    <x v="25"/>
    <x v="2"/>
    <x v="0"/>
  </r>
  <r>
    <x v="629"/>
    <x v="0"/>
    <x v="0"/>
    <x v="0"/>
    <s v=" Patrick D"/>
    <s v=" Mr."/>
    <s v="O'Connell"/>
    <s v="male"/>
    <x v="0"/>
    <x v="4"/>
    <x v="0"/>
    <s v="Adult"/>
    <n v="0"/>
    <n v="0"/>
    <x v="1"/>
    <x v="93"/>
    <x v="2"/>
    <x v="2"/>
  </r>
  <r>
    <x v="630"/>
    <x v="1"/>
    <x v="1"/>
    <x v="1"/>
    <s v=" Algernon Henry Wilson"/>
    <s v=" Mr."/>
    <s v="Barkworth"/>
    <s v="male"/>
    <x v="0"/>
    <x v="79"/>
    <x v="3"/>
    <s v="Old Age"/>
    <n v="0"/>
    <n v="0"/>
    <x v="1"/>
    <x v="208"/>
    <x v="2"/>
    <x v="0"/>
  </r>
  <r>
    <x v="631"/>
    <x v="0"/>
    <x v="0"/>
    <x v="0"/>
    <s v=" Johan Svensson"/>
    <s v=" Mr."/>
    <s v="Lundahl"/>
    <s v="male"/>
    <x v="0"/>
    <x v="53"/>
    <x v="0"/>
    <s v="Adult"/>
    <n v="0"/>
    <n v="0"/>
    <x v="1"/>
    <x v="217"/>
    <x v="2"/>
    <x v="0"/>
  </r>
  <r>
    <x v="632"/>
    <x v="1"/>
    <x v="1"/>
    <x v="1"/>
    <s v=" Max"/>
    <s v=" Dr."/>
    <s v="Stahelin-Maeglin"/>
    <s v="male"/>
    <x v="0"/>
    <x v="34"/>
    <x v="0"/>
    <s v="Adult"/>
    <n v="0"/>
    <n v="0"/>
    <x v="1"/>
    <x v="139"/>
    <x v="2"/>
    <x v="1"/>
  </r>
  <r>
    <x v="633"/>
    <x v="0"/>
    <x v="0"/>
    <x v="1"/>
    <s v=" William Henry Marsh"/>
    <s v=" Mr."/>
    <s v="Parr"/>
    <s v="male"/>
    <x v="0"/>
    <x v="4"/>
    <x v="0"/>
    <s v="Adult"/>
    <n v="0"/>
    <n v="0"/>
    <x v="1"/>
    <x v="53"/>
    <x v="2"/>
    <x v="0"/>
  </r>
  <r>
    <x v="634"/>
    <x v="0"/>
    <x v="0"/>
    <x v="0"/>
    <s v=" Mabel"/>
    <s v=" Miss."/>
    <s v="Skoog"/>
    <s v="female"/>
    <x v="1"/>
    <x v="51"/>
    <x v="1"/>
    <s v="Child"/>
    <n v="3"/>
    <n v="2"/>
    <x v="5"/>
    <x v="48"/>
    <x v="2"/>
    <x v="0"/>
  </r>
  <r>
    <x v="635"/>
    <x v="1"/>
    <x v="1"/>
    <x v="2"/>
    <s v=" Mary"/>
    <s v=" Miss."/>
    <s v="Davis"/>
    <s v="female"/>
    <x v="1"/>
    <x v="4"/>
    <x v="0"/>
    <s v="Adult"/>
    <n v="0"/>
    <n v="0"/>
    <x v="1"/>
    <x v="16"/>
    <x v="2"/>
    <x v="0"/>
  </r>
  <r>
    <x v="636"/>
    <x v="0"/>
    <x v="0"/>
    <x v="0"/>
    <s v=" Antti Gustaf"/>
    <s v=" Mr."/>
    <s v="Leinonen"/>
    <s v="male"/>
    <x v="0"/>
    <x v="34"/>
    <x v="0"/>
    <s v="Adult"/>
    <n v="0"/>
    <n v="0"/>
    <x v="1"/>
    <x v="2"/>
    <x v="2"/>
    <x v="0"/>
  </r>
  <r>
    <x v="637"/>
    <x v="0"/>
    <x v="0"/>
    <x v="2"/>
    <s v=" Harvey"/>
    <s v=" Mr."/>
    <s v="Collyer"/>
    <s v="male"/>
    <x v="0"/>
    <x v="14"/>
    <x v="0"/>
    <s v="Adult"/>
    <n v="1"/>
    <n v="1"/>
    <x v="3"/>
    <x v="120"/>
    <x v="2"/>
    <x v="0"/>
  </r>
  <r>
    <x v="638"/>
    <x v="0"/>
    <x v="0"/>
    <x v="0"/>
    <s v=" Juha "/>
    <s v=" Mrs."/>
    <s v="Panula"/>
    <s v="female"/>
    <x v="1"/>
    <x v="65"/>
    <x v="0"/>
    <s v="Adult"/>
    <n v="0"/>
    <n v="5"/>
    <x v="5"/>
    <x v="40"/>
    <x v="2"/>
    <x v="0"/>
  </r>
  <r>
    <x v="639"/>
    <x v="0"/>
    <x v="0"/>
    <x v="0"/>
    <s v=" Percival"/>
    <s v=" Mr."/>
    <s v="Thorneycroft"/>
    <s v="male"/>
    <x v="0"/>
    <x v="4"/>
    <x v="0"/>
    <s v="Adult"/>
    <n v="1"/>
    <n v="0"/>
    <x v="0"/>
    <x v="95"/>
    <x v="2"/>
    <x v="0"/>
  </r>
  <r>
    <x v="640"/>
    <x v="0"/>
    <x v="0"/>
    <x v="0"/>
    <s v=" Hans Peder"/>
    <s v=" Mr."/>
    <s v="Jensen"/>
    <s v="male"/>
    <x v="0"/>
    <x v="11"/>
    <x v="0"/>
    <s v="Adult"/>
    <n v="0"/>
    <n v="0"/>
    <x v="1"/>
    <x v="13"/>
    <x v="2"/>
    <x v="0"/>
  </r>
  <r>
    <x v="641"/>
    <x v="1"/>
    <x v="1"/>
    <x v="1"/>
    <s v=" Emma"/>
    <s v=" Mlle."/>
    <s v="Sagesser"/>
    <s v="female"/>
    <x v="1"/>
    <x v="41"/>
    <x v="0"/>
    <s v="Adult"/>
    <n v="0"/>
    <n v="0"/>
    <x v="1"/>
    <x v="159"/>
    <x v="2"/>
    <x v="1"/>
  </r>
  <r>
    <x v="642"/>
    <x v="0"/>
    <x v="0"/>
    <x v="0"/>
    <s v=" Margit Elizabeth"/>
    <s v=" Miss."/>
    <s v="Skoog"/>
    <s v="female"/>
    <x v="1"/>
    <x v="6"/>
    <x v="1"/>
    <s v="Child"/>
    <n v="3"/>
    <n v="2"/>
    <x v="5"/>
    <x v="48"/>
    <x v="2"/>
    <x v="0"/>
  </r>
  <r>
    <x v="643"/>
    <x v="1"/>
    <x v="1"/>
    <x v="0"/>
    <s v=" Choong"/>
    <s v=" Mr."/>
    <s v="Foo"/>
    <s v="male"/>
    <x v="0"/>
    <x v="4"/>
    <x v="0"/>
    <s v="Adult"/>
    <n v="0"/>
    <n v="0"/>
    <x v="1"/>
    <x v="54"/>
    <x v="2"/>
    <x v="0"/>
  </r>
  <r>
    <x v="644"/>
    <x v="1"/>
    <x v="1"/>
    <x v="0"/>
    <s v=" Eugenie"/>
    <s v=" Miss."/>
    <s v="Baclini"/>
    <s v="female"/>
    <x v="1"/>
    <x v="76"/>
    <x v="1"/>
    <s v="Child"/>
    <n v="2"/>
    <n v="1"/>
    <x v="6"/>
    <x v="177"/>
    <x v="2"/>
    <x v="1"/>
  </r>
  <r>
    <x v="645"/>
    <x v="1"/>
    <x v="1"/>
    <x v="1"/>
    <s v=" Henry Sleeper"/>
    <s v=" Mr."/>
    <s v="Harper"/>
    <s v="male"/>
    <x v="0"/>
    <x v="75"/>
    <x v="0"/>
    <s v="Adult"/>
    <n v="1"/>
    <n v="0"/>
    <x v="0"/>
    <x v="42"/>
    <x v="2"/>
    <x v="1"/>
  </r>
  <r>
    <x v="646"/>
    <x v="0"/>
    <x v="0"/>
    <x v="0"/>
    <s v=" Liudevit"/>
    <s v=" Mr."/>
    <s v="Cor"/>
    <s v="male"/>
    <x v="0"/>
    <x v="18"/>
    <x v="0"/>
    <s v="Adult"/>
    <n v="0"/>
    <n v="0"/>
    <x v="1"/>
    <x v="25"/>
    <x v="2"/>
    <x v="0"/>
  </r>
  <r>
    <x v="647"/>
    <x v="1"/>
    <x v="1"/>
    <x v="1"/>
    <s v=" Oberst Alfons"/>
    <s v=" Col."/>
    <s v="Simonius-Blumer"/>
    <s v="male"/>
    <x v="0"/>
    <x v="59"/>
    <x v="0"/>
    <s v="Adult"/>
    <n v="0"/>
    <n v="0"/>
    <x v="1"/>
    <x v="21"/>
    <x v="2"/>
    <x v="1"/>
  </r>
  <r>
    <x v="648"/>
    <x v="0"/>
    <x v="0"/>
    <x v="0"/>
    <s v=" Edward"/>
    <s v=" Mr."/>
    <s v="Willey"/>
    <s v="male"/>
    <x v="0"/>
    <x v="4"/>
    <x v="0"/>
    <s v="Adult"/>
    <n v="0"/>
    <n v="0"/>
    <x v="1"/>
    <x v="119"/>
    <x v="2"/>
    <x v="0"/>
  </r>
  <r>
    <x v="649"/>
    <x v="1"/>
    <x v="1"/>
    <x v="0"/>
    <s v=" Amy Zillah Elsie"/>
    <s v=" Miss."/>
    <s v="Stanley"/>
    <s v="female"/>
    <x v="1"/>
    <x v="40"/>
    <x v="0"/>
    <s v="Adult"/>
    <n v="0"/>
    <n v="0"/>
    <x v="1"/>
    <x v="119"/>
    <x v="2"/>
    <x v="0"/>
  </r>
  <r>
    <x v="650"/>
    <x v="0"/>
    <x v="0"/>
    <x v="0"/>
    <s v=" Mito"/>
    <s v=" Mr."/>
    <s v="Mitkoff"/>
    <s v="male"/>
    <x v="0"/>
    <x v="4"/>
    <x v="0"/>
    <s v="Adult"/>
    <n v="0"/>
    <n v="0"/>
    <x v="1"/>
    <x v="25"/>
    <x v="2"/>
    <x v="0"/>
  </r>
  <r>
    <x v="651"/>
    <x v="1"/>
    <x v="1"/>
    <x v="2"/>
    <s v=" Elsie"/>
    <s v=" Miss."/>
    <s v="Doling"/>
    <s v="female"/>
    <x v="1"/>
    <x v="23"/>
    <x v="0"/>
    <s v="Adult"/>
    <n v="0"/>
    <n v="1"/>
    <x v="0"/>
    <x v="68"/>
    <x v="2"/>
    <x v="0"/>
  </r>
  <r>
    <x v="652"/>
    <x v="0"/>
    <x v="0"/>
    <x v="0"/>
    <s v=" Johannes Halvorsen"/>
    <s v=" Mr."/>
    <s v="Kalvik"/>
    <s v="male"/>
    <x v="0"/>
    <x v="22"/>
    <x v="0"/>
    <s v="Adult"/>
    <n v="0"/>
    <n v="0"/>
    <x v="1"/>
    <x v="218"/>
    <x v="2"/>
    <x v="0"/>
  </r>
  <r>
    <x v="653"/>
    <x v="1"/>
    <x v="1"/>
    <x v="0"/>
    <s v=" Hanora &quot;Norah&quot;"/>
    <s v=" Miss."/>
    <s v="O'Leary"/>
    <s v="female"/>
    <x v="1"/>
    <x v="4"/>
    <x v="0"/>
    <s v="Adult"/>
    <n v="0"/>
    <n v="0"/>
    <x v="1"/>
    <x v="203"/>
    <x v="2"/>
    <x v="2"/>
  </r>
  <r>
    <x v="654"/>
    <x v="0"/>
    <x v="0"/>
    <x v="0"/>
    <s v=" Hanora &quot;Nora&quot;"/>
    <s v=" Miss."/>
    <s v="Hegarty"/>
    <s v="female"/>
    <x v="1"/>
    <x v="23"/>
    <x v="0"/>
    <s v="Adult"/>
    <n v="0"/>
    <n v="0"/>
    <x v="1"/>
    <x v="85"/>
    <x v="2"/>
    <x v="2"/>
  </r>
  <r>
    <x v="655"/>
    <x v="0"/>
    <x v="0"/>
    <x v="2"/>
    <s v=" Leonard Mark"/>
    <s v=" Mr."/>
    <s v="Hickman"/>
    <s v="male"/>
    <x v="0"/>
    <x v="41"/>
    <x v="0"/>
    <s v="Adult"/>
    <n v="2"/>
    <n v="0"/>
    <x v="3"/>
    <x v="52"/>
    <x v="2"/>
    <x v="0"/>
  </r>
  <r>
    <x v="656"/>
    <x v="0"/>
    <x v="0"/>
    <x v="0"/>
    <s v=" Alexander"/>
    <s v=" Mr."/>
    <s v="Radeff"/>
    <s v="male"/>
    <x v="0"/>
    <x v="4"/>
    <x v="0"/>
    <s v="Adult"/>
    <n v="0"/>
    <n v="0"/>
    <x v="1"/>
    <x v="25"/>
    <x v="2"/>
    <x v="0"/>
  </r>
  <r>
    <x v="657"/>
    <x v="0"/>
    <x v="0"/>
    <x v="0"/>
    <s v=" John "/>
    <s v=" Mrs."/>
    <s v="Bourke"/>
    <s v="female"/>
    <x v="1"/>
    <x v="34"/>
    <x v="0"/>
    <s v="Adult"/>
    <n v="1"/>
    <n v="1"/>
    <x v="3"/>
    <x v="37"/>
    <x v="2"/>
    <x v="2"/>
  </r>
  <r>
    <x v="658"/>
    <x v="0"/>
    <x v="0"/>
    <x v="2"/>
    <s v=" George Floyd"/>
    <s v=" Mr."/>
    <s v="Eitemiller"/>
    <s v="male"/>
    <x v="0"/>
    <x v="40"/>
    <x v="0"/>
    <s v="Adult"/>
    <n v="0"/>
    <n v="0"/>
    <x v="1"/>
    <x v="16"/>
    <x v="2"/>
    <x v="0"/>
  </r>
  <r>
    <x v="659"/>
    <x v="0"/>
    <x v="0"/>
    <x v="1"/>
    <s v=" Arthur Webster"/>
    <s v=" Mr."/>
    <s v="Newell"/>
    <s v="male"/>
    <x v="0"/>
    <x v="10"/>
    <x v="0"/>
    <s v="Adult"/>
    <n v="0"/>
    <n v="2"/>
    <x v="3"/>
    <x v="113"/>
    <x v="2"/>
    <x v="1"/>
  </r>
  <r>
    <x v="660"/>
    <x v="1"/>
    <x v="1"/>
    <x v="1"/>
    <s v=" Henry William"/>
    <s v=" Dr."/>
    <s v="Frauenthal"/>
    <s v="male"/>
    <x v="0"/>
    <x v="60"/>
    <x v="0"/>
    <s v="Adult"/>
    <n v="2"/>
    <n v="0"/>
    <x v="3"/>
    <x v="154"/>
    <x v="2"/>
    <x v="0"/>
  </r>
  <r>
    <x v="661"/>
    <x v="0"/>
    <x v="0"/>
    <x v="0"/>
    <s v=" Mohamed"/>
    <s v=" Mr."/>
    <s v="Badt"/>
    <s v="male"/>
    <x v="0"/>
    <x v="19"/>
    <x v="0"/>
    <s v="Adult"/>
    <n v="0"/>
    <n v="0"/>
    <x v="1"/>
    <x v="18"/>
    <x v="2"/>
    <x v="1"/>
  </r>
  <r>
    <x v="662"/>
    <x v="0"/>
    <x v="0"/>
    <x v="1"/>
    <s v=" Edward Pomeroy"/>
    <s v=" Mr."/>
    <s v="Colley"/>
    <s v="male"/>
    <x v="0"/>
    <x v="46"/>
    <x v="0"/>
    <s v="Adult"/>
    <n v="0"/>
    <n v="0"/>
    <x v="1"/>
    <x v="219"/>
    <x v="2"/>
    <x v="0"/>
  </r>
  <r>
    <x v="663"/>
    <x v="0"/>
    <x v="0"/>
    <x v="0"/>
    <s v=" Peju"/>
    <s v=" Mr."/>
    <s v="Coleff"/>
    <s v="male"/>
    <x v="0"/>
    <x v="61"/>
    <x v="0"/>
    <s v="Adult"/>
    <n v="0"/>
    <n v="0"/>
    <x v="1"/>
    <x v="195"/>
    <x v="2"/>
    <x v="0"/>
  </r>
  <r>
    <x v="664"/>
    <x v="1"/>
    <x v="1"/>
    <x v="0"/>
    <s v=" Eino William"/>
    <s v=" Mr."/>
    <s v="Lindqvist"/>
    <s v="male"/>
    <x v="0"/>
    <x v="11"/>
    <x v="0"/>
    <s v="Adult"/>
    <n v="1"/>
    <n v="0"/>
    <x v="0"/>
    <x v="2"/>
    <x v="2"/>
    <x v="0"/>
  </r>
  <r>
    <x v="665"/>
    <x v="0"/>
    <x v="0"/>
    <x v="2"/>
    <s v=" Lewis"/>
    <s v=" Mr."/>
    <s v="Hickman"/>
    <s v="male"/>
    <x v="0"/>
    <x v="34"/>
    <x v="0"/>
    <s v="Adult"/>
    <n v="2"/>
    <n v="0"/>
    <x v="3"/>
    <x v="52"/>
    <x v="2"/>
    <x v="0"/>
  </r>
  <r>
    <x v="666"/>
    <x v="0"/>
    <x v="0"/>
    <x v="2"/>
    <s v=" Reginald Fenton"/>
    <s v=" Mr."/>
    <s v="Butler"/>
    <s v="male"/>
    <x v="0"/>
    <x v="36"/>
    <x v="0"/>
    <s v="Adult"/>
    <n v="0"/>
    <n v="0"/>
    <x v="1"/>
    <x v="16"/>
    <x v="2"/>
    <x v="0"/>
  </r>
  <r>
    <x v="667"/>
    <x v="0"/>
    <x v="0"/>
    <x v="0"/>
    <s v=" Knud Paust"/>
    <s v=" Mr."/>
    <s v="Rommetvedt"/>
    <s v="male"/>
    <x v="0"/>
    <x v="4"/>
    <x v="0"/>
    <s v="Adult"/>
    <n v="0"/>
    <n v="0"/>
    <x v="1"/>
    <x v="71"/>
    <x v="2"/>
    <x v="0"/>
  </r>
  <r>
    <x v="668"/>
    <x v="0"/>
    <x v="0"/>
    <x v="0"/>
    <s v=" Jacob"/>
    <s v=" Mr."/>
    <s v="Cook"/>
    <s v="male"/>
    <x v="0"/>
    <x v="70"/>
    <x v="0"/>
    <s v="Adult"/>
    <n v="0"/>
    <n v="0"/>
    <x v="1"/>
    <x v="4"/>
    <x v="2"/>
    <x v="0"/>
  </r>
  <r>
    <x v="669"/>
    <x v="1"/>
    <x v="1"/>
    <x v="1"/>
    <s v=" Elmer Zebley "/>
    <s v=" Mrs."/>
    <s v="Taylor"/>
    <s v="female"/>
    <x v="1"/>
    <x v="4"/>
    <x v="0"/>
    <s v="Adult"/>
    <n v="1"/>
    <n v="0"/>
    <x v="0"/>
    <x v="31"/>
    <x v="2"/>
    <x v="0"/>
  </r>
  <r>
    <x v="670"/>
    <x v="1"/>
    <x v="1"/>
    <x v="2"/>
    <s v=" Thomas William Solomon "/>
    <s v=" Mrs."/>
    <s v="Brown"/>
    <s v="female"/>
    <x v="1"/>
    <x v="19"/>
    <x v="0"/>
    <s v="Adult"/>
    <n v="1"/>
    <n v="1"/>
    <x v="3"/>
    <x v="105"/>
    <x v="2"/>
    <x v="0"/>
  </r>
  <r>
    <x v="671"/>
    <x v="0"/>
    <x v="0"/>
    <x v="1"/>
    <s v=" Thornton"/>
    <s v=" Mr."/>
    <s v="Davidson"/>
    <s v="male"/>
    <x v="0"/>
    <x v="14"/>
    <x v="0"/>
    <s v="Adult"/>
    <n v="1"/>
    <n v="0"/>
    <x v="0"/>
    <x v="31"/>
    <x v="2"/>
    <x v="0"/>
  </r>
  <r>
    <x v="672"/>
    <x v="0"/>
    <x v="0"/>
    <x v="2"/>
    <s v=" Henry Michael"/>
    <s v=" Mr."/>
    <s v="Mitchell"/>
    <s v="male"/>
    <x v="0"/>
    <x v="80"/>
    <x v="3"/>
    <s v="Old Age"/>
    <n v="0"/>
    <n v="0"/>
    <x v="1"/>
    <x v="29"/>
    <x v="2"/>
    <x v="0"/>
  </r>
  <r>
    <x v="673"/>
    <x v="1"/>
    <x v="1"/>
    <x v="2"/>
    <s v=" Charles"/>
    <s v=" Mr."/>
    <s v="Wilhelms"/>
    <s v="male"/>
    <x v="0"/>
    <x v="14"/>
    <x v="0"/>
    <s v="Adult"/>
    <n v="0"/>
    <n v="0"/>
    <x v="1"/>
    <x v="16"/>
    <x v="2"/>
    <x v="0"/>
  </r>
  <r>
    <x v="674"/>
    <x v="0"/>
    <x v="0"/>
    <x v="2"/>
    <s v=" Ennis Hastings"/>
    <s v=" Mr."/>
    <s v="Watson"/>
    <s v="male"/>
    <x v="0"/>
    <x v="4"/>
    <x v="0"/>
    <s v="Adult"/>
    <n v="0"/>
    <n v="0"/>
    <x v="1"/>
    <x v="53"/>
    <x v="2"/>
    <x v="0"/>
  </r>
  <r>
    <x v="675"/>
    <x v="0"/>
    <x v="0"/>
    <x v="0"/>
    <s v=" Gustaf Hjalmar"/>
    <s v=" Mr."/>
    <s v="Edvardsson"/>
    <s v="male"/>
    <x v="0"/>
    <x v="23"/>
    <x v="0"/>
    <s v="Adult"/>
    <n v="0"/>
    <n v="0"/>
    <x v="1"/>
    <x v="71"/>
    <x v="2"/>
    <x v="0"/>
  </r>
  <r>
    <x v="676"/>
    <x v="0"/>
    <x v="0"/>
    <x v="0"/>
    <s v=" Frederick Charles"/>
    <s v=" Mr."/>
    <s v="Sawyer"/>
    <s v="male"/>
    <x v="0"/>
    <x v="81"/>
    <x v="0"/>
    <s v="Adult"/>
    <n v="0"/>
    <n v="0"/>
    <x v="1"/>
    <x v="4"/>
    <x v="2"/>
    <x v="0"/>
  </r>
  <r>
    <x v="677"/>
    <x v="1"/>
    <x v="1"/>
    <x v="0"/>
    <s v=" Anna Sofia"/>
    <s v=" Miss."/>
    <s v="Turja"/>
    <s v="female"/>
    <x v="1"/>
    <x v="23"/>
    <x v="0"/>
    <s v="Adult"/>
    <n v="0"/>
    <n v="0"/>
    <x v="1"/>
    <x v="220"/>
    <x v="2"/>
    <x v="0"/>
  </r>
  <r>
    <x v="678"/>
    <x v="0"/>
    <x v="0"/>
    <x v="0"/>
    <s v=" Frederick "/>
    <s v=" Mrs."/>
    <s v="Goodwin"/>
    <s v="female"/>
    <x v="1"/>
    <x v="70"/>
    <x v="0"/>
    <s v="Adult"/>
    <n v="1"/>
    <n v="6"/>
    <x v="7"/>
    <x v="45"/>
    <x v="2"/>
    <x v="0"/>
  </r>
  <r>
    <x v="679"/>
    <x v="1"/>
    <x v="1"/>
    <x v="1"/>
    <s v=" Thomas Drake Martinez"/>
    <s v=" Mr."/>
    <s v="Cardeza"/>
    <s v="male"/>
    <x v="0"/>
    <x v="61"/>
    <x v="0"/>
    <s v="Adult"/>
    <n v="0"/>
    <n v="1"/>
    <x v="0"/>
    <x v="126"/>
    <x v="2"/>
    <x v="1"/>
  </r>
  <r>
    <x v="680"/>
    <x v="0"/>
    <x v="0"/>
    <x v="0"/>
    <s v=" Katie"/>
    <s v=" Miss."/>
    <s v="Peters"/>
    <s v="female"/>
    <x v="1"/>
    <x v="4"/>
    <x v="0"/>
    <s v="Adult"/>
    <n v="0"/>
    <n v="0"/>
    <x v="1"/>
    <x v="221"/>
    <x v="2"/>
    <x v="2"/>
  </r>
  <r>
    <x v="681"/>
    <x v="1"/>
    <x v="1"/>
    <x v="1"/>
    <s v=" Hammad"/>
    <s v=" Mr."/>
    <s v="Hassab"/>
    <s v="male"/>
    <x v="0"/>
    <x v="7"/>
    <x v="0"/>
    <s v="Adult"/>
    <n v="0"/>
    <n v="0"/>
    <x v="1"/>
    <x v="42"/>
    <x v="2"/>
    <x v="1"/>
  </r>
  <r>
    <x v="682"/>
    <x v="0"/>
    <x v="0"/>
    <x v="0"/>
    <s v=" Thor Anderson"/>
    <s v=" Mr."/>
    <s v="Olsvigen"/>
    <s v="male"/>
    <x v="0"/>
    <x v="11"/>
    <x v="0"/>
    <s v="Adult"/>
    <n v="0"/>
    <n v="0"/>
    <x v="1"/>
    <x v="156"/>
    <x v="2"/>
    <x v="0"/>
  </r>
  <r>
    <x v="683"/>
    <x v="0"/>
    <x v="0"/>
    <x v="0"/>
    <s v=" Charles Edward"/>
    <s v=" Mr."/>
    <s v="Goodwin"/>
    <s v="male"/>
    <x v="0"/>
    <x v="8"/>
    <x v="2"/>
    <s v="Teen"/>
    <n v="5"/>
    <n v="2"/>
    <x v="7"/>
    <x v="45"/>
    <x v="2"/>
    <x v="0"/>
  </r>
  <r>
    <x v="684"/>
    <x v="0"/>
    <x v="0"/>
    <x v="2"/>
    <s v=" Thomas William Solomon"/>
    <s v=" Mr."/>
    <s v="Brown"/>
    <s v="male"/>
    <x v="0"/>
    <x v="71"/>
    <x v="3"/>
    <e v="#N/A"/>
    <n v="1"/>
    <n v="1"/>
    <x v="3"/>
    <x v="105"/>
    <x v="2"/>
    <x v="0"/>
  </r>
  <r>
    <x v="685"/>
    <x v="0"/>
    <x v="0"/>
    <x v="2"/>
    <s v=" Joseph Philippe Lemercier"/>
    <s v=" Mr."/>
    <s v="Laroche"/>
    <s v="male"/>
    <x v="0"/>
    <x v="36"/>
    <x v="0"/>
    <s v="Adult"/>
    <n v="1"/>
    <n v="2"/>
    <x v="6"/>
    <x v="36"/>
    <x v="2"/>
    <x v="1"/>
  </r>
  <r>
    <x v="686"/>
    <x v="0"/>
    <x v="0"/>
    <x v="0"/>
    <s v=" Jaako Arnold"/>
    <s v=" Mr."/>
    <s v="Panula"/>
    <s v="male"/>
    <x v="0"/>
    <x v="8"/>
    <x v="2"/>
    <s v="Teen"/>
    <n v="4"/>
    <n v="1"/>
    <x v="5"/>
    <x v="40"/>
    <x v="2"/>
    <x v="0"/>
  </r>
  <r>
    <x v="687"/>
    <x v="0"/>
    <x v="0"/>
    <x v="0"/>
    <s v=" Branko"/>
    <s v=" Mr."/>
    <s v="Dakic"/>
    <s v="male"/>
    <x v="0"/>
    <x v="18"/>
    <x v="0"/>
    <s v="Adult"/>
    <n v="0"/>
    <n v="0"/>
    <x v="1"/>
    <x v="222"/>
    <x v="2"/>
    <x v="0"/>
  </r>
  <r>
    <x v="688"/>
    <x v="0"/>
    <x v="0"/>
    <x v="0"/>
    <s v=" Eberhard Thelander"/>
    <s v=" Mr."/>
    <s v="Fischer"/>
    <s v="male"/>
    <x v="0"/>
    <x v="23"/>
    <x v="0"/>
    <s v="Adult"/>
    <n v="0"/>
    <n v="0"/>
    <x v="1"/>
    <x v="88"/>
    <x v="2"/>
    <x v="0"/>
  </r>
  <r>
    <x v="689"/>
    <x v="1"/>
    <x v="1"/>
    <x v="1"/>
    <s v=" Georgette Alexandra"/>
    <s v=" Miss."/>
    <s v="Madill"/>
    <s v="female"/>
    <x v="1"/>
    <x v="16"/>
    <x v="2"/>
    <s v="Teen"/>
    <n v="0"/>
    <n v="1"/>
    <x v="0"/>
    <x v="223"/>
    <x v="2"/>
    <x v="0"/>
  </r>
  <r>
    <x v="690"/>
    <x v="1"/>
    <x v="1"/>
    <x v="1"/>
    <s v=" Albert Adrian"/>
    <s v=" Mr."/>
    <s v="Dick"/>
    <s v="male"/>
    <x v="0"/>
    <x v="14"/>
    <x v="0"/>
    <s v="Adult"/>
    <n v="1"/>
    <n v="0"/>
    <x v="0"/>
    <x v="224"/>
    <x v="2"/>
    <x v="0"/>
  </r>
  <r>
    <x v="691"/>
    <x v="1"/>
    <x v="1"/>
    <x v="0"/>
    <s v=" Manca"/>
    <s v=" Miss."/>
    <s v="Karun"/>
    <s v="female"/>
    <x v="1"/>
    <x v="9"/>
    <x v="1"/>
    <s v="Child"/>
    <n v="0"/>
    <n v="1"/>
    <x v="0"/>
    <x v="225"/>
    <x v="2"/>
    <x v="1"/>
  </r>
  <r>
    <x v="692"/>
    <x v="1"/>
    <x v="1"/>
    <x v="0"/>
    <s v=" Ali"/>
    <s v=" Mr."/>
    <s v="Lam"/>
    <s v="male"/>
    <x v="0"/>
    <x v="4"/>
    <x v="0"/>
    <s v="Adult"/>
    <n v="0"/>
    <n v="0"/>
    <x v="1"/>
    <x v="54"/>
    <x v="2"/>
    <x v="0"/>
  </r>
  <r>
    <x v="693"/>
    <x v="0"/>
    <x v="0"/>
    <x v="0"/>
    <s v=" Khalil"/>
    <s v=" Mr."/>
    <s v="Saad"/>
    <s v="male"/>
    <x v="0"/>
    <x v="36"/>
    <x v="0"/>
    <s v="Adult"/>
    <n v="0"/>
    <n v="0"/>
    <x v="1"/>
    <x v="18"/>
    <x v="2"/>
    <x v="1"/>
  </r>
  <r>
    <x v="694"/>
    <x v="0"/>
    <x v="0"/>
    <x v="1"/>
    <s v=" John"/>
    <s v=" Col."/>
    <s v="Weir"/>
    <s v="male"/>
    <x v="0"/>
    <x v="71"/>
    <x v="3"/>
    <e v="#N/A"/>
    <n v="0"/>
    <n v="0"/>
    <x v="1"/>
    <x v="11"/>
    <x v="2"/>
    <x v="0"/>
  </r>
  <r>
    <x v="695"/>
    <x v="0"/>
    <x v="0"/>
    <x v="2"/>
    <s v=" Charles Henry"/>
    <s v=" Mr."/>
    <s v="Chapman"/>
    <s v="male"/>
    <x v="0"/>
    <x v="66"/>
    <x v="0"/>
    <s v="Adult"/>
    <n v="0"/>
    <n v="0"/>
    <x v="1"/>
    <x v="118"/>
    <x v="2"/>
    <x v="0"/>
  </r>
  <r>
    <x v="696"/>
    <x v="0"/>
    <x v="0"/>
    <x v="0"/>
    <s v=" James"/>
    <s v=" Mr."/>
    <s v="Kelly"/>
    <s v="male"/>
    <x v="0"/>
    <x v="56"/>
    <x v="0"/>
    <s v="Adult"/>
    <n v="0"/>
    <n v="0"/>
    <x v="1"/>
    <x v="4"/>
    <x v="2"/>
    <x v="0"/>
  </r>
  <r>
    <x v="697"/>
    <x v="1"/>
    <x v="1"/>
    <x v="0"/>
    <s v=" Katherine &quot;Katie&quot;"/>
    <s v=" Miss."/>
    <s v="Mullens"/>
    <s v="female"/>
    <x v="1"/>
    <x v="4"/>
    <x v="0"/>
    <s v="Adult"/>
    <n v="0"/>
    <n v="0"/>
    <x v="1"/>
    <x v="93"/>
    <x v="2"/>
    <x v="2"/>
  </r>
  <r>
    <x v="698"/>
    <x v="0"/>
    <x v="0"/>
    <x v="1"/>
    <s v=" John Borland"/>
    <s v=" Mr."/>
    <s v="Thayer"/>
    <s v="male"/>
    <x v="0"/>
    <x v="26"/>
    <x v="0"/>
    <s v="Adult"/>
    <n v="1"/>
    <n v="1"/>
    <x v="3"/>
    <x v="142"/>
    <x v="2"/>
    <x v="1"/>
  </r>
  <r>
    <x v="699"/>
    <x v="0"/>
    <x v="0"/>
    <x v="0"/>
    <s v=" Adolf Mathias Nicolai Olsen"/>
    <s v=" Mr."/>
    <s v="Humblen"/>
    <s v="male"/>
    <x v="0"/>
    <x v="21"/>
    <x v="0"/>
    <s v="Adult"/>
    <n v="0"/>
    <n v="0"/>
    <x v="1"/>
    <x v="55"/>
    <x v="2"/>
    <x v="0"/>
  </r>
  <r>
    <x v="700"/>
    <x v="1"/>
    <x v="1"/>
    <x v="1"/>
    <s v=" John Jacob "/>
    <s v=" Mrs."/>
    <s v="Astor"/>
    <s v="female"/>
    <x v="1"/>
    <x v="23"/>
    <x v="0"/>
    <s v="Adult"/>
    <n v="1"/>
    <n v="0"/>
    <x v="0"/>
    <x v="163"/>
    <x v="2"/>
    <x v="1"/>
  </r>
  <r>
    <x v="701"/>
    <x v="1"/>
    <x v="1"/>
    <x v="1"/>
    <s v=" Spencer Victor"/>
    <s v=" Mr."/>
    <s v="Silverthorne"/>
    <s v="male"/>
    <x v="0"/>
    <x v="3"/>
    <x v="0"/>
    <s v="Adult"/>
    <n v="0"/>
    <n v="0"/>
    <x v="1"/>
    <x v="193"/>
    <x v="2"/>
    <x v="0"/>
  </r>
  <r>
    <x v="702"/>
    <x v="0"/>
    <x v="0"/>
    <x v="0"/>
    <s v=" Saiide"/>
    <s v=" Miss."/>
    <s v="Barbara"/>
    <s v="female"/>
    <x v="1"/>
    <x v="23"/>
    <x v="0"/>
    <s v="Adult"/>
    <n v="0"/>
    <n v="1"/>
    <x v="0"/>
    <x v="53"/>
    <x v="2"/>
    <x v="1"/>
  </r>
  <r>
    <x v="703"/>
    <x v="0"/>
    <x v="0"/>
    <x v="0"/>
    <s v=" Martin"/>
    <s v=" Mr."/>
    <s v="Gallagher"/>
    <s v="male"/>
    <x v="0"/>
    <x v="36"/>
    <x v="0"/>
    <s v="Adult"/>
    <n v="0"/>
    <n v="0"/>
    <x v="1"/>
    <x v="226"/>
    <x v="2"/>
    <x v="2"/>
  </r>
  <r>
    <x v="704"/>
    <x v="0"/>
    <x v="0"/>
    <x v="0"/>
    <s v=" Henrik Juul"/>
    <s v=" Mr."/>
    <s v="Hansen"/>
    <s v="male"/>
    <x v="0"/>
    <x v="2"/>
    <x v="0"/>
    <s v="Adult"/>
    <n v="1"/>
    <n v="0"/>
    <x v="0"/>
    <x v="13"/>
    <x v="2"/>
    <x v="0"/>
  </r>
  <r>
    <x v="705"/>
    <x v="0"/>
    <x v="0"/>
    <x v="2"/>
    <s v=" Henry Samuel "/>
    <s v=" Mr."/>
    <s v="Morley"/>
    <s v="male"/>
    <x v="0"/>
    <x v="12"/>
    <x v="0"/>
    <s v="Adult"/>
    <n v="0"/>
    <n v="0"/>
    <x v="1"/>
    <x v="19"/>
    <x v="2"/>
    <x v="0"/>
  </r>
  <r>
    <x v="706"/>
    <x v="1"/>
    <x v="1"/>
    <x v="2"/>
    <s v=" Florence &quot;Fannie&quot;"/>
    <s v=" Mrs."/>
    <s v="Kelly"/>
    <s v="female"/>
    <x v="1"/>
    <x v="32"/>
    <x v="0"/>
    <s v="Adult"/>
    <n v="0"/>
    <n v="0"/>
    <x v="1"/>
    <x v="118"/>
    <x v="2"/>
    <x v="0"/>
  </r>
  <r>
    <x v="707"/>
    <x v="1"/>
    <x v="1"/>
    <x v="1"/>
    <s v=" Edward Pennington"/>
    <s v=" Mr."/>
    <s v="Calderhead"/>
    <s v="male"/>
    <x v="0"/>
    <x v="21"/>
    <x v="0"/>
    <s v="Adult"/>
    <n v="0"/>
    <n v="0"/>
    <x v="1"/>
    <x v="193"/>
    <x v="2"/>
    <x v="0"/>
  </r>
  <r>
    <x v="708"/>
    <x v="1"/>
    <x v="1"/>
    <x v="1"/>
    <s v=" Alice"/>
    <s v=" Miss."/>
    <s v="Cleaver"/>
    <s v="female"/>
    <x v="1"/>
    <x v="0"/>
    <x v="0"/>
    <s v="Adult"/>
    <n v="0"/>
    <n v="0"/>
    <x v="1"/>
    <x v="138"/>
    <x v="2"/>
    <x v="0"/>
  </r>
  <r>
    <x v="709"/>
    <x v="1"/>
    <x v="1"/>
    <x v="0"/>
    <s v=" Halim Gonios "/>
    <s v=" Master."/>
    <s v="Moubarek"/>
    <s v="male"/>
    <x v="0"/>
    <x v="4"/>
    <x v="0"/>
    <s v="Adult"/>
    <n v="1"/>
    <n v="1"/>
    <x v="3"/>
    <x v="49"/>
    <x v="2"/>
    <x v="1"/>
  </r>
  <r>
    <x v="710"/>
    <x v="1"/>
    <x v="1"/>
    <x v="1"/>
    <s v=" Berthe Antonine "/>
    <s v=" Mlle."/>
    <s v="Mayne"/>
    <s v="female"/>
    <x v="1"/>
    <x v="41"/>
    <x v="0"/>
    <s v="Adult"/>
    <n v="0"/>
    <n v="0"/>
    <x v="1"/>
    <x v="188"/>
    <x v="2"/>
    <x v="1"/>
  </r>
  <r>
    <x v="711"/>
    <x v="0"/>
    <x v="0"/>
    <x v="1"/>
    <s v=" Herman"/>
    <s v=" Mr."/>
    <s v="Klaber"/>
    <s v="male"/>
    <x v="0"/>
    <x v="4"/>
    <x v="0"/>
    <s v="Adult"/>
    <n v="0"/>
    <n v="0"/>
    <x v="1"/>
    <x v="11"/>
    <x v="2"/>
    <x v="0"/>
  </r>
  <r>
    <x v="712"/>
    <x v="1"/>
    <x v="1"/>
    <x v="1"/>
    <s v=" Elmer Zebley"/>
    <s v=" Mr."/>
    <s v="Taylor"/>
    <s v="male"/>
    <x v="0"/>
    <x v="75"/>
    <x v="0"/>
    <s v="Adult"/>
    <n v="1"/>
    <n v="0"/>
    <x v="0"/>
    <x v="31"/>
    <x v="2"/>
    <x v="0"/>
  </r>
  <r>
    <x v="713"/>
    <x v="0"/>
    <x v="0"/>
    <x v="0"/>
    <s v=" August Viktor"/>
    <s v=" Mr."/>
    <s v="Larsson"/>
    <s v="male"/>
    <x v="0"/>
    <x v="27"/>
    <x v="0"/>
    <s v="Adult"/>
    <n v="0"/>
    <n v="0"/>
    <x v="1"/>
    <x v="227"/>
    <x v="2"/>
    <x v="0"/>
  </r>
  <r>
    <x v="714"/>
    <x v="0"/>
    <x v="0"/>
    <x v="2"/>
    <s v=" Samuel"/>
    <s v=" Mr."/>
    <s v="Greenberg"/>
    <s v="male"/>
    <x v="0"/>
    <x v="66"/>
    <x v="0"/>
    <s v="Adult"/>
    <n v="0"/>
    <n v="0"/>
    <x v="1"/>
    <x v="16"/>
    <x v="2"/>
    <x v="0"/>
  </r>
  <r>
    <x v="715"/>
    <x v="0"/>
    <x v="0"/>
    <x v="0"/>
    <s v=" Peter Andreas Lauritz Andersen"/>
    <s v=" Mr."/>
    <s v="Soholt"/>
    <s v="male"/>
    <x v="0"/>
    <x v="18"/>
    <x v="0"/>
    <s v="Adult"/>
    <n v="0"/>
    <n v="0"/>
    <x v="1"/>
    <x v="55"/>
    <x v="2"/>
    <x v="0"/>
  </r>
  <r>
    <x v="716"/>
    <x v="1"/>
    <x v="1"/>
    <x v="1"/>
    <s v=" Caroline Louise"/>
    <s v=" Miss."/>
    <s v="Endres"/>
    <s v="female"/>
    <x v="1"/>
    <x v="1"/>
    <x v="0"/>
    <s v="Adult"/>
    <n v="0"/>
    <n v="0"/>
    <x v="1"/>
    <x v="163"/>
    <x v="2"/>
    <x v="1"/>
  </r>
  <r>
    <x v="717"/>
    <x v="1"/>
    <x v="1"/>
    <x v="2"/>
    <s v=" Edwina Celia &quot;Winnie&quot;"/>
    <s v=" Miss."/>
    <s v="Troutt"/>
    <s v="female"/>
    <x v="1"/>
    <x v="7"/>
    <x v="0"/>
    <s v="Adult"/>
    <n v="0"/>
    <n v="0"/>
    <x v="1"/>
    <x v="29"/>
    <x v="2"/>
    <x v="0"/>
  </r>
  <r>
    <x v="718"/>
    <x v="0"/>
    <x v="0"/>
    <x v="0"/>
    <s v=" Michael"/>
    <s v=" Mr."/>
    <s v="McEvoy"/>
    <s v="male"/>
    <x v="0"/>
    <x v="4"/>
    <x v="0"/>
    <s v="Adult"/>
    <n v="0"/>
    <n v="0"/>
    <x v="1"/>
    <x v="37"/>
    <x v="2"/>
    <x v="2"/>
  </r>
  <r>
    <x v="719"/>
    <x v="0"/>
    <x v="0"/>
    <x v="0"/>
    <s v=" Malkolm Joackim"/>
    <s v=" Mr."/>
    <s v="Johnson"/>
    <s v="male"/>
    <x v="0"/>
    <x v="39"/>
    <x v="0"/>
    <s v="Adult"/>
    <n v="0"/>
    <n v="0"/>
    <x v="1"/>
    <x v="71"/>
    <x v="2"/>
    <x v="0"/>
  </r>
  <r>
    <x v="720"/>
    <x v="1"/>
    <x v="1"/>
    <x v="2"/>
    <s v=" Annie Jessie &quot;Nina&quot;"/>
    <s v=" Miss."/>
    <s v="Harper"/>
    <s v="female"/>
    <x v="1"/>
    <x v="82"/>
    <x v="1"/>
    <s v="Child"/>
    <n v="0"/>
    <n v="1"/>
    <x v="0"/>
    <x v="212"/>
    <x v="2"/>
    <x v="0"/>
  </r>
  <r>
    <x v="721"/>
    <x v="0"/>
    <x v="0"/>
    <x v="0"/>
    <s v=" Svend Lauritz"/>
    <s v=" Mr."/>
    <s v="Jensen"/>
    <s v="male"/>
    <x v="0"/>
    <x v="33"/>
    <x v="2"/>
    <s v="Teen"/>
    <n v="1"/>
    <n v="0"/>
    <x v="0"/>
    <x v="217"/>
    <x v="2"/>
    <x v="0"/>
  </r>
  <r>
    <x v="722"/>
    <x v="0"/>
    <x v="0"/>
    <x v="2"/>
    <s v=" William Henry"/>
    <s v=" Mr."/>
    <s v="Gillespie"/>
    <s v="male"/>
    <x v="0"/>
    <x v="15"/>
    <x v="0"/>
    <s v="Adult"/>
    <n v="0"/>
    <n v="0"/>
    <x v="1"/>
    <x v="16"/>
    <x v="2"/>
    <x v="0"/>
  </r>
  <r>
    <x v="723"/>
    <x v="0"/>
    <x v="0"/>
    <x v="2"/>
    <s v=" Henry Price"/>
    <s v=" Mr."/>
    <s v="Hodges"/>
    <s v="male"/>
    <x v="0"/>
    <x v="60"/>
    <x v="0"/>
    <s v="Adult"/>
    <n v="0"/>
    <n v="0"/>
    <x v="1"/>
    <x v="16"/>
    <x v="2"/>
    <x v="0"/>
  </r>
  <r>
    <x v="724"/>
    <x v="1"/>
    <x v="1"/>
    <x v="1"/>
    <s v=" Norman Campbell"/>
    <s v=" Mr."/>
    <s v="Chambers"/>
    <s v="male"/>
    <x v="0"/>
    <x v="7"/>
    <x v="0"/>
    <s v="Adult"/>
    <n v="1"/>
    <n v="0"/>
    <x v="0"/>
    <x v="3"/>
    <x v="2"/>
    <x v="0"/>
  </r>
  <r>
    <x v="725"/>
    <x v="0"/>
    <x v="0"/>
    <x v="0"/>
    <s v=" Luka"/>
    <s v=" Mr."/>
    <s v="Oreskovic"/>
    <s v="male"/>
    <x v="0"/>
    <x v="11"/>
    <x v="0"/>
    <s v="Adult"/>
    <n v="0"/>
    <n v="0"/>
    <x v="1"/>
    <x v="51"/>
    <x v="2"/>
    <x v="0"/>
  </r>
  <r>
    <x v="726"/>
    <x v="1"/>
    <x v="1"/>
    <x v="2"/>
    <s v=" Peter Henry "/>
    <s v=" Mrs."/>
    <s v="Renouf"/>
    <s v="female"/>
    <x v="1"/>
    <x v="38"/>
    <x v="0"/>
    <s v="Adult"/>
    <n v="3"/>
    <n v="0"/>
    <x v="6"/>
    <x v="35"/>
    <x v="2"/>
    <x v="0"/>
  </r>
  <r>
    <x v="727"/>
    <x v="1"/>
    <x v="1"/>
    <x v="0"/>
    <s v=" Margareth"/>
    <s v=" Miss."/>
    <s v="Mannion"/>
    <s v="female"/>
    <x v="1"/>
    <x v="4"/>
    <x v="0"/>
    <s v="Adult"/>
    <n v="0"/>
    <n v="0"/>
    <x v="1"/>
    <x v="228"/>
    <x v="2"/>
    <x v="2"/>
  </r>
  <r>
    <x v="728"/>
    <x v="0"/>
    <x v="0"/>
    <x v="2"/>
    <s v=" Kurt Arnold Gottfrid"/>
    <s v=" Mr."/>
    <s v="Bryhl"/>
    <s v="male"/>
    <x v="0"/>
    <x v="36"/>
    <x v="0"/>
    <s v="Adult"/>
    <n v="1"/>
    <n v="0"/>
    <x v="0"/>
    <x v="19"/>
    <x v="2"/>
    <x v="0"/>
  </r>
  <r>
    <x v="729"/>
    <x v="0"/>
    <x v="0"/>
    <x v="0"/>
    <s v=" Pieta Sofia"/>
    <s v=" Miss."/>
    <s v="Ilmakangas"/>
    <s v="female"/>
    <x v="1"/>
    <x v="36"/>
    <x v="0"/>
    <s v="Adult"/>
    <n v="1"/>
    <n v="0"/>
    <x v="0"/>
    <x v="2"/>
    <x v="2"/>
    <x v="0"/>
  </r>
  <r>
    <x v="730"/>
    <x v="1"/>
    <x v="1"/>
    <x v="1"/>
    <s v=" Elisabeth Walton"/>
    <s v=" Miss."/>
    <s v="Allen"/>
    <s v="female"/>
    <x v="1"/>
    <x v="27"/>
    <x v="0"/>
    <s v="Adult"/>
    <n v="0"/>
    <n v="0"/>
    <x v="1"/>
    <x v="223"/>
    <x v="2"/>
    <x v="0"/>
  </r>
  <r>
    <x v="731"/>
    <x v="0"/>
    <x v="0"/>
    <x v="0"/>
    <s v=" Houssein G N"/>
    <s v=" Mr."/>
    <s v="Hassan"/>
    <s v="male"/>
    <x v="0"/>
    <x v="31"/>
    <x v="1"/>
    <s v="Child"/>
    <n v="0"/>
    <n v="0"/>
    <x v="1"/>
    <x v="111"/>
    <x v="2"/>
    <x v="1"/>
  </r>
  <r>
    <x v="732"/>
    <x v="0"/>
    <x v="0"/>
    <x v="2"/>
    <s v=" Robert J"/>
    <s v=" Mr."/>
    <s v="Knight"/>
    <s v="male"/>
    <x v="0"/>
    <x v="4"/>
    <x v="0"/>
    <s v="Adult"/>
    <n v="0"/>
    <n v="0"/>
    <x v="1"/>
    <x v="53"/>
    <x v="2"/>
    <x v="0"/>
  </r>
  <r>
    <x v="733"/>
    <x v="0"/>
    <x v="0"/>
    <x v="2"/>
    <s v=" William John"/>
    <s v=" Mr."/>
    <s v="Berriman"/>
    <s v="male"/>
    <x v="0"/>
    <x v="40"/>
    <x v="0"/>
    <s v="Adult"/>
    <n v="0"/>
    <n v="0"/>
    <x v="1"/>
    <x v="16"/>
    <x v="2"/>
    <x v="0"/>
  </r>
  <r>
    <x v="734"/>
    <x v="0"/>
    <x v="0"/>
    <x v="2"/>
    <s v=" Moses Aaron"/>
    <s v=" Mr."/>
    <s v="Troupiansky"/>
    <s v="male"/>
    <x v="0"/>
    <x v="40"/>
    <x v="0"/>
    <s v="Adult"/>
    <n v="0"/>
    <n v="0"/>
    <x v="1"/>
    <x v="16"/>
    <x v="2"/>
    <x v="0"/>
  </r>
  <r>
    <x v="735"/>
    <x v="0"/>
    <x v="0"/>
    <x v="0"/>
    <s v=" Leslie"/>
    <s v=" Mr."/>
    <s v="Williams"/>
    <s v="male"/>
    <x v="0"/>
    <x v="29"/>
    <x v="0"/>
    <s v="Adult"/>
    <n v="0"/>
    <n v="0"/>
    <x v="1"/>
    <x v="95"/>
    <x v="2"/>
    <x v="0"/>
  </r>
  <r>
    <x v="736"/>
    <x v="0"/>
    <x v="0"/>
    <x v="0"/>
    <s v=" Edward "/>
    <s v=" Mrs."/>
    <s v="Ford"/>
    <s v="female"/>
    <x v="1"/>
    <x v="75"/>
    <x v="0"/>
    <s v="Adult"/>
    <n v="1"/>
    <n v="3"/>
    <x v="2"/>
    <x v="63"/>
    <x v="2"/>
    <x v="0"/>
  </r>
  <r>
    <x v="737"/>
    <x v="1"/>
    <x v="1"/>
    <x v="1"/>
    <s v=" Gustave J"/>
    <s v=" Mr."/>
    <s v="Lesurer"/>
    <s v="male"/>
    <x v="0"/>
    <x v="3"/>
    <x v="0"/>
    <s v="Adult"/>
    <n v="0"/>
    <n v="0"/>
    <x v="1"/>
    <x v="126"/>
    <x v="2"/>
    <x v="1"/>
  </r>
  <r>
    <x v="738"/>
    <x v="0"/>
    <x v="0"/>
    <x v="0"/>
    <s v=" Kanio"/>
    <s v=" Mr."/>
    <s v="Ivanoff"/>
    <s v="male"/>
    <x v="0"/>
    <x v="4"/>
    <x v="0"/>
    <s v="Adult"/>
    <n v="0"/>
    <n v="0"/>
    <x v="1"/>
    <x v="25"/>
    <x v="2"/>
    <x v="0"/>
  </r>
  <r>
    <x v="739"/>
    <x v="0"/>
    <x v="0"/>
    <x v="0"/>
    <s v=" Minko"/>
    <s v=" Mr."/>
    <s v="Nankoff"/>
    <s v="male"/>
    <x v="0"/>
    <x v="4"/>
    <x v="0"/>
    <s v="Adult"/>
    <n v="0"/>
    <n v="0"/>
    <x v="1"/>
    <x v="25"/>
    <x v="2"/>
    <x v="0"/>
  </r>
  <r>
    <x v="740"/>
    <x v="1"/>
    <x v="1"/>
    <x v="1"/>
    <s v=" Walter James"/>
    <s v=" Mr."/>
    <s v="Hawksford"/>
    <s v="male"/>
    <x v="0"/>
    <x v="4"/>
    <x v="0"/>
    <s v="Adult"/>
    <n v="0"/>
    <n v="0"/>
    <x v="1"/>
    <x v="208"/>
    <x v="2"/>
    <x v="0"/>
  </r>
  <r>
    <x v="741"/>
    <x v="0"/>
    <x v="0"/>
    <x v="1"/>
    <s v=" Tyrell William"/>
    <s v=" Mr."/>
    <s v="Cavendish"/>
    <s v="male"/>
    <x v="0"/>
    <x v="61"/>
    <x v="0"/>
    <s v="Adult"/>
    <n v="1"/>
    <n v="0"/>
    <x v="0"/>
    <x v="134"/>
    <x v="2"/>
    <x v="0"/>
  </r>
  <r>
    <x v="742"/>
    <x v="1"/>
    <x v="1"/>
    <x v="1"/>
    <s v=" Susan Parker &quot;Suzette&quot;"/>
    <s v=" Miss."/>
    <s v="Ryerson"/>
    <s v="female"/>
    <x v="1"/>
    <x v="22"/>
    <x v="0"/>
    <s v="Adult"/>
    <n v="2"/>
    <n v="2"/>
    <x v="2"/>
    <x v="147"/>
    <x v="2"/>
    <x v="1"/>
  </r>
  <r>
    <x v="743"/>
    <x v="0"/>
    <x v="0"/>
    <x v="0"/>
    <s v=" Neal"/>
    <s v=" Mr."/>
    <s v="McNamee"/>
    <s v="male"/>
    <x v="0"/>
    <x v="41"/>
    <x v="0"/>
    <s v="Adult"/>
    <n v="1"/>
    <n v="0"/>
    <x v="0"/>
    <x v="95"/>
    <x v="2"/>
    <x v="0"/>
  </r>
  <r>
    <x v="744"/>
    <x v="1"/>
    <x v="1"/>
    <x v="0"/>
    <s v=" Juho"/>
    <s v=" Mr."/>
    <s v="Stranden"/>
    <s v="male"/>
    <x v="0"/>
    <x v="14"/>
    <x v="0"/>
    <s v="Adult"/>
    <n v="0"/>
    <n v="0"/>
    <x v="1"/>
    <x v="2"/>
    <x v="2"/>
    <x v="0"/>
  </r>
  <r>
    <x v="745"/>
    <x v="0"/>
    <x v="0"/>
    <x v="1"/>
    <s v=" Edward Gifford"/>
    <s v=" Capt."/>
    <s v="Crosby"/>
    <s v="male"/>
    <x v="0"/>
    <x v="80"/>
    <x v="3"/>
    <s v="Old Age"/>
    <n v="1"/>
    <n v="1"/>
    <x v="3"/>
    <x v="201"/>
    <x v="2"/>
    <x v="0"/>
  </r>
  <r>
    <x v="746"/>
    <x v="0"/>
    <x v="0"/>
    <x v="0"/>
    <s v=" Rossmore Edward"/>
    <s v=" Mr."/>
    <s v="Abbott"/>
    <s v="male"/>
    <x v="0"/>
    <x v="35"/>
    <x v="2"/>
    <s v="Teen"/>
    <n v="1"/>
    <n v="1"/>
    <x v="3"/>
    <x v="133"/>
    <x v="2"/>
    <x v="0"/>
  </r>
  <r>
    <x v="747"/>
    <x v="1"/>
    <x v="1"/>
    <x v="2"/>
    <s v=" Anna"/>
    <s v=" Miss."/>
    <s v="Sinkkonen"/>
    <s v="female"/>
    <x v="1"/>
    <x v="38"/>
    <x v="0"/>
    <s v="Adult"/>
    <n v="0"/>
    <n v="0"/>
    <x v="1"/>
    <x v="16"/>
    <x v="2"/>
    <x v="0"/>
  </r>
  <r>
    <x v="748"/>
    <x v="0"/>
    <x v="0"/>
    <x v="1"/>
    <s v=" Daniel Warner"/>
    <s v=" Mr."/>
    <s v="Marvin"/>
    <s v="male"/>
    <x v="0"/>
    <x v="18"/>
    <x v="0"/>
    <s v="Adult"/>
    <n v="1"/>
    <n v="0"/>
    <x v="0"/>
    <x v="3"/>
    <x v="2"/>
    <x v="0"/>
  </r>
  <r>
    <x v="749"/>
    <x v="0"/>
    <x v="0"/>
    <x v="0"/>
    <s v=" Michael"/>
    <s v=" Mr."/>
    <s v="Connaghton"/>
    <s v="male"/>
    <x v="0"/>
    <x v="14"/>
    <x v="0"/>
    <s v="Adult"/>
    <n v="0"/>
    <n v="0"/>
    <x v="1"/>
    <x v="28"/>
    <x v="2"/>
    <x v="2"/>
  </r>
  <r>
    <x v="750"/>
    <x v="1"/>
    <x v="1"/>
    <x v="2"/>
    <s v=" Joan"/>
    <s v=" Miss."/>
    <s v="Wells"/>
    <s v="female"/>
    <x v="1"/>
    <x v="9"/>
    <x v="1"/>
    <s v="Child"/>
    <n v="1"/>
    <n v="1"/>
    <x v="3"/>
    <x v="68"/>
    <x v="2"/>
    <x v="0"/>
  </r>
  <r>
    <x v="751"/>
    <x v="1"/>
    <x v="1"/>
    <x v="0"/>
    <s v=" Meier"/>
    <s v=" Master."/>
    <s v="Moor"/>
    <s v="male"/>
    <x v="0"/>
    <x v="82"/>
    <x v="1"/>
    <s v="Child"/>
    <n v="0"/>
    <n v="1"/>
    <x v="0"/>
    <x v="57"/>
    <x v="2"/>
    <x v="0"/>
  </r>
  <r>
    <x v="752"/>
    <x v="0"/>
    <x v="0"/>
    <x v="0"/>
    <s v=" Johannes Joseph"/>
    <s v=" Mr."/>
    <s v="Vande Velde"/>
    <s v="male"/>
    <x v="0"/>
    <x v="39"/>
    <x v="0"/>
    <s v="Adult"/>
    <n v="0"/>
    <n v="0"/>
    <x v="1"/>
    <x v="59"/>
    <x v="2"/>
    <x v="0"/>
  </r>
  <r>
    <x v="753"/>
    <x v="0"/>
    <x v="0"/>
    <x v="0"/>
    <s v=" Lalio"/>
    <s v=" Mr."/>
    <s v="Jonkoff"/>
    <s v="male"/>
    <x v="0"/>
    <x v="40"/>
    <x v="0"/>
    <s v="Adult"/>
    <n v="0"/>
    <n v="0"/>
    <x v="1"/>
    <x v="25"/>
    <x v="2"/>
    <x v="0"/>
  </r>
  <r>
    <x v="754"/>
    <x v="1"/>
    <x v="1"/>
    <x v="2"/>
    <s v=" Samuel "/>
    <s v=" Mrs."/>
    <s v="Herman"/>
    <s v="female"/>
    <x v="1"/>
    <x v="75"/>
    <x v="0"/>
    <s v="Adult"/>
    <n v="1"/>
    <n v="2"/>
    <x v="6"/>
    <x v="215"/>
    <x v="2"/>
    <x v="0"/>
  </r>
  <r>
    <x v="755"/>
    <x v="1"/>
    <x v="1"/>
    <x v="2"/>
    <s v=" Viljo"/>
    <s v=" Master."/>
    <s v="Hamalainen"/>
    <s v="male"/>
    <x v="0"/>
    <x v="83"/>
    <x v="1"/>
    <s v="Child"/>
    <n v="1"/>
    <n v="1"/>
    <x v="3"/>
    <x v="80"/>
    <x v="2"/>
    <x v="0"/>
  </r>
  <r>
    <x v="756"/>
    <x v="0"/>
    <x v="0"/>
    <x v="0"/>
    <s v=" August Sigfrid"/>
    <s v=" Mr."/>
    <s v="Carlsson"/>
    <s v="male"/>
    <x v="0"/>
    <x v="4"/>
    <x v="0"/>
    <s v="Adult"/>
    <n v="0"/>
    <n v="0"/>
    <x v="1"/>
    <x v="88"/>
    <x v="2"/>
    <x v="0"/>
  </r>
  <r>
    <x v="757"/>
    <x v="0"/>
    <x v="0"/>
    <x v="2"/>
    <s v=" Percy Andrew"/>
    <s v=" Mr."/>
    <s v="Bailey"/>
    <s v="male"/>
    <x v="0"/>
    <x v="23"/>
    <x v="0"/>
    <s v="Adult"/>
    <n v="0"/>
    <n v="0"/>
    <x v="1"/>
    <x v="86"/>
    <x v="2"/>
    <x v="0"/>
  </r>
  <r>
    <x v="758"/>
    <x v="0"/>
    <x v="0"/>
    <x v="0"/>
    <s v=" Thomas Leonard"/>
    <s v=" Mr."/>
    <s v="Theobald"/>
    <s v="male"/>
    <x v="0"/>
    <x v="15"/>
    <x v="0"/>
    <s v="Adult"/>
    <n v="0"/>
    <n v="0"/>
    <x v="1"/>
    <x v="4"/>
    <x v="2"/>
    <x v="0"/>
  </r>
  <r>
    <x v="759"/>
    <x v="1"/>
    <x v="1"/>
    <x v="1"/>
    <s v=" of "/>
    <s v=" the Countess."/>
    <s v="Rothes"/>
    <s v="female"/>
    <x v="1"/>
    <x v="39"/>
    <x v="0"/>
    <s v="Adult"/>
    <n v="0"/>
    <n v="0"/>
    <x v="1"/>
    <x v="125"/>
    <x v="2"/>
    <x v="0"/>
  </r>
  <r>
    <x v="760"/>
    <x v="0"/>
    <x v="0"/>
    <x v="0"/>
    <s v=" John"/>
    <s v=" Mr."/>
    <s v="Garfirth"/>
    <s v="male"/>
    <x v="0"/>
    <x v="4"/>
    <x v="0"/>
    <s v="Adult"/>
    <n v="0"/>
    <n v="0"/>
    <x v="1"/>
    <x v="80"/>
    <x v="2"/>
    <x v="0"/>
  </r>
  <r>
    <x v="761"/>
    <x v="0"/>
    <x v="0"/>
    <x v="0"/>
    <s v=" Iisakki Antino Aijo"/>
    <s v=" Mr."/>
    <s v="Nirva"/>
    <s v="male"/>
    <x v="0"/>
    <x v="65"/>
    <x v="0"/>
    <s v="Adult"/>
    <n v="0"/>
    <n v="0"/>
    <x v="1"/>
    <x v="122"/>
    <x v="2"/>
    <x v="0"/>
  </r>
  <r>
    <x v="762"/>
    <x v="1"/>
    <x v="1"/>
    <x v="0"/>
    <s v=" Hanna Assi"/>
    <s v=" Mr."/>
    <s v="Barah"/>
    <s v="male"/>
    <x v="0"/>
    <x v="11"/>
    <x v="0"/>
    <s v="Adult"/>
    <n v="0"/>
    <n v="0"/>
    <x v="1"/>
    <x v="32"/>
    <x v="2"/>
    <x v="1"/>
  </r>
  <r>
    <x v="763"/>
    <x v="1"/>
    <x v="1"/>
    <x v="1"/>
    <s v=" William Ernest "/>
    <s v=" Mrs."/>
    <s v="Carter"/>
    <s v="female"/>
    <x v="1"/>
    <x v="61"/>
    <x v="0"/>
    <s v="Adult"/>
    <n v="1"/>
    <n v="2"/>
    <x v="6"/>
    <x v="167"/>
    <x v="2"/>
    <x v="0"/>
  </r>
  <r>
    <x v="764"/>
    <x v="0"/>
    <x v="0"/>
    <x v="0"/>
    <s v=" Hans Linus"/>
    <s v=" Mr."/>
    <s v="Eklund"/>
    <s v="male"/>
    <x v="0"/>
    <x v="35"/>
    <x v="2"/>
    <s v="Teen"/>
    <n v="0"/>
    <n v="0"/>
    <x v="1"/>
    <x v="71"/>
    <x v="2"/>
    <x v="0"/>
  </r>
  <r>
    <x v="765"/>
    <x v="1"/>
    <x v="1"/>
    <x v="1"/>
    <s v=" John C "/>
    <s v=" Mrs."/>
    <s v="Hogeboom"/>
    <s v="female"/>
    <x v="1"/>
    <x v="53"/>
    <x v="0"/>
    <s v="Adult"/>
    <n v="1"/>
    <n v="0"/>
    <x v="0"/>
    <x v="132"/>
    <x v="2"/>
    <x v="0"/>
  </r>
  <r>
    <x v="766"/>
    <x v="0"/>
    <x v="0"/>
    <x v="1"/>
    <s v=" Arthur Jackson"/>
    <s v=" Dr."/>
    <s v="Brewe"/>
    <s v="male"/>
    <x v="0"/>
    <x v="4"/>
    <x v="0"/>
    <s v="Adult"/>
    <n v="0"/>
    <n v="0"/>
    <x v="1"/>
    <x v="204"/>
    <x v="2"/>
    <x v="1"/>
  </r>
  <r>
    <x v="767"/>
    <x v="0"/>
    <x v="0"/>
    <x v="0"/>
    <s v=" Mary"/>
    <s v=" Miss."/>
    <s v="Mangan"/>
    <s v="female"/>
    <x v="1"/>
    <x v="84"/>
    <x v="0"/>
    <s v="Adult"/>
    <n v="0"/>
    <n v="0"/>
    <x v="1"/>
    <x v="28"/>
    <x v="2"/>
    <x v="2"/>
  </r>
  <r>
    <x v="768"/>
    <x v="0"/>
    <x v="0"/>
    <x v="0"/>
    <s v=" Daniel J"/>
    <s v=" Mr."/>
    <s v="Moran"/>
    <s v="male"/>
    <x v="0"/>
    <x v="4"/>
    <x v="0"/>
    <s v="Adult"/>
    <n v="1"/>
    <n v="0"/>
    <x v="0"/>
    <x v="72"/>
    <x v="2"/>
    <x v="2"/>
  </r>
  <r>
    <x v="769"/>
    <x v="0"/>
    <x v="0"/>
    <x v="0"/>
    <s v=" Daniel Danielsen"/>
    <s v=" Mr."/>
    <s v="Gronnestad"/>
    <s v="male"/>
    <x v="0"/>
    <x v="34"/>
    <x v="0"/>
    <s v="Adult"/>
    <n v="0"/>
    <n v="0"/>
    <x v="1"/>
    <x v="229"/>
    <x v="2"/>
    <x v="0"/>
  </r>
  <r>
    <x v="770"/>
    <x v="0"/>
    <x v="0"/>
    <x v="0"/>
    <s v=" Rene Aime"/>
    <s v=" Mr."/>
    <s v="Lievens"/>
    <s v="male"/>
    <x v="0"/>
    <x v="41"/>
    <x v="0"/>
    <s v="Adult"/>
    <n v="0"/>
    <n v="0"/>
    <x v="1"/>
    <x v="59"/>
    <x v="2"/>
    <x v="0"/>
  </r>
  <r>
    <x v="771"/>
    <x v="0"/>
    <x v="0"/>
    <x v="0"/>
    <s v=" Niels Peder"/>
    <s v=" Mr."/>
    <s v="Jensen"/>
    <s v="male"/>
    <x v="0"/>
    <x v="75"/>
    <x v="0"/>
    <s v="Adult"/>
    <n v="0"/>
    <n v="0"/>
    <x v="1"/>
    <x v="13"/>
    <x v="2"/>
    <x v="0"/>
  </r>
  <r>
    <x v="772"/>
    <x v="0"/>
    <x v="0"/>
    <x v="2"/>
    <s v=" "/>
    <s v=" Mrs."/>
    <s v="Mack"/>
    <s v="female"/>
    <x v="1"/>
    <x v="78"/>
    <x v="0"/>
    <s v="Adult"/>
    <n v="0"/>
    <n v="0"/>
    <x v="1"/>
    <x v="29"/>
    <x v="2"/>
    <x v="0"/>
  </r>
  <r>
    <x v="773"/>
    <x v="0"/>
    <x v="0"/>
    <x v="0"/>
    <s v=" Dibo"/>
    <s v=" Mr."/>
    <s v="Elias"/>
    <s v="male"/>
    <x v="0"/>
    <x v="4"/>
    <x v="0"/>
    <s v="Adult"/>
    <n v="0"/>
    <n v="0"/>
    <x v="1"/>
    <x v="18"/>
    <x v="2"/>
    <x v="1"/>
  </r>
  <r>
    <x v="774"/>
    <x v="1"/>
    <x v="1"/>
    <x v="2"/>
    <s v=" Elizabeth "/>
    <s v=" Mrs."/>
    <s v="Hocking"/>
    <s v="female"/>
    <x v="1"/>
    <x v="5"/>
    <x v="0"/>
    <s v="Adult"/>
    <n v="1"/>
    <n v="3"/>
    <x v="2"/>
    <x v="68"/>
    <x v="2"/>
    <x v="0"/>
  </r>
  <r>
    <x v="775"/>
    <x v="0"/>
    <x v="0"/>
    <x v="0"/>
    <s v=" Pehr Fabian Oliver Malkolm"/>
    <s v=" Mr."/>
    <s v="Myhrman"/>
    <s v="male"/>
    <x v="0"/>
    <x v="23"/>
    <x v="0"/>
    <s v="Adult"/>
    <n v="0"/>
    <n v="0"/>
    <x v="1"/>
    <x v="28"/>
    <x v="2"/>
    <x v="0"/>
  </r>
  <r>
    <x v="776"/>
    <x v="0"/>
    <x v="0"/>
    <x v="0"/>
    <s v=" Roger"/>
    <s v=" Mr."/>
    <s v="Tobin"/>
    <s v="male"/>
    <x v="0"/>
    <x v="4"/>
    <x v="0"/>
    <s v="Adult"/>
    <n v="0"/>
    <n v="0"/>
    <x v="1"/>
    <x v="28"/>
    <x v="2"/>
    <x v="2"/>
  </r>
  <r>
    <x v="777"/>
    <x v="1"/>
    <x v="1"/>
    <x v="0"/>
    <s v=" Virginia Ethel"/>
    <s v=" Miss."/>
    <s v="Emanuel"/>
    <s v="female"/>
    <x v="1"/>
    <x v="30"/>
    <x v="1"/>
    <s v="Child"/>
    <n v="0"/>
    <n v="0"/>
    <x v="1"/>
    <x v="57"/>
    <x v="2"/>
    <x v="0"/>
  </r>
  <r>
    <x v="778"/>
    <x v="0"/>
    <x v="0"/>
    <x v="0"/>
    <s v=" Thomas J"/>
    <s v=" Mr."/>
    <s v="Kilgannon"/>
    <s v="male"/>
    <x v="0"/>
    <x v="4"/>
    <x v="0"/>
    <s v="Adult"/>
    <n v="0"/>
    <n v="0"/>
    <x v="1"/>
    <x v="228"/>
    <x v="2"/>
    <x v="2"/>
  </r>
  <r>
    <x v="779"/>
    <x v="1"/>
    <x v="1"/>
    <x v="1"/>
    <s v=" Edward Scott "/>
    <s v=" Mrs."/>
    <s v="Robert"/>
    <s v="female"/>
    <x v="1"/>
    <x v="70"/>
    <x v="0"/>
    <s v="Adult"/>
    <n v="0"/>
    <n v="1"/>
    <x v="0"/>
    <x v="223"/>
    <x v="2"/>
    <x v="0"/>
  </r>
  <r>
    <x v="780"/>
    <x v="1"/>
    <x v="1"/>
    <x v="0"/>
    <s v=" Banoura"/>
    <s v=" Miss."/>
    <s v="Ayoub"/>
    <s v="female"/>
    <x v="1"/>
    <x v="74"/>
    <x v="2"/>
    <s v="Teen"/>
    <n v="0"/>
    <n v="0"/>
    <x v="1"/>
    <x v="32"/>
    <x v="2"/>
    <x v="1"/>
  </r>
  <r>
    <x v="781"/>
    <x v="1"/>
    <x v="1"/>
    <x v="1"/>
    <s v=" Albert Adrian "/>
    <s v=" Mrs."/>
    <s v="Dick"/>
    <s v="female"/>
    <x v="1"/>
    <x v="33"/>
    <x v="2"/>
    <s v="Teen"/>
    <n v="1"/>
    <n v="0"/>
    <x v="0"/>
    <x v="224"/>
    <x v="2"/>
    <x v="0"/>
  </r>
  <r>
    <x v="782"/>
    <x v="0"/>
    <x v="0"/>
    <x v="1"/>
    <s v=" Milton Clyde"/>
    <s v=" Mr."/>
    <s v="Long"/>
    <s v="male"/>
    <x v="0"/>
    <x v="27"/>
    <x v="0"/>
    <s v="Adult"/>
    <n v="0"/>
    <n v="0"/>
    <x v="1"/>
    <x v="208"/>
    <x v="2"/>
    <x v="0"/>
  </r>
  <r>
    <x v="783"/>
    <x v="0"/>
    <x v="0"/>
    <x v="0"/>
    <s v=" Andrew G"/>
    <s v=" Mr."/>
    <s v="Johnston"/>
    <s v="male"/>
    <x v="0"/>
    <x v="4"/>
    <x v="0"/>
    <s v="Adult"/>
    <n v="1"/>
    <n v="2"/>
    <x v="6"/>
    <x v="230"/>
    <x v="2"/>
    <x v="0"/>
  </r>
  <r>
    <x v="784"/>
    <x v="0"/>
    <x v="0"/>
    <x v="0"/>
    <s v=" William"/>
    <s v=" Mr."/>
    <s v="Ali"/>
    <s v="male"/>
    <x v="0"/>
    <x v="36"/>
    <x v="0"/>
    <s v="Adult"/>
    <n v="0"/>
    <n v="0"/>
    <x v="1"/>
    <x v="79"/>
    <x v="2"/>
    <x v="0"/>
  </r>
  <r>
    <x v="785"/>
    <x v="0"/>
    <x v="0"/>
    <x v="0"/>
    <s v=" Abraham "/>
    <s v=" Mr."/>
    <s v="Harmer"/>
    <s v="male"/>
    <x v="0"/>
    <x v="36"/>
    <x v="0"/>
    <s v="Adult"/>
    <n v="0"/>
    <n v="0"/>
    <x v="1"/>
    <x v="0"/>
    <x v="2"/>
    <x v="0"/>
  </r>
  <r>
    <x v="786"/>
    <x v="1"/>
    <x v="1"/>
    <x v="0"/>
    <s v=" Anna Sofia"/>
    <s v=" Miss."/>
    <s v="Sjoblom"/>
    <s v="female"/>
    <x v="1"/>
    <x v="23"/>
    <x v="0"/>
    <s v="Adult"/>
    <n v="0"/>
    <n v="0"/>
    <x v="1"/>
    <x v="195"/>
    <x v="2"/>
    <x v="0"/>
  </r>
  <r>
    <x v="787"/>
    <x v="0"/>
    <x v="0"/>
    <x v="0"/>
    <s v=" George Hugh"/>
    <s v=" Master."/>
    <s v="Rice"/>
    <s v="male"/>
    <x v="0"/>
    <x v="17"/>
    <x v="1"/>
    <s v="Child"/>
    <n v="4"/>
    <n v="1"/>
    <x v="5"/>
    <x v="15"/>
    <x v="2"/>
    <x v="2"/>
  </r>
  <r>
    <x v="788"/>
    <x v="1"/>
    <x v="1"/>
    <x v="0"/>
    <s v=" Bertram Vere"/>
    <s v=" Master."/>
    <s v="Dean"/>
    <s v="male"/>
    <x v="0"/>
    <x v="57"/>
    <x v="1"/>
    <s v="Child"/>
    <n v="1"/>
    <n v="2"/>
    <x v="6"/>
    <x v="65"/>
    <x v="2"/>
    <x v="0"/>
  </r>
  <r>
    <x v="789"/>
    <x v="0"/>
    <x v="0"/>
    <x v="1"/>
    <s v=" Benjamin"/>
    <s v=" Mr."/>
    <s v="Guggenheim"/>
    <s v="male"/>
    <x v="0"/>
    <x v="42"/>
    <x v="0"/>
    <s v="Adult"/>
    <n v="0"/>
    <n v="0"/>
    <x v="1"/>
    <x v="84"/>
    <x v="2"/>
    <x v="1"/>
  </r>
  <r>
    <x v="790"/>
    <x v="0"/>
    <x v="0"/>
    <x v="0"/>
    <s v=" Andrew &quot;Andy&quot;"/>
    <s v=" Mr."/>
    <s v="Keane"/>
    <s v="male"/>
    <x v="0"/>
    <x v="4"/>
    <x v="0"/>
    <s v="Adult"/>
    <n v="0"/>
    <n v="0"/>
    <x v="1"/>
    <x v="28"/>
    <x v="2"/>
    <x v="2"/>
  </r>
  <r>
    <x v="791"/>
    <x v="0"/>
    <x v="0"/>
    <x v="2"/>
    <s v=" Alfred"/>
    <s v=" Mr."/>
    <s v="Gaskell"/>
    <s v="male"/>
    <x v="0"/>
    <x v="35"/>
    <x v="2"/>
    <s v="Teen"/>
    <n v="0"/>
    <n v="0"/>
    <x v="1"/>
    <x v="19"/>
    <x v="2"/>
    <x v="0"/>
  </r>
  <r>
    <x v="792"/>
    <x v="0"/>
    <x v="0"/>
    <x v="0"/>
    <s v=" Stella Anna"/>
    <s v=" Miss."/>
    <s v="Sage"/>
    <s v="female"/>
    <x v="1"/>
    <x v="4"/>
    <x v="0"/>
    <s v="Adult"/>
    <n v="8"/>
    <n v="2"/>
    <x v="8"/>
    <x v="94"/>
    <x v="2"/>
    <x v="0"/>
  </r>
  <r>
    <x v="793"/>
    <x v="0"/>
    <x v="0"/>
    <x v="1"/>
    <s v=" William Fisher"/>
    <s v=" Mr."/>
    <s v="Hoyt"/>
    <s v="male"/>
    <x v="0"/>
    <x v="4"/>
    <x v="0"/>
    <s v="Adult"/>
    <n v="0"/>
    <n v="0"/>
    <x v="1"/>
    <x v="101"/>
    <x v="2"/>
    <x v="1"/>
  </r>
  <r>
    <x v="794"/>
    <x v="0"/>
    <x v="0"/>
    <x v="0"/>
    <s v=" Ristiu"/>
    <s v=" Mr."/>
    <s v="Dantcheff"/>
    <s v="male"/>
    <x v="0"/>
    <x v="36"/>
    <x v="0"/>
    <s v="Adult"/>
    <n v="0"/>
    <n v="0"/>
    <x v="1"/>
    <x v="25"/>
    <x v="2"/>
    <x v="0"/>
  </r>
  <r>
    <x v="795"/>
    <x v="0"/>
    <x v="0"/>
    <x v="2"/>
    <s v=" Richard"/>
    <s v=" Mr."/>
    <s v="Otter"/>
    <s v="male"/>
    <x v="0"/>
    <x v="12"/>
    <x v="0"/>
    <s v="Adult"/>
    <n v="0"/>
    <n v="0"/>
    <x v="1"/>
    <x v="16"/>
    <x v="2"/>
    <x v="0"/>
  </r>
  <r>
    <x v="796"/>
    <x v="1"/>
    <x v="1"/>
    <x v="1"/>
    <s v=" Alice "/>
    <s v=" Dr."/>
    <s v="Leader"/>
    <s v="female"/>
    <x v="1"/>
    <x v="26"/>
    <x v="0"/>
    <s v="Adult"/>
    <n v="0"/>
    <n v="0"/>
    <x v="1"/>
    <x v="231"/>
    <x v="2"/>
    <x v="0"/>
  </r>
  <r>
    <x v="797"/>
    <x v="1"/>
    <x v="1"/>
    <x v="0"/>
    <s v=" Mara"/>
    <s v=" Mrs."/>
    <s v="Osman"/>
    <s v="female"/>
    <x v="1"/>
    <x v="14"/>
    <x v="0"/>
    <s v="Adult"/>
    <n v="0"/>
    <n v="0"/>
    <x v="1"/>
    <x v="232"/>
    <x v="2"/>
    <x v="0"/>
  </r>
  <r>
    <x v="798"/>
    <x v="0"/>
    <x v="0"/>
    <x v="0"/>
    <s v=" Yousseff"/>
    <s v=" Mr."/>
    <s v="Ibrahim Shawah"/>
    <s v="male"/>
    <x v="0"/>
    <x v="38"/>
    <x v="0"/>
    <s v="Adult"/>
    <n v="0"/>
    <n v="0"/>
    <x v="1"/>
    <x v="32"/>
    <x v="2"/>
    <x v="1"/>
  </r>
  <r>
    <x v="799"/>
    <x v="0"/>
    <x v="0"/>
    <x v="0"/>
    <s v=" Jean Baptiste "/>
    <s v=" Mrs."/>
    <s v="Van Impe"/>
    <s v="female"/>
    <x v="1"/>
    <x v="38"/>
    <x v="0"/>
    <s v="Adult"/>
    <n v="1"/>
    <n v="1"/>
    <x v="3"/>
    <x v="72"/>
    <x v="2"/>
    <x v="0"/>
  </r>
  <r>
    <x v="800"/>
    <x v="0"/>
    <x v="0"/>
    <x v="2"/>
    <s v=" Martin"/>
    <s v=" Mr."/>
    <s v="Ponesell"/>
    <s v="male"/>
    <x v="0"/>
    <x v="15"/>
    <x v="0"/>
    <s v="Adult"/>
    <n v="0"/>
    <n v="0"/>
    <x v="1"/>
    <x v="16"/>
    <x v="2"/>
    <x v="0"/>
  </r>
  <r>
    <x v="801"/>
    <x v="1"/>
    <x v="1"/>
    <x v="2"/>
    <s v=" Harvey "/>
    <s v=" Mrs."/>
    <s v="Collyer"/>
    <s v="female"/>
    <x v="1"/>
    <x v="14"/>
    <x v="0"/>
    <s v="Adult"/>
    <n v="1"/>
    <n v="1"/>
    <x v="3"/>
    <x v="120"/>
    <x v="2"/>
    <x v="0"/>
  </r>
  <r>
    <x v="802"/>
    <x v="1"/>
    <x v="1"/>
    <x v="1"/>
    <s v=" William Thornton II"/>
    <s v=" Master."/>
    <s v="Carter"/>
    <s v="male"/>
    <x v="0"/>
    <x v="31"/>
    <x v="1"/>
    <s v="Child"/>
    <n v="1"/>
    <n v="2"/>
    <x v="6"/>
    <x v="167"/>
    <x v="2"/>
    <x v="0"/>
  </r>
  <r>
    <x v="803"/>
    <x v="1"/>
    <x v="1"/>
    <x v="0"/>
    <s v=" Assad Alexander"/>
    <s v=" Master."/>
    <s v="Thomas"/>
    <s v="male"/>
    <x v="0"/>
    <x v="85"/>
    <x v="1"/>
    <s v="Child"/>
    <n v="0"/>
    <n v="1"/>
    <x v="0"/>
    <x v="233"/>
    <x v="2"/>
    <x v="1"/>
  </r>
  <r>
    <x v="804"/>
    <x v="1"/>
    <x v="1"/>
    <x v="0"/>
    <s v=" Oskar Arvid"/>
    <s v=" Mr."/>
    <s v="Hedman"/>
    <s v="male"/>
    <x v="0"/>
    <x v="7"/>
    <x v="0"/>
    <s v="Adult"/>
    <n v="0"/>
    <n v="0"/>
    <x v="1"/>
    <x v="78"/>
    <x v="2"/>
    <x v="0"/>
  </r>
  <r>
    <x v="805"/>
    <x v="0"/>
    <x v="0"/>
    <x v="0"/>
    <s v=" Karl Johan"/>
    <s v=" Mr."/>
    <s v="Johansson"/>
    <s v="male"/>
    <x v="0"/>
    <x v="14"/>
    <x v="0"/>
    <s v="Adult"/>
    <n v="0"/>
    <n v="0"/>
    <x v="1"/>
    <x v="71"/>
    <x v="2"/>
    <x v="0"/>
  </r>
  <r>
    <x v="806"/>
    <x v="0"/>
    <x v="0"/>
    <x v="1"/>
    <s v=" Thomas Jr"/>
    <s v=" Mr."/>
    <s v="Andrews"/>
    <s v="male"/>
    <x v="0"/>
    <x v="12"/>
    <x v="0"/>
    <s v="Adult"/>
    <n v="0"/>
    <n v="0"/>
    <x v="1"/>
    <x v="53"/>
    <x v="2"/>
    <x v="0"/>
  </r>
  <r>
    <x v="807"/>
    <x v="0"/>
    <x v="0"/>
    <x v="0"/>
    <s v=" Ellen Natalia"/>
    <s v=" Miss."/>
    <s v="Pettersson"/>
    <s v="female"/>
    <x v="1"/>
    <x v="23"/>
    <x v="0"/>
    <s v="Adult"/>
    <n v="0"/>
    <n v="0"/>
    <x v="1"/>
    <x v="71"/>
    <x v="2"/>
    <x v="0"/>
  </r>
  <r>
    <x v="808"/>
    <x v="0"/>
    <x v="0"/>
    <x v="2"/>
    <s v=" August"/>
    <s v=" Mr."/>
    <s v="Meyer"/>
    <s v="male"/>
    <x v="0"/>
    <x v="12"/>
    <x v="0"/>
    <s v="Adult"/>
    <n v="0"/>
    <n v="0"/>
    <x v="1"/>
    <x v="16"/>
    <x v="2"/>
    <x v="0"/>
  </r>
  <r>
    <x v="809"/>
    <x v="1"/>
    <x v="1"/>
    <x v="1"/>
    <s v=" Norman Campbell "/>
    <s v=" Mrs."/>
    <s v="Chambers"/>
    <s v="female"/>
    <x v="1"/>
    <x v="39"/>
    <x v="0"/>
    <s v="Adult"/>
    <n v="1"/>
    <n v="0"/>
    <x v="0"/>
    <x v="3"/>
    <x v="2"/>
    <x v="0"/>
  </r>
  <r>
    <x v="810"/>
    <x v="0"/>
    <x v="0"/>
    <x v="0"/>
    <s v=" William"/>
    <s v=" Mr."/>
    <s v="Alexander"/>
    <s v="male"/>
    <x v="0"/>
    <x v="2"/>
    <x v="0"/>
    <s v="Adult"/>
    <n v="0"/>
    <n v="0"/>
    <x v="1"/>
    <x v="234"/>
    <x v="2"/>
    <x v="0"/>
  </r>
  <r>
    <x v="811"/>
    <x v="0"/>
    <x v="0"/>
    <x v="0"/>
    <s v=" James"/>
    <s v=" Mr."/>
    <s v="Lester"/>
    <s v="male"/>
    <x v="0"/>
    <x v="12"/>
    <x v="0"/>
    <s v="Adult"/>
    <n v="0"/>
    <n v="0"/>
    <x v="1"/>
    <x v="72"/>
    <x v="2"/>
    <x v="0"/>
  </r>
  <r>
    <x v="812"/>
    <x v="0"/>
    <x v="0"/>
    <x v="2"/>
    <s v=" Richard James"/>
    <s v=" Mr."/>
    <s v="Slemen"/>
    <s v="male"/>
    <x v="0"/>
    <x v="3"/>
    <x v="0"/>
    <s v="Adult"/>
    <n v="0"/>
    <n v="0"/>
    <x v="1"/>
    <x v="29"/>
    <x v="2"/>
    <x v="0"/>
  </r>
  <r>
    <x v="813"/>
    <x v="0"/>
    <x v="0"/>
    <x v="0"/>
    <s v=" Ebba Iris Alfrida"/>
    <s v=" Miss."/>
    <s v="Andersson"/>
    <s v="female"/>
    <x v="1"/>
    <x v="82"/>
    <x v="1"/>
    <s v="Child"/>
    <n v="4"/>
    <n v="2"/>
    <x v="4"/>
    <x v="12"/>
    <x v="2"/>
    <x v="0"/>
  </r>
  <r>
    <x v="814"/>
    <x v="0"/>
    <x v="0"/>
    <x v="0"/>
    <s v=" Ernest Portage"/>
    <s v=" Mr."/>
    <s v="Tomlin"/>
    <s v="male"/>
    <x v="0"/>
    <x v="84"/>
    <x v="0"/>
    <s v="Adult"/>
    <n v="0"/>
    <n v="0"/>
    <x v="1"/>
    <x v="4"/>
    <x v="2"/>
    <x v="0"/>
  </r>
  <r>
    <x v="815"/>
    <x v="0"/>
    <x v="0"/>
    <x v="1"/>
    <s v=" Richard"/>
    <s v=" Mr."/>
    <s v="Fry"/>
    <s v="male"/>
    <x v="0"/>
    <x v="4"/>
    <x v="0"/>
    <s v="Adult"/>
    <n v="0"/>
    <n v="0"/>
    <x v="1"/>
    <x v="53"/>
    <x v="2"/>
    <x v="0"/>
  </r>
  <r>
    <x v="816"/>
    <x v="0"/>
    <x v="0"/>
    <x v="0"/>
    <s v=" Wendla Maria"/>
    <s v=" Miss."/>
    <s v="Heininen"/>
    <s v="female"/>
    <x v="1"/>
    <x v="40"/>
    <x v="0"/>
    <s v="Adult"/>
    <n v="0"/>
    <n v="0"/>
    <x v="1"/>
    <x v="2"/>
    <x v="2"/>
    <x v="0"/>
  </r>
  <r>
    <x v="817"/>
    <x v="0"/>
    <x v="0"/>
    <x v="2"/>
    <s v=" Albert"/>
    <s v=" Mr."/>
    <s v="Mallet"/>
    <s v="male"/>
    <x v="0"/>
    <x v="14"/>
    <x v="0"/>
    <s v="Adult"/>
    <n v="1"/>
    <n v="1"/>
    <x v="3"/>
    <x v="235"/>
    <x v="2"/>
    <x v="1"/>
  </r>
  <r>
    <x v="818"/>
    <x v="0"/>
    <x v="0"/>
    <x v="0"/>
    <s v=" John Fredrik Alexander"/>
    <s v=" Mr."/>
    <s v="Holm"/>
    <s v="male"/>
    <x v="0"/>
    <x v="70"/>
    <x v="0"/>
    <s v="Adult"/>
    <n v="0"/>
    <n v="0"/>
    <x v="1"/>
    <x v="236"/>
    <x v="2"/>
    <x v="0"/>
  </r>
  <r>
    <x v="819"/>
    <x v="0"/>
    <x v="0"/>
    <x v="0"/>
    <s v=" Karl Thorsten"/>
    <s v=" Master."/>
    <s v="Skoog"/>
    <s v="male"/>
    <x v="0"/>
    <x v="72"/>
    <x v="1"/>
    <s v="Child"/>
    <n v="3"/>
    <n v="2"/>
    <x v="5"/>
    <x v="48"/>
    <x v="2"/>
    <x v="0"/>
  </r>
  <r>
    <x v="820"/>
    <x v="1"/>
    <x v="1"/>
    <x v="1"/>
    <s v=" Charles Melville "/>
    <s v=" Mrs."/>
    <s v="Hays"/>
    <s v="female"/>
    <x v="1"/>
    <x v="66"/>
    <x v="0"/>
    <s v="Adult"/>
    <n v="1"/>
    <n v="1"/>
    <x v="3"/>
    <x v="197"/>
    <x v="2"/>
    <x v="0"/>
  </r>
  <r>
    <x v="821"/>
    <x v="1"/>
    <x v="1"/>
    <x v="0"/>
    <s v=" Nikola"/>
    <s v=" Mr."/>
    <s v="Lulic"/>
    <s v="male"/>
    <x v="0"/>
    <x v="7"/>
    <x v="0"/>
    <s v="Adult"/>
    <n v="0"/>
    <n v="0"/>
    <x v="1"/>
    <x v="51"/>
    <x v="2"/>
    <x v="0"/>
  </r>
  <r>
    <x v="822"/>
    <x v="0"/>
    <x v="0"/>
    <x v="1"/>
    <s v=" John George"/>
    <s v=" Jonkheer."/>
    <s v="Reuchlin"/>
    <s v="male"/>
    <x v="0"/>
    <x v="1"/>
    <x v="0"/>
    <s v="Adult"/>
    <n v="0"/>
    <n v="0"/>
    <x v="1"/>
    <x v="53"/>
    <x v="2"/>
    <x v="0"/>
  </r>
  <r>
    <x v="823"/>
    <x v="1"/>
    <x v="1"/>
    <x v="0"/>
    <s v=" "/>
    <s v=" Mrs."/>
    <s v="Moor"/>
    <s v="female"/>
    <x v="1"/>
    <x v="7"/>
    <x v="0"/>
    <s v="Adult"/>
    <n v="0"/>
    <n v="1"/>
    <x v="0"/>
    <x v="57"/>
    <x v="2"/>
    <x v="0"/>
  </r>
  <r>
    <x v="824"/>
    <x v="0"/>
    <x v="0"/>
    <x v="0"/>
    <s v=" Urho Abraham"/>
    <s v=" Master."/>
    <s v="Panula"/>
    <s v="male"/>
    <x v="0"/>
    <x v="6"/>
    <x v="1"/>
    <s v="Child"/>
    <n v="4"/>
    <n v="1"/>
    <x v="5"/>
    <x v="40"/>
    <x v="2"/>
    <x v="0"/>
  </r>
  <r>
    <x v="825"/>
    <x v="0"/>
    <x v="0"/>
    <x v="0"/>
    <s v=" John"/>
    <s v=" Mr."/>
    <s v="Flynn"/>
    <s v="male"/>
    <x v="0"/>
    <x v="4"/>
    <x v="0"/>
    <s v="Adult"/>
    <n v="0"/>
    <n v="0"/>
    <x v="1"/>
    <x v="237"/>
    <x v="2"/>
    <x v="2"/>
  </r>
  <r>
    <x v="826"/>
    <x v="0"/>
    <x v="0"/>
    <x v="0"/>
    <s v=" Len"/>
    <s v=" Mr."/>
    <s v="Lam"/>
    <s v="male"/>
    <x v="0"/>
    <x v="4"/>
    <x v="0"/>
    <s v="Adult"/>
    <n v="0"/>
    <n v="0"/>
    <x v="1"/>
    <x v="54"/>
    <x v="2"/>
    <x v="0"/>
  </r>
  <r>
    <x v="827"/>
    <x v="1"/>
    <x v="1"/>
    <x v="2"/>
    <s v=" Andre"/>
    <s v=" Master."/>
    <s v="Mallet"/>
    <s v="male"/>
    <x v="0"/>
    <x v="57"/>
    <x v="1"/>
    <s v="Child"/>
    <n v="0"/>
    <n v="2"/>
    <x v="3"/>
    <x v="235"/>
    <x v="2"/>
    <x v="1"/>
  </r>
  <r>
    <x v="828"/>
    <x v="1"/>
    <x v="1"/>
    <x v="0"/>
    <s v=" Thomas Joseph"/>
    <s v=" Mr."/>
    <s v="McCormack"/>
    <s v="male"/>
    <x v="0"/>
    <x v="4"/>
    <x v="0"/>
    <s v="Adult"/>
    <n v="0"/>
    <n v="0"/>
    <x v="1"/>
    <x v="28"/>
    <x v="2"/>
    <x v="2"/>
  </r>
  <r>
    <x v="829"/>
    <x v="1"/>
    <x v="1"/>
    <x v="1"/>
    <s v=" George Nelson "/>
    <s v=" Mrs."/>
    <s v="Stone"/>
    <s v="female"/>
    <x v="1"/>
    <x v="64"/>
    <x v="3"/>
    <s v="Old Age"/>
    <n v="0"/>
    <n v="0"/>
    <x v="1"/>
    <x v="46"/>
    <x v="2"/>
    <x v="0"/>
  </r>
  <r>
    <x v="830"/>
    <x v="1"/>
    <x v="1"/>
    <x v="0"/>
    <s v=" Antoni "/>
    <s v=" Mrs."/>
    <s v="Yasbeck"/>
    <s v="female"/>
    <x v="1"/>
    <x v="16"/>
    <x v="2"/>
    <s v="Teen"/>
    <n v="1"/>
    <n v="0"/>
    <x v="0"/>
    <x v="53"/>
    <x v="2"/>
    <x v="1"/>
  </r>
  <r>
    <x v="831"/>
    <x v="1"/>
    <x v="1"/>
    <x v="2"/>
    <s v=" George Sibley"/>
    <s v=" Master."/>
    <s v="Richards"/>
    <s v="male"/>
    <x v="0"/>
    <x v="37"/>
    <x v="1"/>
    <s v="Child"/>
    <n v="1"/>
    <n v="1"/>
    <x v="3"/>
    <x v="169"/>
    <x v="2"/>
    <x v="0"/>
  </r>
  <r>
    <x v="832"/>
    <x v="0"/>
    <x v="0"/>
    <x v="0"/>
    <s v=" Amin"/>
    <s v=" Mr."/>
    <s v="Saad"/>
    <s v="male"/>
    <x v="0"/>
    <x v="4"/>
    <x v="0"/>
    <s v="Adult"/>
    <n v="0"/>
    <n v="0"/>
    <x v="1"/>
    <x v="32"/>
    <x v="2"/>
    <x v="1"/>
  </r>
  <r>
    <x v="833"/>
    <x v="0"/>
    <x v="0"/>
    <x v="0"/>
    <s v=" Albert"/>
    <s v=" Mr."/>
    <s v="Augustsson"/>
    <s v="male"/>
    <x v="0"/>
    <x v="40"/>
    <x v="0"/>
    <s v="Adult"/>
    <n v="0"/>
    <n v="0"/>
    <x v="1"/>
    <x v="13"/>
    <x v="2"/>
    <x v="0"/>
  </r>
  <r>
    <x v="834"/>
    <x v="0"/>
    <x v="0"/>
    <x v="0"/>
    <s v=" Owen George"/>
    <s v=" Mr."/>
    <s v="Allum"/>
    <s v="male"/>
    <x v="0"/>
    <x v="23"/>
    <x v="0"/>
    <s v="Adult"/>
    <n v="0"/>
    <n v="0"/>
    <x v="1"/>
    <x v="238"/>
    <x v="2"/>
    <x v="0"/>
  </r>
  <r>
    <x v="835"/>
    <x v="1"/>
    <x v="1"/>
    <x v="1"/>
    <s v=" Sara Rebecca"/>
    <s v=" Miss."/>
    <s v="Compton"/>
    <s v="female"/>
    <x v="1"/>
    <x v="12"/>
    <x v="0"/>
    <s v="Adult"/>
    <n v="1"/>
    <n v="1"/>
    <x v="3"/>
    <x v="146"/>
    <x v="2"/>
    <x v="1"/>
  </r>
  <r>
    <x v="836"/>
    <x v="0"/>
    <x v="0"/>
    <x v="0"/>
    <s v=" Jakob"/>
    <s v=" Mr."/>
    <s v="Pasic"/>
    <s v="male"/>
    <x v="0"/>
    <x v="22"/>
    <x v="0"/>
    <s v="Adult"/>
    <n v="0"/>
    <n v="0"/>
    <x v="1"/>
    <x v="51"/>
    <x v="2"/>
    <x v="0"/>
  </r>
  <r>
    <x v="837"/>
    <x v="0"/>
    <x v="0"/>
    <x v="0"/>
    <s v=" Maurice"/>
    <s v=" Mr."/>
    <s v="Sirota"/>
    <s v="male"/>
    <x v="0"/>
    <x v="4"/>
    <x v="0"/>
    <s v="Adult"/>
    <n v="0"/>
    <n v="0"/>
    <x v="1"/>
    <x v="4"/>
    <x v="2"/>
    <x v="0"/>
  </r>
  <r>
    <x v="838"/>
    <x v="1"/>
    <x v="1"/>
    <x v="0"/>
    <s v=" Chang"/>
    <s v=" Mr."/>
    <s v="Chip"/>
    <s v="male"/>
    <x v="0"/>
    <x v="34"/>
    <x v="0"/>
    <s v="Adult"/>
    <n v="0"/>
    <n v="0"/>
    <x v="1"/>
    <x v="54"/>
    <x v="2"/>
    <x v="0"/>
  </r>
  <r>
    <x v="839"/>
    <x v="1"/>
    <x v="1"/>
    <x v="1"/>
    <s v=" Pierre"/>
    <s v=" Mr."/>
    <s v="Marechal"/>
    <s v="male"/>
    <x v="0"/>
    <x v="4"/>
    <x v="0"/>
    <s v="Adult"/>
    <n v="0"/>
    <n v="0"/>
    <x v="1"/>
    <x v="131"/>
    <x v="2"/>
    <x v="1"/>
  </r>
  <r>
    <x v="840"/>
    <x v="0"/>
    <x v="0"/>
    <x v="0"/>
    <s v=" Ilmari Rudolf"/>
    <s v=" Mr."/>
    <s v="Alhomaki"/>
    <s v="male"/>
    <x v="0"/>
    <x v="11"/>
    <x v="0"/>
    <s v="Adult"/>
    <n v="0"/>
    <n v="0"/>
    <x v="1"/>
    <x v="2"/>
    <x v="2"/>
    <x v="0"/>
  </r>
  <r>
    <x v="841"/>
    <x v="0"/>
    <x v="0"/>
    <x v="2"/>
    <s v=" Thomas Charles"/>
    <s v=" Mr."/>
    <s v="Mudd"/>
    <s v="male"/>
    <x v="0"/>
    <x v="35"/>
    <x v="2"/>
    <s v="Teen"/>
    <n v="0"/>
    <n v="0"/>
    <x v="1"/>
    <x v="29"/>
    <x v="2"/>
    <x v="0"/>
  </r>
  <r>
    <x v="842"/>
    <x v="1"/>
    <x v="1"/>
    <x v="1"/>
    <s v=" Augusta"/>
    <s v=" Miss."/>
    <s v="Serepeca"/>
    <s v="female"/>
    <x v="1"/>
    <x v="38"/>
    <x v="0"/>
    <s v="Adult"/>
    <n v="0"/>
    <n v="0"/>
    <x v="1"/>
    <x v="112"/>
    <x v="2"/>
    <x v="1"/>
  </r>
  <r>
    <x v="843"/>
    <x v="0"/>
    <x v="0"/>
    <x v="0"/>
    <s v=" Peter L"/>
    <s v=" Mr."/>
    <s v="Lemberopolous"/>
    <s v="male"/>
    <x v="0"/>
    <x v="86"/>
    <x v="0"/>
    <s v="Adult"/>
    <n v="0"/>
    <n v="0"/>
    <x v="1"/>
    <x v="239"/>
    <x v="2"/>
    <x v="1"/>
  </r>
  <r>
    <x v="844"/>
    <x v="0"/>
    <x v="0"/>
    <x v="0"/>
    <s v=" Jeso"/>
    <s v=" Mr."/>
    <s v="Culumovic"/>
    <s v="male"/>
    <x v="0"/>
    <x v="33"/>
    <x v="2"/>
    <s v="Teen"/>
    <n v="0"/>
    <n v="0"/>
    <x v="1"/>
    <x v="51"/>
    <x v="2"/>
    <x v="0"/>
  </r>
  <r>
    <x v="845"/>
    <x v="0"/>
    <x v="0"/>
    <x v="0"/>
    <s v=" Anthony"/>
    <s v=" Mr."/>
    <s v="Abbing"/>
    <s v="male"/>
    <x v="0"/>
    <x v="21"/>
    <x v="0"/>
    <s v="Adult"/>
    <n v="0"/>
    <n v="0"/>
    <x v="1"/>
    <x v="119"/>
    <x v="2"/>
    <x v="0"/>
  </r>
  <r>
    <x v="846"/>
    <x v="0"/>
    <x v="0"/>
    <x v="0"/>
    <s v=" Douglas Bullen"/>
    <s v=" Mr."/>
    <s v="Sage"/>
    <s v="male"/>
    <x v="0"/>
    <x v="4"/>
    <x v="0"/>
    <s v="Adult"/>
    <n v="8"/>
    <n v="2"/>
    <x v="8"/>
    <x v="94"/>
    <x v="2"/>
    <x v="0"/>
  </r>
  <r>
    <x v="847"/>
    <x v="0"/>
    <x v="0"/>
    <x v="0"/>
    <s v=" Marin"/>
    <s v=" Mr."/>
    <s v="Markoff"/>
    <s v="male"/>
    <x v="0"/>
    <x v="3"/>
    <x v="0"/>
    <s v="Adult"/>
    <n v="0"/>
    <n v="0"/>
    <x v="1"/>
    <x v="25"/>
    <x v="2"/>
    <x v="1"/>
  </r>
  <r>
    <x v="848"/>
    <x v="0"/>
    <x v="0"/>
    <x v="2"/>
    <s v=" John"/>
    <s v=" Rev."/>
    <s v="Harper"/>
    <s v="male"/>
    <x v="0"/>
    <x v="4"/>
    <x v="0"/>
    <s v="Adult"/>
    <n v="0"/>
    <n v="1"/>
    <x v="0"/>
    <x v="212"/>
    <x v="2"/>
    <x v="0"/>
  </r>
  <r>
    <x v="849"/>
    <x v="1"/>
    <x v="1"/>
    <x v="1"/>
    <s v=" Samuel L "/>
    <s v=" Mrs."/>
    <s v="Goldenberg"/>
    <s v="female"/>
    <x v="1"/>
    <x v="4"/>
    <x v="0"/>
    <s v="Adult"/>
    <n v="1"/>
    <n v="0"/>
    <x v="0"/>
    <x v="179"/>
    <x v="2"/>
    <x v="1"/>
  </r>
  <r>
    <x v="850"/>
    <x v="0"/>
    <x v="0"/>
    <x v="0"/>
    <s v=" Sigvard Harald Elias"/>
    <s v=" Master."/>
    <s v="Andersson"/>
    <s v="male"/>
    <x v="0"/>
    <x v="9"/>
    <x v="1"/>
    <s v="Child"/>
    <n v="4"/>
    <n v="2"/>
    <x v="4"/>
    <x v="12"/>
    <x v="2"/>
    <x v="0"/>
  </r>
  <r>
    <x v="851"/>
    <x v="0"/>
    <x v="0"/>
    <x v="0"/>
    <s v=" Johan"/>
    <s v=" Mr."/>
    <s v="Svensson"/>
    <s v="male"/>
    <x v="0"/>
    <x v="87"/>
    <x v="3"/>
    <s v="Old Age"/>
    <n v="0"/>
    <n v="0"/>
    <x v="1"/>
    <x v="71"/>
    <x v="2"/>
    <x v="0"/>
  </r>
  <r>
    <x v="852"/>
    <x v="0"/>
    <x v="0"/>
    <x v="0"/>
    <s v=" Nourelain"/>
    <s v=" Miss."/>
    <s v="Boulos"/>
    <s v="female"/>
    <x v="1"/>
    <x v="51"/>
    <x v="1"/>
    <s v="Child"/>
    <n v="1"/>
    <n v="1"/>
    <x v="3"/>
    <x v="49"/>
    <x v="2"/>
    <x v="1"/>
  </r>
  <r>
    <x v="853"/>
    <x v="1"/>
    <x v="1"/>
    <x v="1"/>
    <s v=" Mary Conover"/>
    <s v=" Miss."/>
    <s v="Lines"/>
    <s v="female"/>
    <x v="1"/>
    <x v="35"/>
    <x v="2"/>
    <s v="Teen"/>
    <n v="0"/>
    <n v="1"/>
    <x v="0"/>
    <x v="240"/>
    <x v="2"/>
    <x v="0"/>
  </r>
  <r>
    <x v="854"/>
    <x v="0"/>
    <x v="0"/>
    <x v="2"/>
    <s v=" Ernest Courtenay "/>
    <s v=" Mrs."/>
    <s v="Carter"/>
    <s v="female"/>
    <x v="1"/>
    <x v="56"/>
    <x v="0"/>
    <s v="Adult"/>
    <n v="1"/>
    <n v="0"/>
    <x v="0"/>
    <x v="19"/>
    <x v="2"/>
    <x v="0"/>
  </r>
  <r>
    <x v="855"/>
    <x v="1"/>
    <x v="1"/>
    <x v="0"/>
    <s v=" Sam "/>
    <s v=" Mrs."/>
    <s v="Aks"/>
    <s v="female"/>
    <x v="1"/>
    <x v="23"/>
    <x v="0"/>
    <s v="Adult"/>
    <n v="0"/>
    <n v="1"/>
    <x v="0"/>
    <x v="117"/>
    <x v="2"/>
    <x v="0"/>
  </r>
  <r>
    <x v="856"/>
    <x v="1"/>
    <x v="1"/>
    <x v="1"/>
    <s v=" George Dennick "/>
    <s v=" Mrs."/>
    <s v="Wick"/>
    <s v="female"/>
    <x v="1"/>
    <x v="32"/>
    <x v="0"/>
    <s v="Adult"/>
    <n v="1"/>
    <n v="1"/>
    <x v="3"/>
    <x v="149"/>
    <x v="2"/>
    <x v="0"/>
  </r>
  <r>
    <x v="857"/>
    <x v="1"/>
    <x v="1"/>
    <x v="1"/>
    <s v=" Peter Denis "/>
    <s v=" Mr."/>
    <s v="Daly"/>
    <s v="male"/>
    <x v="0"/>
    <x v="53"/>
    <x v="0"/>
    <s v="Adult"/>
    <n v="0"/>
    <n v="0"/>
    <x v="1"/>
    <x v="11"/>
    <x v="2"/>
    <x v="0"/>
  </r>
  <r>
    <x v="858"/>
    <x v="1"/>
    <x v="1"/>
    <x v="0"/>
    <s v=" Solomon "/>
    <s v=" Mrs."/>
    <s v="Baclini"/>
    <s v="female"/>
    <x v="1"/>
    <x v="41"/>
    <x v="0"/>
    <s v="Adult"/>
    <n v="0"/>
    <n v="3"/>
    <x v="6"/>
    <x v="177"/>
    <x v="2"/>
    <x v="1"/>
  </r>
  <r>
    <x v="859"/>
    <x v="0"/>
    <x v="0"/>
    <x v="0"/>
    <s v=" Raihed"/>
    <s v=" Mr."/>
    <s v="Razi"/>
    <s v="male"/>
    <x v="0"/>
    <x v="4"/>
    <x v="0"/>
    <s v="Adult"/>
    <n v="0"/>
    <n v="0"/>
    <x v="1"/>
    <x v="32"/>
    <x v="2"/>
    <x v="1"/>
  </r>
  <r>
    <x v="860"/>
    <x v="0"/>
    <x v="0"/>
    <x v="0"/>
    <s v=" Claus Peter"/>
    <s v=" Mr."/>
    <s v="Hansen"/>
    <s v="male"/>
    <x v="0"/>
    <x v="65"/>
    <x v="0"/>
    <s v="Adult"/>
    <n v="2"/>
    <n v="0"/>
    <x v="3"/>
    <x v="241"/>
    <x v="2"/>
    <x v="0"/>
  </r>
  <r>
    <x v="861"/>
    <x v="0"/>
    <x v="0"/>
    <x v="2"/>
    <s v=" Frederick Edward"/>
    <s v=" Mr."/>
    <s v="Giles"/>
    <s v="male"/>
    <x v="0"/>
    <x v="22"/>
    <x v="0"/>
    <s v="Adult"/>
    <n v="1"/>
    <n v="0"/>
    <x v="0"/>
    <x v="86"/>
    <x v="2"/>
    <x v="0"/>
  </r>
  <r>
    <x v="862"/>
    <x v="1"/>
    <x v="1"/>
    <x v="1"/>
    <s v=" Frederick Joel "/>
    <s v=" Mrs."/>
    <s v="Swift"/>
    <s v="female"/>
    <x v="1"/>
    <x v="75"/>
    <x v="0"/>
    <s v="Adult"/>
    <n v="0"/>
    <n v="0"/>
    <x v="1"/>
    <x v="231"/>
    <x v="2"/>
    <x v="0"/>
  </r>
  <r>
    <x v="863"/>
    <x v="0"/>
    <x v="0"/>
    <x v="0"/>
    <s v=" Dorothy Edith &quot;Dolly&quot;"/>
    <s v=" Miss."/>
    <s v="Sage"/>
    <s v="female"/>
    <x v="1"/>
    <x v="4"/>
    <x v="0"/>
    <s v="Adult"/>
    <n v="8"/>
    <n v="2"/>
    <x v="8"/>
    <x v="94"/>
    <x v="2"/>
    <x v="0"/>
  </r>
  <r>
    <x v="864"/>
    <x v="0"/>
    <x v="0"/>
    <x v="2"/>
    <s v=" John William"/>
    <s v=" Mr."/>
    <s v="Gill"/>
    <s v="male"/>
    <x v="0"/>
    <x v="41"/>
    <x v="0"/>
    <s v="Adult"/>
    <n v="0"/>
    <n v="0"/>
    <x v="1"/>
    <x v="16"/>
    <x v="2"/>
    <x v="0"/>
  </r>
  <r>
    <x v="865"/>
    <x v="1"/>
    <x v="1"/>
    <x v="2"/>
    <s v=" "/>
    <s v=" Mrs."/>
    <s v="Bystrom"/>
    <s v="female"/>
    <x v="1"/>
    <x v="21"/>
    <x v="0"/>
    <s v="Adult"/>
    <n v="0"/>
    <n v="0"/>
    <x v="1"/>
    <x v="16"/>
    <x v="2"/>
    <x v="0"/>
  </r>
  <r>
    <x v="866"/>
    <x v="1"/>
    <x v="1"/>
    <x v="2"/>
    <s v=" Asuncion"/>
    <s v=" Miss."/>
    <s v="Duran y More"/>
    <s v="female"/>
    <x v="1"/>
    <x v="7"/>
    <x v="0"/>
    <s v="Adult"/>
    <n v="1"/>
    <n v="0"/>
    <x v="0"/>
    <x v="242"/>
    <x v="2"/>
    <x v="1"/>
  </r>
  <r>
    <x v="867"/>
    <x v="0"/>
    <x v="0"/>
    <x v="1"/>
    <s v=" Washington Augustus II"/>
    <s v=" Mr."/>
    <s v="Roebling"/>
    <s v="male"/>
    <x v="0"/>
    <x v="14"/>
    <x v="0"/>
    <s v="Adult"/>
    <n v="0"/>
    <n v="0"/>
    <x v="1"/>
    <x v="243"/>
    <x v="2"/>
    <x v="0"/>
  </r>
  <r>
    <x v="868"/>
    <x v="0"/>
    <x v="0"/>
    <x v="0"/>
    <s v=" Philemon"/>
    <s v=" Mr."/>
    <s v="van Melkebeke"/>
    <s v="male"/>
    <x v="0"/>
    <x v="4"/>
    <x v="0"/>
    <s v="Adult"/>
    <n v="0"/>
    <n v="0"/>
    <x v="1"/>
    <x v="59"/>
    <x v="2"/>
    <x v="0"/>
  </r>
  <r>
    <x v="869"/>
    <x v="1"/>
    <x v="1"/>
    <x v="0"/>
    <s v=" Harold Theodor"/>
    <s v=" Master."/>
    <s v="Johnson"/>
    <s v="male"/>
    <x v="0"/>
    <x v="9"/>
    <x v="1"/>
    <s v="Child"/>
    <n v="1"/>
    <n v="1"/>
    <x v="3"/>
    <x v="8"/>
    <x v="2"/>
    <x v="0"/>
  </r>
  <r>
    <x v="870"/>
    <x v="0"/>
    <x v="0"/>
    <x v="0"/>
    <s v=" Cerin"/>
    <s v=" Mr."/>
    <s v="Balkic"/>
    <s v="male"/>
    <x v="0"/>
    <x v="2"/>
    <x v="0"/>
    <s v="Adult"/>
    <n v="0"/>
    <n v="0"/>
    <x v="1"/>
    <x v="25"/>
    <x v="2"/>
    <x v="0"/>
  </r>
  <r>
    <x v="871"/>
    <x v="1"/>
    <x v="1"/>
    <x v="1"/>
    <s v=" Richard Leonard "/>
    <s v=" Mrs."/>
    <s v="Beckwith"/>
    <s v="female"/>
    <x v="1"/>
    <x v="46"/>
    <x v="0"/>
    <s v="Adult"/>
    <n v="1"/>
    <n v="1"/>
    <x v="3"/>
    <x v="123"/>
    <x v="2"/>
    <x v="0"/>
  </r>
  <r>
    <x v="872"/>
    <x v="0"/>
    <x v="0"/>
    <x v="1"/>
    <s v=" Frans Olof"/>
    <s v=" Mr."/>
    <s v="Carlsson"/>
    <s v="male"/>
    <x v="0"/>
    <x v="39"/>
    <x v="0"/>
    <s v="Adult"/>
    <n v="0"/>
    <n v="0"/>
    <x v="1"/>
    <x v="244"/>
    <x v="2"/>
    <x v="0"/>
  </r>
  <r>
    <x v="873"/>
    <x v="0"/>
    <x v="0"/>
    <x v="0"/>
    <s v=" Victor"/>
    <s v=" Mr."/>
    <s v="Vander Cruyssen"/>
    <s v="male"/>
    <x v="0"/>
    <x v="46"/>
    <x v="0"/>
    <s v="Adult"/>
    <n v="0"/>
    <n v="0"/>
    <x v="1"/>
    <x v="58"/>
    <x v="2"/>
    <x v="0"/>
  </r>
  <r>
    <x v="874"/>
    <x v="1"/>
    <x v="1"/>
    <x v="2"/>
    <s v=" Samuel "/>
    <s v=" Mrs."/>
    <s v="Abelson"/>
    <s v="female"/>
    <x v="1"/>
    <x v="4"/>
    <x v="0"/>
    <s v="Adult"/>
    <n v="1"/>
    <n v="0"/>
    <x v="0"/>
    <x v="144"/>
    <x v="2"/>
    <x v="1"/>
  </r>
  <r>
    <x v="875"/>
    <x v="1"/>
    <x v="1"/>
    <x v="0"/>
    <s v=" Adele Kiamie &quot;Jane&quot;"/>
    <s v=" Miss."/>
    <s v="Najib"/>
    <s v="female"/>
    <x v="1"/>
    <x v="16"/>
    <x v="2"/>
    <s v="Teen"/>
    <n v="0"/>
    <n v="0"/>
    <x v="1"/>
    <x v="18"/>
    <x v="2"/>
    <x v="1"/>
  </r>
  <r>
    <x v="876"/>
    <x v="0"/>
    <x v="0"/>
    <x v="0"/>
    <s v=" Alfred Ossian"/>
    <s v=" Mr."/>
    <s v="Gustafsson"/>
    <s v="male"/>
    <x v="0"/>
    <x v="11"/>
    <x v="0"/>
    <s v="Adult"/>
    <n v="0"/>
    <n v="0"/>
    <x v="1"/>
    <x v="245"/>
    <x v="2"/>
    <x v="0"/>
  </r>
  <r>
    <x v="877"/>
    <x v="0"/>
    <x v="0"/>
    <x v="0"/>
    <s v=" Nedelio"/>
    <s v=" Mr."/>
    <s v="Petroff"/>
    <s v="male"/>
    <x v="0"/>
    <x v="18"/>
    <x v="0"/>
    <s v="Adult"/>
    <n v="0"/>
    <n v="0"/>
    <x v="1"/>
    <x v="25"/>
    <x v="2"/>
    <x v="0"/>
  </r>
  <r>
    <x v="878"/>
    <x v="0"/>
    <x v="0"/>
    <x v="0"/>
    <s v=" Kristo"/>
    <s v=" Mr."/>
    <s v="Laleff"/>
    <s v="male"/>
    <x v="0"/>
    <x v="4"/>
    <x v="0"/>
    <s v="Adult"/>
    <n v="0"/>
    <n v="0"/>
    <x v="1"/>
    <x v="25"/>
    <x v="2"/>
    <x v="0"/>
  </r>
  <r>
    <x v="879"/>
    <x v="1"/>
    <x v="1"/>
    <x v="1"/>
    <s v=" Thomas Jr "/>
    <s v=" Mrs."/>
    <s v="Potter"/>
    <s v="female"/>
    <x v="1"/>
    <x v="59"/>
    <x v="0"/>
    <s v="Adult"/>
    <n v="0"/>
    <n v="1"/>
    <x v="0"/>
    <x v="146"/>
    <x v="2"/>
    <x v="1"/>
  </r>
  <r>
    <x v="880"/>
    <x v="1"/>
    <x v="1"/>
    <x v="2"/>
    <s v=" William "/>
    <s v=" Mrs."/>
    <s v="Shelley"/>
    <s v="female"/>
    <x v="1"/>
    <x v="36"/>
    <x v="0"/>
    <s v="Adult"/>
    <n v="0"/>
    <n v="1"/>
    <x v="0"/>
    <x v="19"/>
    <x v="2"/>
    <x v="0"/>
  </r>
  <r>
    <x v="881"/>
    <x v="0"/>
    <x v="0"/>
    <x v="0"/>
    <s v=" Johann"/>
    <s v=" Mr."/>
    <s v="Markun"/>
    <s v="male"/>
    <x v="0"/>
    <x v="39"/>
    <x v="0"/>
    <s v="Adult"/>
    <n v="0"/>
    <n v="0"/>
    <x v="1"/>
    <x v="25"/>
    <x v="2"/>
    <x v="0"/>
  </r>
  <r>
    <x v="882"/>
    <x v="0"/>
    <x v="0"/>
    <x v="0"/>
    <s v=" Gerda Ulrika"/>
    <s v=" Miss."/>
    <s v="Dahlberg"/>
    <s v="female"/>
    <x v="1"/>
    <x v="0"/>
    <x v="0"/>
    <s v="Adult"/>
    <n v="0"/>
    <n v="0"/>
    <x v="1"/>
    <x v="246"/>
    <x v="2"/>
    <x v="0"/>
  </r>
  <r>
    <x v="883"/>
    <x v="0"/>
    <x v="0"/>
    <x v="2"/>
    <s v=" Frederick James"/>
    <s v=" Mr."/>
    <s v="Banfield"/>
    <s v="male"/>
    <x v="0"/>
    <x v="4"/>
    <x v="0"/>
    <s v="Adult"/>
    <n v="0"/>
    <n v="0"/>
    <x v="1"/>
    <x v="29"/>
    <x v="2"/>
    <x v="0"/>
  </r>
  <r>
    <x v="884"/>
    <x v="0"/>
    <x v="0"/>
    <x v="0"/>
    <s v=" Henry Jr"/>
    <s v=" Mr."/>
    <s v="Sutehall"/>
    <s v="male"/>
    <x v="0"/>
    <x v="36"/>
    <x v="0"/>
    <s v="Adult"/>
    <n v="0"/>
    <n v="0"/>
    <x v="1"/>
    <x v="79"/>
    <x v="2"/>
    <x v="0"/>
  </r>
  <r>
    <x v="885"/>
    <x v="0"/>
    <x v="0"/>
    <x v="0"/>
    <s v=" William "/>
    <s v=" Mrs."/>
    <s v="Rice"/>
    <s v="female"/>
    <x v="1"/>
    <x v="12"/>
    <x v="0"/>
    <s v="Adult"/>
    <n v="0"/>
    <n v="5"/>
    <x v="5"/>
    <x v="15"/>
    <x v="2"/>
    <x v="2"/>
  </r>
  <r>
    <x v="886"/>
    <x v="0"/>
    <x v="0"/>
    <x v="2"/>
    <s v=" Juozas"/>
    <s v=" Rev."/>
    <s v="Montvila"/>
    <s v="male"/>
    <x v="0"/>
    <x v="7"/>
    <x v="0"/>
    <s v="Adult"/>
    <n v="0"/>
    <n v="0"/>
    <x v="1"/>
    <x v="16"/>
    <x v="2"/>
    <x v="0"/>
  </r>
  <r>
    <x v="887"/>
    <x v="1"/>
    <x v="1"/>
    <x v="1"/>
    <s v=" Margaret Edith"/>
    <s v=" Miss."/>
    <s v="Graham"/>
    <s v="female"/>
    <x v="1"/>
    <x v="18"/>
    <x v="0"/>
    <s v="Adult"/>
    <n v="0"/>
    <n v="0"/>
    <x v="1"/>
    <x v="208"/>
    <x v="2"/>
    <x v="0"/>
  </r>
  <r>
    <x v="888"/>
    <x v="0"/>
    <x v="0"/>
    <x v="0"/>
    <s v=" Catherine Helen &quot;Carrie&quot;"/>
    <s v=" Miss."/>
    <s v="Johnston"/>
    <s v="female"/>
    <x v="1"/>
    <x v="4"/>
    <x v="0"/>
    <s v="Adult"/>
    <n v="1"/>
    <n v="2"/>
    <x v="6"/>
    <x v="230"/>
    <x v="2"/>
    <x v="0"/>
  </r>
  <r>
    <x v="889"/>
    <x v="1"/>
    <x v="1"/>
    <x v="1"/>
    <s v=" Karl Howell"/>
    <s v=" Mr."/>
    <s v="Behr"/>
    <s v="male"/>
    <x v="0"/>
    <x v="2"/>
    <x v="0"/>
    <s v="Adult"/>
    <n v="0"/>
    <n v="0"/>
    <x v="1"/>
    <x v="208"/>
    <x v="2"/>
    <x v="1"/>
  </r>
  <r>
    <x v="890"/>
    <x v="0"/>
    <x v="0"/>
    <x v="0"/>
    <s v=" Patrick"/>
    <s v=" Mr."/>
    <s v="Dooley"/>
    <s v="male"/>
    <x v="0"/>
    <x v="34"/>
    <x v="0"/>
    <s v="Adult"/>
    <n v="0"/>
    <n v="0"/>
    <x v="1"/>
    <x v="28"/>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45544D-D938-4CC8-BD38-496785C9E7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1:B14" firstHeaderRow="1" firstDataRow="1" firstDataCol="1"/>
  <pivotFields count="18">
    <pivotField dataField="1" showAll="0"/>
    <pivotField showAll="0"/>
    <pivotField showAll="0"/>
    <pivotField showAll="0">
      <items count="4">
        <item x="1"/>
        <item x="2"/>
        <item x="0"/>
        <item t="default"/>
      </items>
    </pivotField>
    <pivotField showAll="0"/>
    <pivotField showAll="0"/>
    <pivotField showAll="0"/>
    <pivotField showAll="0"/>
    <pivotField axis="axisRow" showAll="0">
      <items count="3">
        <item x="1"/>
        <item x="0"/>
        <item t="default"/>
      </items>
    </pivotField>
    <pivotField showAll="0">
      <items count="89">
        <item x="85"/>
        <item x="83"/>
        <item x="76"/>
        <item x="37"/>
        <item x="69"/>
        <item x="57"/>
        <item x="6"/>
        <item x="24"/>
        <item x="9"/>
        <item x="30"/>
        <item x="82"/>
        <item x="25"/>
        <item x="17"/>
        <item x="51"/>
        <item x="72"/>
        <item x="31"/>
        <item x="50"/>
        <item x="74"/>
        <item x="8"/>
        <item x="47"/>
        <item x="16"/>
        <item x="35"/>
        <item x="33"/>
        <item x="23"/>
        <item x="18"/>
        <item x="11"/>
        <item x="63"/>
        <item x="22"/>
        <item x="0"/>
        <item x="40"/>
        <item x="68"/>
        <item x="41"/>
        <item x="81"/>
        <item x="36"/>
        <item x="2"/>
        <item x="7"/>
        <item x="4"/>
        <item x="29"/>
        <item x="27"/>
        <item x="38"/>
        <item x="84"/>
        <item x="14"/>
        <item x="34"/>
        <item x="49"/>
        <item x="39"/>
        <item x="15"/>
        <item x="86"/>
        <item x="3"/>
        <item x="61"/>
        <item x="52"/>
        <item x="45"/>
        <item x="1"/>
        <item x="12"/>
        <item x="19"/>
        <item x="55"/>
        <item x="65"/>
        <item x="21"/>
        <item x="70"/>
        <item x="56"/>
        <item x="32"/>
        <item x="62"/>
        <item x="42"/>
        <item x="46"/>
        <item x="75"/>
        <item x="26"/>
        <item x="60"/>
        <item x="53"/>
        <item x="66"/>
        <item x="77"/>
        <item x="5"/>
        <item x="13"/>
        <item x="54"/>
        <item x="59"/>
        <item x="78"/>
        <item x="10"/>
        <item x="43"/>
        <item x="71"/>
        <item x="58"/>
        <item x="64"/>
        <item x="67"/>
        <item x="73"/>
        <item x="28"/>
        <item x="20"/>
        <item x="80"/>
        <item x="48"/>
        <item x="44"/>
        <item x="87"/>
        <item x="79"/>
        <item t="default"/>
      </items>
    </pivotField>
    <pivotField showAll="0">
      <items count="5">
        <item x="0"/>
        <item x="1"/>
        <item x="3"/>
        <item x="2"/>
        <item t="default"/>
      </items>
    </pivotField>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s>
  <rowFields count="1">
    <field x="8"/>
  </rowFields>
  <rowItems count="3">
    <i>
      <x/>
    </i>
    <i>
      <x v="1"/>
    </i>
    <i t="grand">
      <x/>
    </i>
  </rowItems>
  <colItems count="1">
    <i/>
  </colItems>
  <dataFields count="1">
    <dataField name="Count of PassengerId" fld="0" subtotal="count" baseField="8"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2FE08-597F-4A05-8B87-C4746F54E9C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3:C57" firstHeaderRow="1" firstDataRow="1" firstDataCol="1"/>
  <pivotFields count="18">
    <pivotField showAll="0"/>
    <pivotField showAll="0"/>
    <pivotField dataField="1" showAll="0">
      <items count="3">
        <item x="0"/>
        <item x="1"/>
        <item t="default"/>
      </items>
    </pivotField>
    <pivotField axis="axisRow"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s>
  <rowFields count="1">
    <field x="3"/>
  </rowFields>
  <rowItems count="4">
    <i>
      <x/>
    </i>
    <i>
      <x v="1"/>
    </i>
    <i>
      <x v="2"/>
    </i>
    <i t="grand">
      <x/>
    </i>
  </rowItems>
  <colItems count="1">
    <i/>
  </colItems>
  <dataFields count="1">
    <dataField name="Count of New Survived" fld="2"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1BD74-5AEE-4B55-9C0F-EA18854156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Family size">
  <location ref="A27:B37" firstHeaderRow="1" firstDataRow="1" firstDataCol="1"/>
  <pivotFields count="18">
    <pivotField dataField="1" showAll="0"/>
    <pivotField showAll="0"/>
    <pivotField showAll="0"/>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axis="axisRow" showAll="0" sortType="descending">
      <items count="10">
        <item x="1"/>
        <item x="0"/>
        <item x="3"/>
        <item x="6"/>
        <item x="2"/>
        <item x="5"/>
        <item x="4"/>
        <item x="7"/>
        <item x="8"/>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4">
        <item x="1"/>
        <item x="2"/>
        <item x="0"/>
        <item t="default"/>
      </items>
    </pivotField>
  </pivotFields>
  <rowFields count="1">
    <field x="14"/>
  </rowFields>
  <rowItems count="10">
    <i>
      <x/>
    </i>
    <i>
      <x v="1"/>
    </i>
    <i>
      <x v="2"/>
    </i>
    <i>
      <x v="3"/>
    </i>
    <i>
      <x v="5"/>
    </i>
    <i>
      <x v="4"/>
    </i>
    <i>
      <x v="6"/>
    </i>
    <i>
      <x v="8"/>
    </i>
    <i>
      <x v="7"/>
    </i>
    <i t="grand">
      <x/>
    </i>
  </rowItems>
  <colItems count="1">
    <i/>
  </colItems>
  <dataFields count="1">
    <dataField name="Count of PassengerId" fld="0" subtotal="count" baseField="1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C81921-8877-47F9-9DF3-FBFFA4CC527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C47" firstHeaderRow="0" firstDataRow="1" firstDataCol="0"/>
  <pivotFields count="18">
    <pivotField showAll="0"/>
    <pivotField showAll="0"/>
    <pivotField showAll="0"/>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dataField="1" showAll="0">
      <items count="248">
        <item x="244"/>
        <item x="151"/>
        <item x="239"/>
        <item x="236"/>
        <item x="109"/>
        <item x="85"/>
        <item x="170"/>
        <item x="237"/>
        <item x="78"/>
        <item x="122"/>
        <item x="76"/>
        <item x="18"/>
        <item x="32"/>
        <item x="0"/>
        <item x="91"/>
        <item x="195"/>
        <item x="119"/>
        <item x="191"/>
        <item x="55"/>
        <item x="181"/>
        <item x="165"/>
        <item x="93"/>
        <item x="228"/>
        <item x="226"/>
        <item x="28"/>
        <item x="71"/>
        <item x="60"/>
        <item x="88"/>
        <item x="41"/>
        <item x="203"/>
        <item x="13"/>
        <item x="172"/>
        <item x="24"/>
        <item x="234"/>
        <item x="25"/>
        <item x="2"/>
        <item x="175"/>
        <item x="221"/>
        <item x="50"/>
        <item x="238"/>
        <item x="229"/>
        <item x="218"/>
        <item x="5"/>
        <item x="233"/>
        <item x="70"/>
        <item x="51"/>
        <item x="232"/>
        <item x="210"/>
        <item x="137"/>
        <item x="58"/>
        <item x="83"/>
        <item x="156"/>
        <item x="117"/>
        <item x="34"/>
        <item x="227"/>
        <item x="59"/>
        <item x="187"/>
        <item x="73"/>
        <item x="183"/>
        <item x="220"/>
        <item x="245"/>
        <item x="8"/>
        <item x="33"/>
        <item x="86"/>
        <item x="166"/>
        <item x="121"/>
        <item x="186"/>
        <item x="141"/>
        <item x="57"/>
        <item x="89"/>
        <item x="168"/>
        <item x="136"/>
        <item x="16"/>
        <item x="225"/>
        <item x="118"/>
        <item x="182"/>
        <item x="242"/>
        <item x="202"/>
        <item x="148"/>
        <item x="173"/>
        <item x="53"/>
        <item x="74"/>
        <item x="80"/>
        <item x="211"/>
        <item x="190"/>
        <item x="49"/>
        <item x="37"/>
        <item x="214"/>
        <item x="164"/>
        <item x="96"/>
        <item x="62"/>
        <item x="155"/>
        <item x="14"/>
        <item x="95"/>
        <item x="10"/>
        <item x="205"/>
        <item x="39"/>
        <item x="17"/>
        <item x="169"/>
        <item x="111"/>
        <item x="177"/>
        <item x="130"/>
        <item x="178"/>
        <item x="35"/>
        <item x="38"/>
        <item x="77"/>
        <item x="192"/>
        <item x="68"/>
        <item x="140"/>
        <item x="230"/>
        <item x="144"/>
        <item x="72"/>
        <item x="102"/>
        <item x="219"/>
        <item x="99"/>
        <item x="231"/>
        <item x="19"/>
        <item x="120"/>
        <item x="82"/>
        <item x="193"/>
        <item x="207"/>
        <item x="11"/>
        <item x="114"/>
        <item x="44"/>
        <item x="48"/>
        <item x="153"/>
        <item x="103"/>
        <item x="56"/>
        <item x="15"/>
        <item x="131"/>
        <item x="112"/>
        <item x="12"/>
        <item x="22"/>
        <item x="171"/>
        <item x="212"/>
        <item x="100"/>
        <item x="63"/>
        <item x="66"/>
        <item x="157"/>
        <item x="21"/>
        <item x="87"/>
        <item x="180"/>
        <item x="105"/>
        <item x="240"/>
        <item x="204"/>
        <item x="40"/>
        <item x="36"/>
        <item x="213"/>
        <item x="45"/>
        <item x="61"/>
        <item x="200"/>
        <item x="206"/>
        <item x="6"/>
        <item x="31"/>
        <item x="123"/>
        <item x="3"/>
        <item x="98"/>
        <item x="160"/>
        <item x="174"/>
        <item x="54"/>
        <item x="145"/>
        <item x="224"/>
        <item x="152"/>
        <item x="194"/>
        <item x="64"/>
        <item x="92"/>
        <item x="43"/>
        <item x="67"/>
        <item x="215"/>
        <item x="90"/>
        <item x="159"/>
        <item x="94"/>
        <item x="201"/>
        <item x="1"/>
        <item x="52"/>
        <item x="158"/>
        <item x="115"/>
        <item x="42"/>
        <item x="69"/>
        <item x="132"/>
        <item x="189"/>
        <item x="134"/>
        <item x="84"/>
        <item x="127"/>
        <item x="176"/>
        <item x="146"/>
        <item x="47"/>
        <item x="125"/>
        <item x="197"/>
        <item x="113"/>
        <item x="154"/>
        <item x="150"/>
        <item x="129"/>
        <item x="138"/>
        <item x="128"/>
        <item x="149"/>
        <item x="223"/>
        <item x="161"/>
        <item x="198"/>
        <item x="163"/>
        <item x="147"/>
        <item x="23"/>
        <item x="208"/>
        <item x="126"/>
        <item x="107"/>
        <item x="46"/>
        <item x="116"/>
        <item x="167"/>
        <item x="142"/>
        <item x="222"/>
        <item x="110"/>
        <item x="29"/>
        <item x="246"/>
        <item x="199"/>
        <item x="143"/>
        <item x="241"/>
        <item x="27"/>
        <item x="81"/>
        <item x="104"/>
        <item x="7"/>
        <item x="124"/>
        <item x="133"/>
        <item x="97"/>
        <item x="65"/>
        <item x="106"/>
        <item x="75"/>
        <item x="26"/>
        <item x="9"/>
        <item x="139"/>
        <item x="101"/>
        <item x="216"/>
        <item x="196"/>
        <item x="235"/>
        <item x="162"/>
        <item x="209"/>
        <item x="188"/>
        <item x="243"/>
        <item x="184"/>
        <item x="79"/>
        <item x="217"/>
        <item x="185"/>
        <item x="20"/>
        <item x="4"/>
        <item x="108"/>
        <item x="30"/>
        <item x="179"/>
        <item x="135"/>
        <item t="default"/>
      </items>
    </pivotField>
    <pivotField showAll="0">
      <items count="4">
        <item x="2"/>
        <item x="0"/>
        <item x="1"/>
        <item t="default"/>
      </items>
    </pivotField>
    <pivotField showAll="0">
      <items count="4">
        <item x="1"/>
        <item x="2"/>
        <item x="0"/>
        <item t="default"/>
      </items>
    </pivotField>
  </pivotFields>
  <rowItems count="1">
    <i/>
  </rowItems>
  <colFields count="1">
    <field x="-2"/>
  </colFields>
  <colItems count="3">
    <i>
      <x/>
    </i>
    <i i="1">
      <x v="1"/>
    </i>
    <i i="2">
      <x v="2"/>
    </i>
  </colItems>
  <dataFields count="3">
    <dataField name="Min of Fare" fld="15" subtotal="min" baseField="0" baseItem="1"/>
    <dataField name="Max of Fare2" fld="15" subtotal="max" baseField="0" baseItem="1"/>
    <dataField name="Average of Fare3" fld="1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BE22A5-1712-4ABA-9E35-65D4D9926A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A2" firstHeaderRow="1" firstDataRow="1" firstDataCol="0"/>
  <pivotFields count="18">
    <pivotField dataField="1" showAll="0">
      <items count="892">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t="default"/>
      </items>
    </pivotField>
    <pivotField showAll="0"/>
    <pivotField showAll="0"/>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s>
  <rowItems count="1">
    <i/>
  </rowItems>
  <colItems count="1">
    <i/>
  </colItems>
  <dataFields count="1">
    <dataField name="Count of Passeng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F0A309-869A-4231-8B63-119A0984D22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Fare Category">
  <location ref="A40:B44" firstHeaderRow="1" firstDataRow="1" firstDataCol="1"/>
  <pivotFields count="18">
    <pivotField dataField="1" showAll="0"/>
    <pivotField showAll="0"/>
    <pivotField showAll="0"/>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items count="248">
        <item x="244"/>
        <item x="151"/>
        <item x="239"/>
        <item x="236"/>
        <item x="109"/>
        <item x="85"/>
        <item x="170"/>
        <item x="237"/>
        <item x="78"/>
        <item x="122"/>
        <item x="76"/>
        <item x="18"/>
        <item x="32"/>
        <item x="0"/>
        <item x="91"/>
        <item x="195"/>
        <item x="119"/>
        <item x="191"/>
        <item x="55"/>
        <item x="181"/>
        <item x="165"/>
        <item x="93"/>
        <item x="228"/>
        <item x="226"/>
        <item x="28"/>
        <item x="71"/>
        <item x="60"/>
        <item x="88"/>
        <item x="41"/>
        <item x="203"/>
        <item x="13"/>
        <item x="172"/>
        <item x="24"/>
        <item x="234"/>
        <item x="25"/>
        <item x="2"/>
        <item x="175"/>
        <item x="221"/>
        <item x="50"/>
        <item x="238"/>
        <item x="229"/>
        <item x="218"/>
        <item x="5"/>
        <item x="233"/>
        <item x="70"/>
        <item x="51"/>
        <item x="232"/>
        <item x="210"/>
        <item x="137"/>
        <item x="58"/>
        <item x="83"/>
        <item x="156"/>
        <item x="117"/>
        <item x="34"/>
        <item x="227"/>
        <item x="59"/>
        <item x="187"/>
        <item x="73"/>
        <item x="183"/>
        <item x="220"/>
        <item x="245"/>
        <item x="8"/>
        <item x="33"/>
        <item x="86"/>
        <item x="166"/>
        <item x="121"/>
        <item x="186"/>
        <item x="141"/>
        <item x="57"/>
        <item x="89"/>
        <item x="168"/>
        <item x="136"/>
        <item x="16"/>
        <item x="225"/>
        <item x="118"/>
        <item x="182"/>
        <item x="242"/>
        <item x="202"/>
        <item x="148"/>
        <item x="173"/>
        <item x="53"/>
        <item x="74"/>
        <item x="80"/>
        <item x="211"/>
        <item x="190"/>
        <item x="49"/>
        <item x="37"/>
        <item x="214"/>
        <item x="164"/>
        <item x="96"/>
        <item x="62"/>
        <item x="155"/>
        <item x="14"/>
        <item x="95"/>
        <item x="10"/>
        <item x="205"/>
        <item x="39"/>
        <item x="17"/>
        <item x="169"/>
        <item x="111"/>
        <item x="177"/>
        <item x="130"/>
        <item x="178"/>
        <item x="35"/>
        <item x="38"/>
        <item x="77"/>
        <item x="192"/>
        <item x="68"/>
        <item x="140"/>
        <item x="230"/>
        <item x="144"/>
        <item x="72"/>
        <item x="102"/>
        <item x="219"/>
        <item x="99"/>
        <item x="231"/>
        <item x="19"/>
        <item x="120"/>
        <item x="82"/>
        <item x="193"/>
        <item x="207"/>
        <item x="11"/>
        <item x="114"/>
        <item x="44"/>
        <item x="48"/>
        <item x="153"/>
        <item x="103"/>
        <item x="56"/>
        <item x="15"/>
        <item x="131"/>
        <item x="112"/>
        <item x="12"/>
        <item x="22"/>
        <item x="171"/>
        <item x="212"/>
        <item x="100"/>
        <item x="63"/>
        <item x="66"/>
        <item x="157"/>
        <item x="21"/>
        <item x="87"/>
        <item x="180"/>
        <item x="105"/>
        <item x="240"/>
        <item x="204"/>
        <item x="40"/>
        <item x="36"/>
        <item x="213"/>
        <item x="45"/>
        <item x="61"/>
        <item x="200"/>
        <item x="206"/>
        <item x="6"/>
        <item x="31"/>
        <item x="123"/>
        <item x="3"/>
        <item x="98"/>
        <item x="160"/>
        <item x="174"/>
        <item x="54"/>
        <item x="145"/>
        <item x="224"/>
        <item x="152"/>
        <item x="194"/>
        <item x="64"/>
        <item x="92"/>
        <item x="43"/>
        <item x="67"/>
        <item x="215"/>
        <item x="90"/>
        <item x="159"/>
        <item x="94"/>
        <item x="201"/>
        <item x="1"/>
        <item x="52"/>
        <item x="158"/>
        <item x="115"/>
        <item x="42"/>
        <item x="69"/>
        <item x="132"/>
        <item x="189"/>
        <item x="134"/>
        <item x="84"/>
        <item x="127"/>
        <item x="176"/>
        <item x="146"/>
        <item x="47"/>
        <item x="125"/>
        <item x="197"/>
        <item x="113"/>
        <item x="154"/>
        <item x="150"/>
        <item x="129"/>
        <item x="138"/>
        <item x="128"/>
        <item x="149"/>
        <item x="223"/>
        <item x="161"/>
        <item x="198"/>
        <item x="163"/>
        <item x="147"/>
        <item x="23"/>
        <item x="208"/>
        <item x="126"/>
        <item x="107"/>
        <item x="46"/>
        <item x="116"/>
        <item x="167"/>
        <item x="142"/>
        <item x="222"/>
        <item x="110"/>
        <item x="29"/>
        <item x="246"/>
        <item x="199"/>
        <item x="143"/>
        <item x="241"/>
        <item x="27"/>
        <item x="81"/>
        <item x="104"/>
        <item x="7"/>
        <item x="124"/>
        <item x="133"/>
        <item x="97"/>
        <item x="65"/>
        <item x="106"/>
        <item x="75"/>
        <item x="26"/>
        <item x="9"/>
        <item x="139"/>
        <item x="101"/>
        <item x="216"/>
        <item x="196"/>
        <item x="235"/>
        <item x="162"/>
        <item x="209"/>
        <item x="188"/>
        <item x="243"/>
        <item x="184"/>
        <item x="79"/>
        <item x="217"/>
        <item x="185"/>
        <item x="20"/>
        <item x="4"/>
        <item x="108"/>
        <item x="30"/>
        <item x="179"/>
        <item x="135"/>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16"/>
  </rowFields>
  <rowItems count="4">
    <i>
      <x v="1"/>
    </i>
    <i>
      <x/>
    </i>
    <i>
      <x v="2"/>
    </i>
    <i t="grand">
      <x/>
    </i>
  </rowItems>
  <colItems count="1">
    <i/>
  </colItems>
  <dataFields count="1">
    <dataField name="Count of PassengerId" fld="0" subtotal="count" baseField="16" baseItem="0"/>
  </dataFields>
  <chartFormats count="4">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6CC5BA-44AE-4A9D-93F7-719342296D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8" firstHeaderRow="1" firstDataRow="1" firstDataCol="1"/>
  <pivotFields count="18">
    <pivotField dataField="1" showAll="0"/>
    <pivotField showAll="0"/>
    <pivotField axis="axisRow" showAll="0">
      <items count="3">
        <item x="0"/>
        <item x="1"/>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2"/>
        <item x="0"/>
        <item x="1"/>
        <item t="default"/>
      </items>
    </pivotField>
    <pivotField showAll="0">
      <items count="4">
        <item x="1"/>
        <item x="2"/>
        <item x="0"/>
        <item t="default"/>
      </items>
    </pivotField>
  </pivotFields>
  <rowFields count="1">
    <field x="2"/>
  </rowFields>
  <rowItems count="3">
    <i>
      <x/>
    </i>
    <i>
      <x v="1"/>
    </i>
    <i t="grand">
      <x/>
    </i>
  </rowItems>
  <colItems count="1">
    <i/>
  </colItems>
  <dataFields count="1">
    <dataField name="Count of PassengerId" fld="0" subtotal="count"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D4EB8B-2636-4A3D-8C85-5212A65933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B24" firstHeaderRow="1" firstDataRow="1" firstDataCol="1"/>
  <pivotFields count="18">
    <pivotField dataField="1" showAll="0"/>
    <pivotField showAll="0"/>
    <pivotField showAll="0"/>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5">
        <item x="0"/>
        <item x="1"/>
        <item x="3"/>
        <item x="2"/>
        <item t="default"/>
      </items>
    </pivotField>
    <pivotField showAll="0"/>
    <pivotField showAll="0"/>
    <pivotField showAll="0"/>
    <pivotField showAll="0"/>
    <pivotField showAll="0"/>
    <pivotField showAll="0">
      <items count="4">
        <item x="2"/>
        <item x="0"/>
        <item x="1"/>
        <item t="default"/>
      </items>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17"/>
  </rowFields>
  <rowItems count="4">
    <i>
      <x v="1"/>
    </i>
    <i>
      <x v="2"/>
    </i>
    <i>
      <x/>
    </i>
    <i t="grand">
      <x/>
    </i>
  </rowItems>
  <colItems count="1">
    <i/>
  </colItems>
  <dataFields count="1">
    <dataField name="Count of PassengerId" fld="0" subtotal="count" baseField="17" baseItem="0"/>
  </dataFields>
  <formats count="18">
    <format dxfId="17">
      <pivotArea collapsedLevelsAreSubtotals="1" fieldPosition="0">
        <references count="1">
          <reference field="17" count="0"/>
        </references>
      </pivotArea>
    </format>
    <format dxfId="16">
      <pivotArea field="17" type="button" dataOnly="0" labelOnly="1" outline="0" axis="axisRow" fieldPosition="0"/>
    </format>
    <format dxfId="15">
      <pivotArea dataOnly="0" labelOnly="1" fieldPosition="0">
        <references count="1">
          <reference field="17" count="0"/>
        </references>
      </pivotArea>
    </format>
    <format dxfId="14">
      <pivotArea dataOnly="0" labelOnly="1" outline="0" axis="axisValues" fieldPosition="0"/>
    </format>
    <format dxfId="13">
      <pivotArea collapsedLevelsAreSubtotals="1" fieldPosition="0">
        <references count="1">
          <reference field="17" count="0"/>
        </references>
      </pivotArea>
    </format>
    <format dxfId="12">
      <pivotArea field="17" type="button" dataOnly="0" labelOnly="1" outline="0" axis="axisRow" fieldPosition="0"/>
    </format>
    <format dxfId="11">
      <pivotArea dataOnly="0" labelOnly="1" outline="0" axis="axisValues" fieldPosition="0"/>
    </format>
    <format dxfId="10">
      <pivotArea dataOnly="0" labelOnly="1" fieldPosition="0">
        <references count="1">
          <reference field="17" count="0"/>
        </references>
      </pivotArea>
    </format>
    <format dxfId="9">
      <pivotArea dataOnly="0" labelOnly="1" outline="0" axis="axisValues" fieldPosition="0"/>
    </format>
    <format dxfId="8">
      <pivotArea collapsedLevelsAreSubtotals="1" fieldPosition="0">
        <references count="1">
          <reference field="17" count="0"/>
        </references>
      </pivotArea>
    </format>
    <format dxfId="7">
      <pivotArea field="17" type="button" dataOnly="0" labelOnly="1" outline="0" axis="axisRow" fieldPosition="0"/>
    </format>
    <format dxfId="6">
      <pivotArea dataOnly="0" labelOnly="1" outline="0" axis="axisValues" fieldPosition="0"/>
    </format>
    <format dxfId="5">
      <pivotArea dataOnly="0" labelOnly="1" fieldPosition="0">
        <references count="1">
          <reference field="17" count="0"/>
        </references>
      </pivotArea>
    </format>
    <format dxfId="4">
      <pivotArea dataOnly="0" labelOnly="1" outline="0" axis="axisValues" fieldPosition="0"/>
    </format>
    <format dxfId="3">
      <pivotArea collapsedLevelsAreSubtotals="1" fieldPosition="0">
        <references count="1">
          <reference field="17" count="0"/>
        </references>
      </pivotArea>
    </format>
    <format dxfId="2">
      <pivotArea field="17" type="button" dataOnly="0" labelOnly="1" outline="0" axis="axisRow" fieldPosition="0"/>
    </format>
    <format dxfId="1">
      <pivotArea dataOnly="0" labelOnly="1" fieldPosition="0">
        <references count="1">
          <reference field="17" count="0"/>
        </references>
      </pivotArea>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A877F0-7160-4466-85D8-9637CE5FCA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18" firstHeaderRow="0" firstDataRow="1" firstDataCol="0"/>
  <pivotFields count="18">
    <pivotField showAll="0"/>
    <pivotField showAll="0"/>
    <pivotField showAll="0"/>
    <pivotField showAll="0">
      <items count="4">
        <item x="1"/>
        <item x="2"/>
        <item x="0"/>
        <item t="default"/>
      </items>
    </pivotField>
    <pivotField showAll="0"/>
    <pivotField showAll="0"/>
    <pivotField showAll="0"/>
    <pivotField showAll="0"/>
    <pivotField showAll="0">
      <items count="3">
        <item x="1"/>
        <item x="0"/>
        <item t="default"/>
      </items>
    </pivotField>
    <pivotField dataField="1" showAll="0"/>
    <pivotField showAll="0">
      <items count="5">
        <item x="0"/>
        <item x="1"/>
        <item x="3"/>
        <item x="2"/>
        <item t="default"/>
      </items>
    </pivotField>
    <pivotField showAll="0"/>
    <pivotField showAll="0"/>
    <pivotField showAll="0"/>
    <pivotField showAll="0"/>
    <pivotField showAll="0">
      <items count="248">
        <item x="244"/>
        <item x="151"/>
        <item x="239"/>
        <item x="236"/>
        <item x="109"/>
        <item x="85"/>
        <item x="170"/>
        <item x="237"/>
        <item x="78"/>
        <item x="122"/>
        <item x="76"/>
        <item x="18"/>
        <item x="32"/>
        <item x="0"/>
        <item x="91"/>
        <item x="195"/>
        <item x="119"/>
        <item x="191"/>
        <item x="55"/>
        <item x="181"/>
        <item x="165"/>
        <item x="93"/>
        <item x="228"/>
        <item x="226"/>
        <item x="28"/>
        <item x="71"/>
        <item x="60"/>
        <item x="88"/>
        <item x="41"/>
        <item x="203"/>
        <item x="13"/>
        <item x="172"/>
        <item x="24"/>
        <item x="234"/>
        <item x="25"/>
        <item x="2"/>
        <item x="175"/>
        <item x="221"/>
        <item x="50"/>
        <item x="238"/>
        <item x="229"/>
        <item x="218"/>
        <item x="5"/>
        <item x="233"/>
        <item x="70"/>
        <item x="51"/>
        <item x="232"/>
        <item x="210"/>
        <item x="137"/>
        <item x="58"/>
        <item x="83"/>
        <item x="156"/>
        <item x="117"/>
        <item x="34"/>
        <item x="227"/>
        <item x="59"/>
        <item x="187"/>
        <item x="73"/>
        <item x="183"/>
        <item x="220"/>
        <item x="245"/>
        <item x="8"/>
        <item x="33"/>
        <item x="86"/>
        <item x="166"/>
        <item x="121"/>
        <item x="186"/>
        <item x="141"/>
        <item x="57"/>
        <item x="89"/>
        <item x="168"/>
        <item x="136"/>
        <item x="16"/>
        <item x="225"/>
        <item x="118"/>
        <item x="182"/>
        <item x="242"/>
        <item x="202"/>
        <item x="148"/>
        <item x="173"/>
        <item x="53"/>
        <item x="74"/>
        <item x="80"/>
        <item x="211"/>
        <item x="190"/>
        <item x="49"/>
        <item x="37"/>
        <item x="214"/>
        <item x="164"/>
        <item x="96"/>
        <item x="62"/>
        <item x="155"/>
        <item x="14"/>
        <item x="95"/>
        <item x="10"/>
        <item x="205"/>
        <item x="39"/>
        <item x="17"/>
        <item x="169"/>
        <item x="111"/>
        <item x="177"/>
        <item x="130"/>
        <item x="178"/>
        <item x="35"/>
        <item x="38"/>
        <item x="77"/>
        <item x="192"/>
        <item x="68"/>
        <item x="140"/>
        <item x="230"/>
        <item x="144"/>
        <item x="72"/>
        <item x="102"/>
        <item x="219"/>
        <item x="99"/>
        <item x="231"/>
        <item x="19"/>
        <item x="120"/>
        <item x="82"/>
        <item x="193"/>
        <item x="207"/>
        <item x="11"/>
        <item x="114"/>
        <item x="44"/>
        <item x="48"/>
        <item x="153"/>
        <item x="103"/>
        <item x="56"/>
        <item x="15"/>
        <item x="131"/>
        <item x="112"/>
        <item x="12"/>
        <item x="22"/>
        <item x="171"/>
        <item x="212"/>
        <item x="100"/>
        <item x="63"/>
        <item x="66"/>
        <item x="157"/>
        <item x="21"/>
        <item x="87"/>
        <item x="180"/>
        <item x="105"/>
        <item x="240"/>
        <item x="204"/>
        <item x="40"/>
        <item x="36"/>
        <item x="213"/>
        <item x="45"/>
        <item x="61"/>
        <item x="200"/>
        <item x="206"/>
        <item x="6"/>
        <item x="31"/>
        <item x="123"/>
        <item x="3"/>
        <item x="98"/>
        <item x="160"/>
        <item x="174"/>
        <item x="54"/>
        <item x="145"/>
        <item x="224"/>
        <item x="152"/>
        <item x="194"/>
        <item x="64"/>
        <item x="92"/>
        <item x="43"/>
        <item x="67"/>
        <item x="215"/>
        <item x="90"/>
        <item x="159"/>
        <item x="94"/>
        <item x="201"/>
        <item x="1"/>
        <item x="52"/>
        <item x="158"/>
        <item x="115"/>
        <item x="42"/>
        <item x="69"/>
        <item x="132"/>
        <item x="189"/>
        <item x="134"/>
        <item x="84"/>
        <item x="127"/>
        <item x="176"/>
        <item x="146"/>
        <item x="47"/>
        <item x="125"/>
        <item x="197"/>
        <item x="113"/>
        <item x="154"/>
        <item x="150"/>
        <item x="129"/>
        <item x="138"/>
        <item x="128"/>
        <item x="149"/>
        <item x="223"/>
        <item x="161"/>
        <item x="198"/>
        <item x="163"/>
        <item x="147"/>
        <item x="23"/>
        <item x="208"/>
        <item x="126"/>
        <item x="107"/>
        <item x="46"/>
        <item x="116"/>
        <item x="167"/>
        <item x="142"/>
        <item x="222"/>
        <item x="110"/>
        <item x="29"/>
        <item x="246"/>
        <item x="199"/>
        <item x="143"/>
        <item x="241"/>
        <item x="27"/>
        <item x="81"/>
        <item x="104"/>
        <item x="7"/>
        <item x="124"/>
        <item x="133"/>
        <item x="97"/>
        <item x="65"/>
        <item x="106"/>
        <item x="75"/>
        <item x="26"/>
        <item x="9"/>
        <item x="139"/>
        <item x="101"/>
        <item x="216"/>
        <item x="196"/>
        <item x="235"/>
        <item x="162"/>
        <item x="209"/>
        <item x="188"/>
        <item x="243"/>
        <item x="184"/>
        <item x="79"/>
        <item x="217"/>
        <item x="185"/>
        <item x="20"/>
        <item x="4"/>
        <item x="108"/>
        <item x="30"/>
        <item x="179"/>
        <item x="135"/>
        <item t="default"/>
      </items>
    </pivotField>
    <pivotField showAll="0">
      <items count="4">
        <item x="2"/>
        <item x="0"/>
        <item x="1"/>
        <item t="default"/>
      </items>
    </pivotField>
    <pivotField showAll="0">
      <items count="4">
        <item x="1"/>
        <item x="2"/>
        <item x="0"/>
        <item t="default"/>
      </items>
    </pivotField>
  </pivotFields>
  <rowItems count="1">
    <i/>
  </rowItems>
  <colFields count="1">
    <field x="-2"/>
  </colFields>
  <colItems count="3">
    <i>
      <x/>
    </i>
    <i i="1">
      <x v="1"/>
    </i>
    <i i="2">
      <x v="2"/>
    </i>
  </colItems>
  <dataFields count="3">
    <dataField name="Max of Age2" fld="9" subtotal="max" baseField="0" baseItem="1"/>
    <dataField name="Average of Age3" fld="9" subtotal="average" baseField="0" baseItem="1"/>
    <dataField name="Min of Age" fld="9"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E0F9C8F-70A3-46A5-AEC4-83E490C75402}" sourceName="Age Group">
  <pivotTables>
    <pivotTable tabId="3" name="PivotTable3"/>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s>
  <data>
    <tabular pivotCacheId="57251949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ED61E1C3-9A1E-421F-B90E-32B145BAD553}" sourceName="Embarked">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s>
  <data>
    <tabular pivotCacheId="57251949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Category" xr10:uid="{B2B5605B-2BCE-4A16-822E-E1868B165811}" sourceName="Fare Category">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s>
  <data>
    <tabular pivotCacheId="57251949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0E20D51A-E1E4-484F-9591-311CE5E9EDF3}" sourceName="Pclass">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572519490">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25CEB9-B457-4C35-AFD5-AB24A284E218}" sourceName="Gender">
  <pivotTables>
    <pivotTable tabId="3" name="PivotTable3"/>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s>
  <data>
    <tabular pivotCacheId="5725194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re Category" xr10:uid="{1D880262-8323-45EE-8036-A42D3814CA56}" cache="Slicer_Fare_Category" caption="Fare Category" rowHeight="241300"/>
  <slicer name="Pclass" xr10:uid="{63687BF2-9BBC-497C-9F7B-20DEAAFCD147}" cache="Slicer_Pclass" caption="Pclass" rowHeight="241300"/>
  <slicer name="Gender" xr10:uid="{A7381D0C-AA93-40F4-8868-A960154DF3BF}"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EB4D7E11-151F-4AEF-A232-D058833F5619}" cache="Slicer_Age_Group" caption="Age Group" style="SlicerStyleDark6" rowHeight="241300"/>
  <slicer name="Embarked 1" xr10:uid="{8181686A-49DF-4CAF-B5F3-6AE385F7D51F}" cache="Slicer_Embarked" caption="Embarked" style="SlicerStyleDark6" rowHeight="241300"/>
  <slicer name="Fare Category 1" xr10:uid="{2A29A087-AA64-42E7-8082-F8EB3891021C}" cache="Slicer_Fare_Category" caption="Fare Category" style="SlicerStyleLight6" rowHeight="241300"/>
  <slicer name="Pclass 1" xr10:uid="{72E9F3DA-1996-423C-8AFE-D46CF5346E73}" cache="Slicer_Pclass" caption="Pclass" style="SlicerStyleLight6" rowHeight="241300"/>
  <slicer name="Gender 1" xr10:uid="{AE3DC435-DA43-43EA-AB9D-816D3322CC1B}" cache="Slicer_Gender" caption="Gender"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EF2AD-52CD-4395-ACB5-1CF2D24B002C}">
  <dimension ref="A1:R892"/>
  <sheetViews>
    <sheetView topLeftCell="F1" zoomScale="109" zoomScaleNormal="133" workbookViewId="0">
      <pane ySplit="1" topLeftCell="A2" activePane="bottomLeft" state="frozen"/>
      <selection pane="bottomLeft" activeCell="Q2" sqref="A1:R892"/>
    </sheetView>
  </sheetViews>
  <sheetFormatPr defaultRowHeight="14.25" x14ac:dyDescent="0.45"/>
  <cols>
    <col min="3" max="3" width="19.59765625" customWidth="1"/>
    <col min="5" max="5" width="66.265625" bestFit="1" customWidth="1"/>
    <col min="6" max="6" width="19.59765625" customWidth="1"/>
    <col min="7" max="7" width="18.59765625" customWidth="1"/>
    <col min="10" max="10" width="6.46484375" customWidth="1"/>
    <col min="11" max="12" width="11.86328125" customWidth="1"/>
    <col min="15" max="15" width="13.6640625" customWidth="1"/>
    <col min="16" max="16" width="13.3984375" customWidth="1"/>
    <col min="17" max="17" width="20.33203125" customWidth="1"/>
    <col min="18" max="18" width="15.796875" customWidth="1"/>
  </cols>
  <sheetData>
    <row r="1" spans="1:18" s="1" customFormat="1" x14ac:dyDescent="0.45">
      <c r="A1" s="1" t="s">
        <v>0</v>
      </c>
      <c r="B1" s="1" t="s">
        <v>1</v>
      </c>
      <c r="C1" s="1" t="s">
        <v>11</v>
      </c>
      <c r="D1" s="1" t="s">
        <v>2</v>
      </c>
      <c r="E1" s="1" t="s">
        <v>53</v>
      </c>
      <c r="F1" s="1" t="s">
        <v>52</v>
      </c>
      <c r="G1" s="1" t="s">
        <v>54</v>
      </c>
      <c r="H1" s="1" t="s">
        <v>3</v>
      </c>
      <c r="I1" s="1" t="s">
        <v>51</v>
      </c>
      <c r="J1" s="1" t="s">
        <v>4</v>
      </c>
      <c r="K1" s="1" t="s">
        <v>1513</v>
      </c>
      <c r="L1" s="1" t="s">
        <v>1518</v>
      </c>
      <c r="M1" s="1" t="s">
        <v>5</v>
      </c>
      <c r="N1" s="1" t="s">
        <v>6</v>
      </c>
      <c r="O1" s="1" t="s">
        <v>1512</v>
      </c>
      <c r="P1" s="1" t="s">
        <v>7</v>
      </c>
      <c r="Q1" s="1" t="s">
        <v>1517</v>
      </c>
      <c r="R1" s="1" t="s">
        <v>8</v>
      </c>
    </row>
    <row r="2" spans="1:18" x14ac:dyDescent="0.45">
      <c r="A2">
        <v>1</v>
      </c>
      <c r="B2">
        <v>0</v>
      </c>
      <c r="C2" t="str">
        <f>IF(B2 = 0, "Not Survived","Survived")</f>
        <v>Not Survived</v>
      </c>
      <c r="D2">
        <v>3</v>
      </c>
      <c r="E2" t="s">
        <v>739</v>
      </c>
      <c r="F2" t="s">
        <v>722</v>
      </c>
      <c r="G2" t="s">
        <v>55</v>
      </c>
      <c r="H2" t="s">
        <v>9</v>
      </c>
      <c r="I2" t="str">
        <f>PROPER(H2)</f>
        <v>Male</v>
      </c>
      <c r="J2">
        <v>22</v>
      </c>
      <c r="K2" t="str">
        <f>IF(J2&lt;13,"Child",IF(J2&lt;18,"Teen",IF(J2&lt;60,"Adult","Old Age")))</f>
        <v>Adult</v>
      </c>
      <c r="L2" t="str" cm="1">
        <f t="array" ref="L2">_xlfn.IFS(J2&lt;13,"Child",J2&lt;18,"Teen",J2&lt;60,"Adult",J2&gt;60,"Old Age")</f>
        <v>Adult</v>
      </c>
      <c r="M2">
        <v>1</v>
      </c>
      <c r="N2">
        <v>0</v>
      </c>
      <c r="O2">
        <f>M2+N2+1</f>
        <v>2</v>
      </c>
      <c r="P2">
        <v>7.25</v>
      </c>
      <c r="Q2" t="str">
        <f>IF(A2&lt;10,"Low",IF(A2&lt;50,"Medium","High"))</f>
        <v>Low</v>
      </c>
      <c r="R2" t="s">
        <v>1514</v>
      </c>
    </row>
    <row r="3" spans="1:18" x14ac:dyDescent="0.45">
      <c r="A3">
        <v>2</v>
      </c>
      <c r="B3">
        <v>1</v>
      </c>
      <c r="C3" t="str">
        <f t="shared" ref="C3:C66" si="0">IF(B3 = 0, "Not Survived","Survived")</f>
        <v>Survived</v>
      </c>
      <c r="D3">
        <v>1</v>
      </c>
      <c r="E3" t="s">
        <v>740</v>
      </c>
      <c r="F3" t="s">
        <v>723</v>
      </c>
      <c r="G3" t="s">
        <v>56</v>
      </c>
      <c r="H3" t="s">
        <v>10</v>
      </c>
      <c r="I3" t="str">
        <f t="shared" ref="I3:I66" si="1">PROPER(H3)</f>
        <v>Female</v>
      </c>
      <c r="J3">
        <v>38</v>
      </c>
      <c r="K3" t="str">
        <f t="shared" ref="K3:K66" si="2">IF(J3&lt;13,"Child",IF(J3&lt;18,"Teen",IF(J3&lt;60,"Adult","Old Age")))</f>
        <v>Adult</v>
      </c>
      <c r="L3" t="str" cm="1">
        <f t="array" ref="L3">_xlfn.IFS(J3&lt;13,"Child",J3&lt;18,"Teen",J3&lt;60,"Adult",J3&gt;60,"Old Age")</f>
        <v>Adult</v>
      </c>
      <c r="M3">
        <v>1</v>
      </c>
      <c r="N3">
        <v>0</v>
      </c>
      <c r="O3">
        <f t="shared" ref="O3:O66" si="3">M3+N3+1</f>
        <v>2</v>
      </c>
      <c r="P3">
        <v>71.283299999999997</v>
      </c>
      <c r="Q3" t="str">
        <f t="shared" ref="Q3:Q65" si="4">IF(A3&lt;=10,"Low",IF(A3&lt;=50,"Medium","High"))</f>
        <v>Low</v>
      </c>
      <c r="R3" t="s">
        <v>1515</v>
      </c>
    </row>
    <row r="4" spans="1:18" x14ac:dyDescent="0.45">
      <c r="A4">
        <v>3</v>
      </c>
      <c r="B4">
        <v>1</v>
      </c>
      <c r="C4" t="str">
        <f t="shared" si="0"/>
        <v>Survived</v>
      </c>
      <c r="D4">
        <v>3</v>
      </c>
      <c r="E4" t="s">
        <v>741</v>
      </c>
      <c r="F4" t="s">
        <v>724</v>
      </c>
      <c r="G4" t="s">
        <v>57</v>
      </c>
      <c r="H4" t="s">
        <v>10</v>
      </c>
      <c r="I4" t="str">
        <f t="shared" si="1"/>
        <v>Female</v>
      </c>
      <c r="J4">
        <v>26</v>
      </c>
      <c r="K4" t="str">
        <f t="shared" si="2"/>
        <v>Adult</v>
      </c>
      <c r="L4" t="str" cm="1">
        <f t="array" ref="L4">_xlfn.IFS(J4&lt;13,"Child",J4&lt;18,"Teen",J4&lt;60,"Adult",J4&gt;60,"Old Age")</f>
        <v>Adult</v>
      </c>
      <c r="M4">
        <v>0</v>
      </c>
      <c r="N4">
        <v>0</v>
      </c>
      <c r="O4">
        <f t="shared" si="3"/>
        <v>1</v>
      </c>
      <c r="P4">
        <v>7.9249999999999998</v>
      </c>
      <c r="Q4" t="str">
        <f t="shared" si="4"/>
        <v>Low</v>
      </c>
      <c r="R4" t="s">
        <v>1514</v>
      </c>
    </row>
    <row r="5" spans="1:18" x14ac:dyDescent="0.45">
      <c r="A5">
        <v>4</v>
      </c>
      <c r="B5">
        <v>1</v>
      </c>
      <c r="C5" t="str">
        <f t="shared" si="0"/>
        <v>Survived</v>
      </c>
      <c r="D5">
        <v>1</v>
      </c>
      <c r="E5" t="s">
        <v>742</v>
      </c>
      <c r="F5" t="s">
        <v>723</v>
      </c>
      <c r="G5" t="s">
        <v>58</v>
      </c>
      <c r="H5" t="s">
        <v>10</v>
      </c>
      <c r="I5" t="str">
        <f t="shared" si="1"/>
        <v>Female</v>
      </c>
      <c r="J5">
        <v>35</v>
      </c>
      <c r="K5" t="str">
        <f t="shared" si="2"/>
        <v>Adult</v>
      </c>
      <c r="L5" t="str" cm="1">
        <f t="array" ref="L5">_xlfn.IFS(J5&lt;13,"Child",J5&lt;18,"Teen",J5&lt;60,"Adult",J5&gt;60,"Old Age")</f>
        <v>Adult</v>
      </c>
      <c r="M5">
        <v>1</v>
      </c>
      <c r="N5">
        <v>0</v>
      </c>
      <c r="O5">
        <f t="shared" si="3"/>
        <v>2</v>
      </c>
      <c r="P5">
        <v>53.1</v>
      </c>
      <c r="Q5" t="str">
        <f t="shared" si="4"/>
        <v>Low</v>
      </c>
      <c r="R5" t="s">
        <v>1514</v>
      </c>
    </row>
    <row r="6" spans="1:18" x14ac:dyDescent="0.45">
      <c r="A6">
        <v>5</v>
      </c>
      <c r="B6">
        <v>0</v>
      </c>
      <c r="C6" t="str">
        <f t="shared" si="0"/>
        <v>Not Survived</v>
      </c>
      <c r="D6">
        <v>3</v>
      </c>
      <c r="E6" t="s">
        <v>743</v>
      </c>
      <c r="F6" t="s">
        <v>722</v>
      </c>
      <c r="G6" t="s">
        <v>59</v>
      </c>
      <c r="H6" t="s">
        <v>9</v>
      </c>
      <c r="I6" t="str">
        <f t="shared" si="1"/>
        <v>Male</v>
      </c>
      <c r="J6">
        <v>35</v>
      </c>
      <c r="K6" t="str">
        <f t="shared" si="2"/>
        <v>Adult</v>
      </c>
      <c r="L6" t="str" cm="1">
        <f t="array" ref="L6">_xlfn.IFS(J6&lt;13,"Child",J6&lt;18,"Teen",J6&lt;60,"Adult",J6&gt;60,"Old Age")</f>
        <v>Adult</v>
      </c>
      <c r="M6">
        <v>0</v>
      </c>
      <c r="N6">
        <v>0</v>
      </c>
      <c r="O6">
        <f t="shared" si="3"/>
        <v>1</v>
      </c>
      <c r="P6" t="s">
        <v>12</v>
      </c>
      <c r="Q6" t="str">
        <f t="shared" si="4"/>
        <v>Low</v>
      </c>
      <c r="R6" t="s">
        <v>1514</v>
      </c>
    </row>
    <row r="7" spans="1:18" x14ac:dyDescent="0.45">
      <c r="A7">
        <v>6</v>
      </c>
      <c r="B7">
        <v>0</v>
      </c>
      <c r="C7" t="str">
        <f t="shared" si="0"/>
        <v>Not Survived</v>
      </c>
      <c r="D7">
        <v>3</v>
      </c>
      <c r="E7" t="s">
        <v>744</v>
      </c>
      <c r="F7" t="s">
        <v>722</v>
      </c>
      <c r="G7" t="s">
        <v>60</v>
      </c>
      <c r="H7" t="s">
        <v>9</v>
      </c>
      <c r="I7" t="str">
        <f t="shared" si="1"/>
        <v>Male</v>
      </c>
      <c r="J7">
        <v>28</v>
      </c>
      <c r="K7" t="str">
        <f t="shared" si="2"/>
        <v>Adult</v>
      </c>
      <c r="L7" t="str" cm="1">
        <f t="array" ref="L7">_xlfn.IFS(J7&lt;13,"Child",J7&lt;18,"Teen",J7&lt;60,"Adult",J7&gt;60,"Old Age")</f>
        <v>Adult</v>
      </c>
      <c r="M7">
        <v>0</v>
      </c>
      <c r="N7">
        <v>0</v>
      </c>
      <c r="O7">
        <f t="shared" si="3"/>
        <v>1</v>
      </c>
      <c r="P7">
        <v>8.4582999999999995</v>
      </c>
      <c r="Q7" t="str">
        <f t="shared" si="4"/>
        <v>Low</v>
      </c>
      <c r="R7" t="s">
        <v>1516</v>
      </c>
    </row>
    <row r="8" spans="1:18" x14ac:dyDescent="0.45">
      <c r="A8">
        <v>7</v>
      </c>
      <c r="B8">
        <v>0</v>
      </c>
      <c r="C8" t="str">
        <f t="shared" si="0"/>
        <v>Not Survived</v>
      </c>
      <c r="D8">
        <v>1</v>
      </c>
      <c r="E8" t="s">
        <v>745</v>
      </c>
      <c r="F8" t="s">
        <v>722</v>
      </c>
      <c r="G8" t="s">
        <v>61</v>
      </c>
      <c r="H8" t="s">
        <v>9</v>
      </c>
      <c r="I8" t="str">
        <f t="shared" si="1"/>
        <v>Male</v>
      </c>
      <c r="J8">
        <v>54</v>
      </c>
      <c r="K8" t="str">
        <f t="shared" si="2"/>
        <v>Adult</v>
      </c>
      <c r="L8" t="str" cm="1">
        <f t="array" ref="L8">_xlfn.IFS(J8&lt;13,"Child",J8&lt;18,"Teen",J8&lt;60,"Adult",J8&gt;60,"Old Age")</f>
        <v>Adult</v>
      </c>
      <c r="M8">
        <v>0</v>
      </c>
      <c r="N8">
        <v>0</v>
      </c>
      <c r="O8">
        <f t="shared" si="3"/>
        <v>1</v>
      </c>
      <c r="P8">
        <v>51.862499999999997</v>
      </c>
      <c r="Q8" t="str">
        <f t="shared" si="4"/>
        <v>Low</v>
      </c>
      <c r="R8" t="s">
        <v>1514</v>
      </c>
    </row>
    <row r="9" spans="1:18" x14ac:dyDescent="0.45">
      <c r="A9">
        <v>8</v>
      </c>
      <c r="B9">
        <v>0</v>
      </c>
      <c r="C9" t="str">
        <f t="shared" si="0"/>
        <v>Not Survived</v>
      </c>
      <c r="D9">
        <v>3</v>
      </c>
      <c r="E9" t="s">
        <v>746</v>
      </c>
      <c r="F9" t="s">
        <v>725</v>
      </c>
      <c r="G9" t="s">
        <v>62</v>
      </c>
      <c r="H9" t="s">
        <v>9</v>
      </c>
      <c r="I9" t="str">
        <f t="shared" si="1"/>
        <v>Male</v>
      </c>
      <c r="J9">
        <v>2</v>
      </c>
      <c r="K9" t="str">
        <f t="shared" si="2"/>
        <v>Child</v>
      </c>
      <c r="L9" t="str" cm="1">
        <f t="array" ref="L9">_xlfn.IFS(J9&lt;13,"Child",J9&lt;18,"Teen",J9&lt;60,"Adult",J9&gt;60,"Old Age")</f>
        <v>Child</v>
      </c>
      <c r="M9">
        <v>3</v>
      </c>
      <c r="N9">
        <v>1</v>
      </c>
      <c r="O9">
        <f t="shared" si="3"/>
        <v>5</v>
      </c>
      <c r="P9" t="s">
        <v>13</v>
      </c>
      <c r="Q9" t="str">
        <f t="shared" si="4"/>
        <v>Low</v>
      </c>
      <c r="R9" t="s">
        <v>1514</v>
      </c>
    </row>
    <row r="10" spans="1:18" x14ac:dyDescent="0.45">
      <c r="A10">
        <v>9</v>
      </c>
      <c r="B10">
        <v>1</v>
      </c>
      <c r="C10" t="str">
        <f t="shared" si="0"/>
        <v>Survived</v>
      </c>
      <c r="D10">
        <v>3</v>
      </c>
      <c r="E10" t="s">
        <v>747</v>
      </c>
      <c r="F10" t="s">
        <v>723</v>
      </c>
      <c r="G10" t="s">
        <v>63</v>
      </c>
      <c r="H10" t="s">
        <v>10</v>
      </c>
      <c r="I10" t="str">
        <f t="shared" si="1"/>
        <v>Female</v>
      </c>
      <c r="J10">
        <v>27</v>
      </c>
      <c r="K10" t="str">
        <f t="shared" si="2"/>
        <v>Adult</v>
      </c>
      <c r="L10" t="str" cm="1">
        <f t="array" ref="L10">_xlfn.IFS(J10&lt;13,"Child",J10&lt;18,"Teen",J10&lt;60,"Adult",J10&gt;60,"Old Age")</f>
        <v>Adult</v>
      </c>
      <c r="M10">
        <v>0</v>
      </c>
      <c r="N10">
        <v>2</v>
      </c>
      <c r="O10">
        <f t="shared" si="3"/>
        <v>3</v>
      </c>
      <c r="P10">
        <v>11.1333</v>
      </c>
      <c r="Q10" t="str">
        <f t="shared" si="4"/>
        <v>Low</v>
      </c>
      <c r="R10" t="s">
        <v>1514</v>
      </c>
    </row>
    <row r="11" spans="1:18" x14ac:dyDescent="0.45">
      <c r="A11">
        <v>10</v>
      </c>
      <c r="B11">
        <v>1</v>
      </c>
      <c r="C11" t="str">
        <f t="shared" si="0"/>
        <v>Survived</v>
      </c>
      <c r="D11">
        <v>2</v>
      </c>
      <c r="E11" t="s">
        <v>748</v>
      </c>
      <c r="F11" t="s">
        <v>723</v>
      </c>
      <c r="G11" t="s">
        <v>64</v>
      </c>
      <c r="H11" t="s">
        <v>10</v>
      </c>
      <c r="I11" t="str">
        <f t="shared" si="1"/>
        <v>Female</v>
      </c>
      <c r="J11">
        <v>14</v>
      </c>
      <c r="K11" t="str">
        <f t="shared" si="2"/>
        <v>Teen</v>
      </c>
      <c r="L11" t="str" cm="1">
        <f t="array" ref="L11">_xlfn.IFS(J11&lt;13,"Child",J11&lt;18,"Teen",J11&lt;60,"Adult",J11&gt;60,"Old Age")</f>
        <v>Teen</v>
      </c>
      <c r="M11">
        <v>1</v>
      </c>
      <c r="N11">
        <v>0</v>
      </c>
      <c r="O11">
        <f t="shared" si="3"/>
        <v>2</v>
      </c>
      <c r="P11" t="s">
        <v>14</v>
      </c>
      <c r="Q11" t="str">
        <f t="shared" si="4"/>
        <v>Low</v>
      </c>
      <c r="R11" t="s">
        <v>1515</v>
      </c>
    </row>
    <row r="12" spans="1:18" x14ac:dyDescent="0.45">
      <c r="A12">
        <v>11</v>
      </c>
      <c r="B12">
        <v>1</v>
      </c>
      <c r="C12" t="str">
        <f t="shared" si="0"/>
        <v>Survived</v>
      </c>
      <c r="D12">
        <v>3</v>
      </c>
      <c r="E12" t="s">
        <v>749</v>
      </c>
      <c r="F12" t="s">
        <v>724</v>
      </c>
      <c r="G12" t="s">
        <v>65</v>
      </c>
      <c r="H12" t="s">
        <v>10</v>
      </c>
      <c r="I12" t="str">
        <f t="shared" si="1"/>
        <v>Female</v>
      </c>
      <c r="J12">
        <v>4</v>
      </c>
      <c r="K12" t="str">
        <f t="shared" si="2"/>
        <v>Child</v>
      </c>
      <c r="L12" t="str" cm="1">
        <f t="array" ref="L12">_xlfn.IFS(J12&lt;13,"Child",J12&lt;18,"Teen",J12&lt;60,"Adult",J12&gt;60,"Old Age")</f>
        <v>Child</v>
      </c>
      <c r="M12">
        <v>1</v>
      </c>
      <c r="N12">
        <v>1</v>
      </c>
      <c r="O12">
        <f t="shared" si="3"/>
        <v>3</v>
      </c>
      <c r="P12">
        <v>16.7</v>
      </c>
      <c r="Q12" t="str">
        <f t="shared" si="4"/>
        <v>Medium</v>
      </c>
      <c r="R12" t="s">
        <v>1514</v>
      </c>
    </row>
    <row r="13" spans="1:18" x14ac:dyDescent="0.45">
      <c r="A13">
        <v>12</v>
      </c>
      <c r="B13">
        <v>1</v>
      </c>
      <c r="C13" t="str">
        <f t="shared" si="0"/>
        <v>Survived</v>
      </c>
      <c r="D13">
        <v>1</v>
      </c>
      <c r="E13" t="s">
        <v>750</v>
      </c>
      <c r="F13" t="s">
        <v>724</v>
      </c>
      <c r="G13" t="s">
        <v>66</v>
      </c>
      <c r="H13" t="s">
        <v>10</v>
      </c>
      <c r="I13" t="str">
        <f t="shared" si="1"/>
        <v>Female</v>
      </c>
      <c r="J13">
        <v>58</v>
      </c>
      <c r="K13" t="str">
        <f t="shared" si="2"/>
        <v>Adult</v>
      </c>
      <c r="L13" t="str" cm="1">
        <f t="array" ref="L13">_xlfn.IFS(J13&lt;13,"Child",J13&lt;18,"Teen",J13&lt;60,"Adult",J13&gt;60,"Old Age")</f>
        <v>Adult</v>
      </c>
      <c r="M13">
        <v>0</v>
      </c>
      <c r="N13">
        <v>0</v>
      </c>
      <c r="O13">
        <f t="shared" si="3"/>
        <v>1</v>
      </c>
      <c r="P13">
        <v>26.55</v>
      </c>
      <c r="Q13" t="str">
        <f t="shared" si="4"/>
        <v>Medium</v>
      </c>
      <c r="R13" t="s">
        <v>1514</v>
      </c>
    </row>
    <row r="14" spans="1:18" x14ac:dyDescent="0.45">
      <c r="A14">
        <v>13</v>
      </c>
      <c r="B14">
        <v>0</v>
      </c>
      <c r="C14" t="str">
        <f t="shared" si="0"/>
        <v>Not Survived</v>
      </c>
      <c r="D14">
        <v>3</v>
      </c>
      <c r="E14" t="s">
        <v>743</v>
      </c>
      <c r="F14" t="s">
        <v>722</v>
      </c>
      <c r="G14" t="s">
        <v>67</v>
      </c>
      <c r="H14" t="s">
        <v>9</v>
      </c>
      <c r="I14" t="str">
        <f t="shared" si="1"/>
        <v>Male</v>
      </c>
      <c r="J14">
        <v>20</v>
      </c>
      <c r="K14" t="str">
        <f t="shared" si="2"/>
        <v>Adult</v>
      </c>
      <c r="L14" t="str" cm="1">
        <f t="array" ref="L14">_xlfn.IFS(J14&lt;13,"Child",J14&lt;18,"Teen",J14&lt;60,"Adult",J14&gt;60,"Old Age")</f>
        <v>Adult</v>
      </c>
      <c r="M14">
        <v>0</v>
      </c>
      <c r="N14">
        <v>0</v>
      </c>
      <c r="O14">
        <f t="shared" si="3"/>
        <v>1</v>
      </c>
      <c r="P14" t="s">
        <v>12</v>
      </c>
      <c r="Q14" t="str">
        <f t="shared" si="4"/>
        <v>Medium</v>
      </c>
      <c r="R14" t="s">
        <v>1514</v>
      </c>
    </row>
    <row r="15" spans="1:18" x14ac:dyDescent="0.45">
      <c r="A15">
        <v>14</v>
      </c>
      <c r="B15">
        <v>0</v>
      </c>
      <c r="C15" t="str">
        <f t="shared" si="0"/>
        <v>Not Survived</v>
      </c>
      <c r="D15">
        <v>3</v>
      </c>
      <c r="E15" t="s">
        <v>751</v>
      </c>
      <c r="F15" t="s">
        <v>722</v>
      </c>
      <c r="G15" t="s">
        <v>68</v>
      </c>
      <c r="H15" t="s">
        <v>9</v>
      </c>
      <c r="I15" t="str">
        <f t="shared" si="1"/>
        <v>Male</v>
      </c>
      <c r="J15">
        <v>39</v>
      </c>
      <c r="K15" t="str">
        <f t="shared" si="2"/>
        <v>Adult</v>
      </c>
      <c r="L15" t="str" cm="1">
        <f t="array" ref="L15">_xlfn.IFS(J15&lt;13,"Child",J15&lt;18,"Teen",J15&lt;60,"Adult",J15&gt;60,"Old Age")</f>
        <v>Adult</v>
      </c>
      <c r="M15">
        <v>1</v>
      </c>
      <c r="N15">
        <v>5</v>
      </c>
      <c r="O15">
        <f t="shared" si="3"/>
        <v>7</v>
      </c>
      <c r="P15">
        <v>31.274999999999999</v>
      </c>
      <c r="Q15" t="str">
        <f t="shared" si="4"/>
        <v>Medium</v>
      </c>
      <c r="R15" t="s">
        <v>1514</v>
      </c>
    </row>
    <row r="16" spans="1:18" x14ac:dyDescent="0.45">
      <c r="A16">
        <v>15</v>
      </c>
      <c r="B16">
        <v>0</v>
      </c>
      <c r="C16" t="str">
        <f t="shared" si="0"/>
        <v>Not Survived</v>
      </c>
      <c r="D16">
        <v>3</v>
      </c>
      <c r="E16" t="s">
        <v>752</v>
      </c>
      <c r="F16" t="s">
        <v>724</v>
      </c>
      <c r="G16" t="s">
        <v>69</v>
      </c>
      <c r="H16" t="s">
        <v>10</v>
      </c>
      <c r="I16" t="str">
        <f t="shared" si="1"/>
        <v>Female</v>
      </c>
      <c r="J16">
        <v>14</v>
      </c>
      <c r="K16" t="str">
        <f t="shared" si="2"/>
        <v>Teen</v>
      </c>
      <c r="L16" t="str" cm="1">
        <f t="array" ref="L16">_xlfn.IFS(J16&lt;13,"Child",J16&lt;18,"Teen",J16&lt;60,"Adult",J16&gt;60,"Old Age")</f>
        <v>Teen</v>
      </c>
      <c r="M16">
        <v>0</v>
      </c>
      <c r="N16">
        <v>0</v>
      </c>
      <c r="O16">
        <f t="shared" si="3"/>
        <v>1</v>
      </c>
      <c r="P16">
        <v>7.8541999999999996</v>
      </c>
      <c r="Q16" t="str">
        <f t="shared" si="4"/>
        <v>Medium</v>
      </c>
      <c r="R16" t="s">
        <v>1514</v>
      </c>
    </row>
    <row r="17" spans="1:18" x14ac:dyDescent="0.45">
      <c r="A17">
        <v>16</v>
      </c>
      <c r="B17">
        <v>1</v>
      </c>
      <c r="C17" t="str">
        <f t="shared" si="0"/>
        <v>Survived</v>
      </c>
      <c r="D17">
        <v>2</v>
      </c>
      <c r="E17" t="s">
        <v>753</v>
      </c>
      <c r="F17" t="s">
        <v>723</v>
      </c>
      <c r="G17" t="s">
        <v>70</v>
      </c>
      <c r="H17" t="s">
        <v>10</v>
      </c>
      <c r="I17" t="str">
        <f t="shared" si="1"/>
        <v>Female</v>
      </c>
      <c r="J17">
        <v>55</v>
      </c>
      <c r="K17" t="str">
        <f t="shared" si="2"/>
        <v>Adult</v>
      </c>
      <c r="L17" t="str" cm="1">
        <f t="array" ref="L17">_xlfn.IFS(J17&lt;13,"Child",J17&lt;18,"Teen",J17&lt;60,"Adult",J17&gt;60,"Old Age")</f>
        <v>Adult</v>
      </c>
      <c r="M17">
        <v>0</v>
      </c>
      <c r="N17">
        <v>0</v>
      </c>
      <c r="O17">
        <f t="shared" si="3"/>
        <v>1</v>
      </c>
      <c r="P17">
        <v>16</v>
      </c>
      <c r="Q17" t="str">
        <f t="shared" si="4"/>
        <v>Medium</v>
      </c>
      <c r="R17" t="s">
        <v>1514</v>
      </c>
    </row>
    <row r="18" spans="1:18" x14ac:dyDescent="0.45">
      <c r="A18">
        <v>17</v>
      </c>
      <c r="B18">
        <v>0</v>
      </c>
      <c r="C18" t="str">
        <f t="shared" si="0"/>
        <v>Not Survived</v>
      </c>
      <c r="D18">
        <v>3</v>
      </c>
      <c r="E18" t="s">
        <v>754</v>
      </c>
      <c r="F18" t="s">
        <v>725</v>
      </c>
      <c r="G18" t="s">
        <v>71</v>
      </c>
      <c r="H18" t="s">
        <v>9</v>
      </c>
      <c r="I18" t="str">
        <f t="shared" si="1"/>
        <v>Male</v>
      </c>
      <c r="J18">
        <v>2</v>
      </c>
      <c r="K18" t="str">
        <f t="shared" si="2"/>
        <v>Child</v>
      </c>
      <c r="L18" t="str" cm="1">
        <f t="array" ref="L18">_xlfn.IFS(J18&lt;13,"Child",J18&lt;18,"Teen",J18&lt;60,"Adult",J18&gt;60,"Old Age")</f>
        <v>Child</v>
      </c>
      <c r="M18">
        <v>4</v>
      </c>
      <c r="N18">
        <v>1</v>
      </c>
      <c r="O18">
        <f t="shared" si="3"/>
        <v>6</v>
      </c>
      <c r="P18">
        <v>29.125</v>
      </c>
      <c r="Q18" t="str">
        <f t="shared" si="4"/>
        <v>Medium</v>
      </c>
      <c r="R18" t="s">
        <v>1516</v>
      </c>
    </row>
    <row r="19" spans="1:18" x14ac:dyDescent="0.45">
      <c r="A19">
        <v>18</v>
      </c>
      <c r="B19">
        <v>1</v>
      </c>
      <c r="C19" t="str">
        <f t="shared" si="0"/>
        <v>Survived</v>
      </c>
      <c r="D19">
        <v>2</v>
      </c>
      <c r="E19" t="s">
        <v>755</v>
      </c>
      <c r="F19" t="s">
        <v>722</v>
      </c>
      <c r="G19" t="s">
        <v>72</v>
      </c>
      <c r="H19" t="s">
        <v>9</v>
      </c>
      <c r="I19" t="str">
        <f t="shared" si="1"/>
        <v>Male</v>
      </c>
      <c r="J19">
        <v>28</v>
      </c>
      <c r="K19" t="str">
        <f t="shared" si="2"/>
        <v>Adult</v>
      </c>
      <c r="L19" t="str" cm="1">
        <f t="array" ref="L19">_xlfn.IFS(J19&lt;13,"Child",J19&lt;18,"Teen",J19&lt;60,"Adult",J19&gt;60,"Old Age")</f>
        <v>Adult</v>
      </c>
      <c r="M19">
        <v>0</v>
      </c>
      <c r="N19">
        <v>0</v>
      </c>
      <c r="O19">
        <f t="shared" si="3"/>
        <v>1</v>
      </c>
      <c r="P19">
        <v>13</v>
      </c>
      <c r="Q19" t="str">
        <f t="shared" si="4"/>
        <v>Medium</v>
      </c>
      <c r="R19" t="s">
        <v>1514</v>
      </c>
    </row>
    <row r="20" spans="1:18" x14ac:dyDescent="0.45">
      <c r="A20">
        <v>19</v>
      </c>
      <c r="B20">
        <v>0</v>
      </c>
      <c r="C20" t="str">
        <f t="shared" si="0"/>
        <v>Not Survived</v>
      </c>
      <c r="D20">
        <v>3</v>
      </c>
      <c r="E20" t="s">
        <v>756</v>
      </c>
      <c r="F20" t="s">
        <v>723</v>
      </c>
      <c r="G20" t="s">
        <v>73</v>
      </c>
      <c r="H20" t="s">
        <v>10</v>
      </c>
      <c r="I20" t="str">
        <f t="shared" si="1"/>
        <v>Female</v>
      </c>
      <c r="J20">
        <v>31</v>
      </c>
      <c r="K20" t="str">
        <f t="shared" si="2"/>
        <v>Adult</v>
      </c>
      <c r="L20" t="str" cm="1">
        <f t="array" ref="L20">_xlfn.IFS(J20&lt;13,"Child",J20&lt;18,"Teen",J20&lt;60,"Adult",J20&gt;60,"Old Age")</f>
        <v>Adult</v>
      </c>
      <c r="M20">
        <v>1</v>
      </c>
      <c r="N20">
        <v>0</v>
      </c>
      <c r="O20">
        <f t="shared" si="3"/>
        <v>2</v>
      </c>
      <c r="P20">
        <v>18</v>
      </c>
      <c r="Q20" t="str">
        <f t="shared" si="4"/>
        <v>Medium</v>
      </c>
      <c r="R20" t="s">
        <v>1514</v>
      </c>
    </row>
    <row r="21" spans="1:18" x14ac:dyDescent="0.45">
      <c r="A21">
        <v>20</v>
      </c>
      <c r="B21">
        <v>1</v>
      </c>
      <c r="C21" t="str">
        <f t="shared" si="0"/>
        <v>Survived</v>
      </c>
      <c r="D21">
        <v>3</v>
      </c>
      <c r="E21" t="s">
        <v>757</v>
      </c>
      <c r="F21" t="s">
        <v>723</v>
      </c>
      <c r="G21" t="s">
        <v>74</v>
      </c>
      <c r="H21" t="s">
        <v>10</v>
      </c>
      <c r="I21" t="str">
        <f t="shared" si="1"/>
        <v>Female</v>
      </c>
      <c r="J21">
        <v>28</v>
      </c>
      <c r="K21" t="str">
        <f t="shared" si="2"/>
        <v>Adult</v>
      </c>
      <c r="L21" t="str" cm="1">
        <f t="array" ref="L21">_xlfn.IFS(J21&lt;13,"Child",J21&lt;18,"Teen",J21&lt;60,"Adult",J21&gt;60,"Old Age")</f>
        <v>Adult</v>
      </c>
      <c r="M21">
        <v>0</v>
      </c>
      <c r="N21">
        <v>0</v>
      </c>
      <c r="O21">
        <f t="shared" si="3"/>
        <v>1</v>
      </c>
      <c r="P21">
        <v>7.2249999999999996</v>
      </c>
      <c r="Q21" t="str">
        <f t="shared" si="4"/>
        <v>Medium</v>
      </c>
      <c r="R21" t="s">
        <v>1515</v>
      </c>
    </row>
    <row r="22" spans="1:18" x14ac:dyDescent="0.45">
      <c r="A22">
        <v>21</v>
      </c>
      <c r="B22">
        <v>0</v>
      </c>
      <c r="C22" t="str">
        <f t="shared" si="0"/>
        <v>Not Survived</v>
      </c>
      <c r="D22">
        <v>2</v>
      </c>
      <c r="E22" t="s">
        <v>758</v>
      </c>
      <c r="F22" t="s">
        <v>722</v>
      </c>
      <c r="G22" t="s">
        <v>75</v>
      </c>
      <c r="H22" t="s">
        <v>9</v>
      </c>
      <c r="I22" t="str">
        <f t="shared" si="1"/>
        <v>Male</v>
      </c>
      <c r="J22">
        <v>35</v>
      </c>
      <c r="K22" t="str">
        <f t="shared" si="2"/>
        <v>Adult</v>
      </c>
      <c r="L22" t="str" cm="1">
        <f t="array" ref="L22">_xlfn.IFS(J22&lt;13,"Child",J22&lt;18,"Teen",J22&lt;60,"Adult",J22&gt;60,"Old Age")</f>
        <v>Adult</v>
      </c>
      <c r="M22">
        <v>0</v>
      </c>
      <c r="N22">
        <v>0</v>
      </c>
      <c r="O22">
        <f t="shared" si="3"/>
        <v>1</v>
      </c>
      <c r="P22">
        <v>26</v>
      </c>
      <c r="Q22" t="str">
        <f t="shared" si="4"/>
        <v>Medium</v>
      </c>
      <c r="R22" t="s">
        <v>1514</v>
      </c>
    </row>
    <row r="23" spans="1:18" x14ac:dyDescent="0.45">
      <c r="A23">
        <v>22</v>
      </c>
      <c r="B23">
        <v>1</v>
      </c>
      <c r="C23" t="str">
        <f t="shared" si="0"/>
        <v>Survived</v>
      </c>
      <c r="D23">
        <v>2</v>
      </c>
      <c r="E23" t="s">
        <v>759</v>
      </c>
      <c r="F23" t="s">
        <v>722</v>
      </c>
      <c r="G23" t="s">
        <v>76</v>
      </c>
      <c r="H23" t="s">
        <v>9</v>
      </c>
      <c r="I23" t="str">
        <f t="shared" si="1"/>
        <v>Male</v>
      </c>
      <c r="J23">
        <v>34</v>
      </c>
      <c r="K23" t="str">
        <f t="shared" si="2"/>
        <v>Adult</v>
      </c>
      <c r="L23" t="str" cm="1">
        <f t="array" ref="L23">_xlfn.IFS(J23&lt;13,"Child",J23&lt;18,"Teen",J23&lt;60,"Adult",J23&gt;60,"Old Age")</f>
        <v>Adult</v>
      </c>
      <c r="M23">
        <v>0</v>
      </c>
      <c r="N23">
        <v>0</v>
      </c>
      <c r="O23">
        <f t="shared" si="3"/>
        <v>1</v>
      </c>
      <c r="P23">
        <v>13</v>
      </c>
      <c r="Q23" t="str">
        <f t="shared" si="4"/>
        <v>Medium</v>
      </c>
      <c r="R23" t="s">
        <v>1514</v>
      </c>
    </row>
    <row r="24" spans="1:18" x14ac:dyDescent="0.45">
      <c r="A24">
        <v>23</v>
      </c>
      <c r="B24">
        <v>1</v>
      </c>
      <c r="C24" t="str">
        <f t="shared" si="0"/>
        <v>Survived</v>
      </c>
      <c r="D24">
        <v>3</v>
      </c>
      <c r="E24" t="s">
        <v>760</v>
      </c>
      <c r="F24" t="s">
        <v>724</v>
      </c>
      <c r="G24" t="s">
        <v>77</v>
      </c>
      <c r="H24" t="s">
        <v>10</v>
      </c>
      <c r="I24" t="str">
        <f t="shared" si="1"/>
        <v>Female</v>
      </c>
      <c r="J24">
        <v>15</v>
      </c>
      <c r="K24" t="str">
        <f t="shared" si="2"/>
        <v>Teen</v>
      </c>
      <c r="L24" t="str" cm="1">
        <f t="array" ref="L24">_xlfn.IFS(J24&lt;13,"Child",J24&lt;18,"Teen",J24&lt;60,"Adult",J24&gt;60,"Old Age")</f>
        <v>Teen</v>
      </c>
      <c r="M24">
        <v>0</v>
      </c>
      <c r="N24">
        <v>0</v>
      </c>
      <c r="O24">
        <f t="shared" si="3"/>
        <v>1</v>
      </c>
      <c r="P24" t="s">
        <v>15</v>
      </c>
      <c r="Q24" t="str">
        <f t="shared" si="4"/>
        <v>Medium</v>
      </c>
      <c r="R24" t="s">
        <v>1516</v>
      </c>
    </row>
    <row r="25" spans="1:18" x14ac:dyDescent="0.45">
      <c r="A25">
        <v>24</v>
      </c>
      <c r="B25">
        <v>1</v>
      </c>
      <c r="C25" t="str">
        <f t="shared" si="0"/>
        <v>Survived</v>
      </c>
      <c r="D25">
        <v>1</v>
      </c>
      <c r="E25" t="s">
        <v>761</v>
      </c>
      <c r="F25" t="s">
        <v>722</v>
      </c>
      <c r="G25" t="s">
        <v>78</v>
      </c>
      <c r="H25" t="s">
        <v>9</v>
      </c>
      <c r="I25" t="str">
        <f t="shared" si="1"/>
        <v>Male</v>
      </c>
      <c r="J25">
        <v>28</v>
      </c>
      <c r="K25" t="str">
        <f t="shared" si="2"/>
        <v>Adult</v>
      </c>
      <c r="L25" t="str" cm="1">
        <f t="array" ref="L25">_xlfn.IFS(J25&lt;13,"Child",J25&lt;18,"Teen",J25&lt;60,"Adult",J25&gt;60,"Old Age")</f>
        <v>Adult</v>
      </c>
      <c r="M25">
        <v>0</v>
      </c>
      <c r="N25">
        <v>0</v>
      </c>
      <c r="O25">
        <f t="shared" si="3"/>
        <v>1</v>
      </c>
      <c r="P25">
        <v>35.5</v>
      </c>
      <c r="Q25" t="str">
        <f t="shared" si="4"/>
        <v>Medium</v>
      </c>
      <c r="R25" t="s">
        <v>1514</v>
      </c>
    </row>
    <row r="26" spans="1:18" x14ac:dyDescent="0.45">
      <c r="A26">
        <v>25</v>
      </c>
      <c r="B26">
        <v>0</v>
      </c>
      <c r="C26" t="str">
        <f t="shared" si="0"/>
        <v>Not Survived</v>
      </c>
      <c r="D26">
        <v>3</v>
      </c>
      <c r="E26" t="s">
        <v>762</v>
      </c>
      <c r="F26" t="s">
        <v>724</v>
      </c>
      <c r="G26" t="s">
        <v>62</v>
      </c>
      <c r="H26" t="s">
        <v>10</v>
      </c>
      <c r="I26" t="str">
        <f t="shared" si="1"/>
        <v>Female</v>
      </c>
      <c r="J26">
        <v>8</v>
      </c>
      <c r="K26" t="str">
        <f t="shared" si="2"/>
        <v>Child</v>
      </c>
      <c r="L26" t="str" cm="1">
        <f t="array" ref="L26">_xlfn.IFS(J26&lt;13,"Child",J26&lt;18,"Teen",J26&lt;60,"Adult",J26&gt;60,"Old Age")</f>
        <v>Child</v>
      </c>
      <c r="M26">
        <v>3</v>
      </c>
      <c r="N26">
        <v>1</v>
      </c>
      <c r="O26">
        <f t="shared" si="3"/>
        <v>5</v>
      </c>
      <c r="P26" t="s">
        <v>13</v>
      </c>
      <c r="Q26" t="str">
        <f t="shared" si="4"/>
        <v>Medium</v>
      </c>
      <c r="R26" t="s">
        <v>1514</v>
      </c>
    </row>
    <row r="27" spans="1:18" x14ac:dyDescent="0.45">
      <c r="A27">
        <v>26</v>
      </c>
      <c r="B27">
        <v>1</v>
      </c>
      <c r="C27" t="str">
        <f t="shared" si="0"/>
        <v>Survived</v>
      </c>
      <c r="D27">
        <v>3</v>
      </c>
      <c r="E27" t="s">
        <v>763</v>
      </c>
      <c r="F27" t="s">
        <v>723</v>
      </c>
      <c r="G27" t="s">
        <v>79</v>
      </c>
      <c r="H27" t="s">
        <v>10</v>
      </c>
      <c r="I27" t="str">
        <f t="shared" si="1"/>
        <v>Female</v>
      </c>
      <c r="J27">
        <v>38</v>
      </c>
      <c r="K27" t="str">
        <f t="shared" si="2"/>
        <v>Adult</v>
      </c>
      <c r="L27" t="str" cm="1">
        <f t="array" ref="L27">_xlfn.IFS(J27&lt;13,"Child",J27&lt;18,"Teen",J27&lt;60,"Adult",J27&gt;60,"Old Age")</f>
        <v>Adult</v>
      </c>
      <c r="M27">
        <v>1</v>
      </c>
      <c r="N27">
        <v>5</v>
      </c>
      <c r="O27">
        <f t="shared" si="3"/>
        <v>7</v>
      </c>
      <c r="P27">
        <v>31.387499999999999</v>
      </c>
      <c r="Q27" t="str">
        <f t="shared" si="4"/>
        <v>Medium</v>
      </c>
      <c r="R27" t="s">
        <v>1514</v>
      </c>
    </row>
    <row r="28" spans="1:18" x14ac:dyDescent="0.45">
      <c r="A28">
        <v>27</v>
      </c>
      <c r="B28">
        <v>0</v>
      </c>
      <c r="C28" t="str">
        <f t="shared" si="0"/>
        <v>Not Survived</v>
      </c>
      <c r="D28">
        <v>3</v>
      </c>
      <c r="E28" t="s">
        <v>764</v>
      </c>
      <c r="F28" t="s">
        <v>722</v>
      </c>
      <c r="G28" t="s">
        <v>80</v>
      </c>
      <c r="H28" t="s">
        <v>9</v>
      </c>
      <c r="I28" t="str">
        <f t="shared" si="1"/>
        <v>Male</v>
      </c>
      <c r="J28">
        <v>28</v>
      </c>
      <c r="K28" t="str">
        <f t="shared" si="2"/>
        <v>Adult</v>
      </c>
      <c r="L28" t="str" cm="1">
        <f t="array" ref="L28">_xlfn.IFS(J28&lt;13,"Child",J28&lt;18,"Teen",J28&lt;60,"Adult",J28&gt;60,"Old Age")</f>
        <v>Adult</v>
      </c>
      <c r="M28">
        <v>0</v>
      </c>
      <c r="N28">
        <v>0</v>
      </c>
      <c r="O28">
        <f t="shared" si="3"/>
        <v>1</v>
      </c>
      <c r="P28">
        <v>7.2249999999999996</v>
      </c>
      <c r="Q28" t="str">
        <f t="shared" si="4"/>
        <v>Medium</v>
      </c>
      <c r="R28" t="s">
        <v>1515</v>
      </c>
    </row>
    <row r="29" spans="1:18" x14ac:dyDescent="0.45">
      <c r="A29">
        <v>28</v>
      </c>
      <c r="B29">
        <v>0</v>
      </c>
      <c r="C29" t="str">
        <f t="shared" si="0"/>
        <v>Not Survived</v>
      </c>
      <c r="D29">
        <v>1</v>
      </c>
      <c r="E29" t="s">
        <v>765</v>
      </c>
      <c r="F29" t="s">
        <v>722</v>
      </c>
      <c r="G29" t="s">
        <v>81</v>
      </c>
      <c r="H29" t="s">
        <v>9</v>
      </c>
      <c r="I29" t="str">
        <f t="shared" si="1"/>
        <v>Male</v>
      </c>
      <c r="J29">
        <v>19</v>
      </c>
      <c r="K29" t="str">
        <f t="shared" si="2"/>
        <v>Adult</v>
      </c>
      <c r="L29" t="str" cm="1">
        <f t="array" ref="L29">_xlfn.IFS(J29&lt;13,"Child",J29&lt;18,"Teen",J29&lt;60,"Adult",J29&gt;60,"Old Age")</f>
        <v>Adult</v>
      </c>
      <c r="M29">
        <v>3</v>
      </c>
      <c r="N29">
        <v>2</v>
      </c>
      <c r="O29">
        <f t="shared" si="3"/>
        <v>6</v>
      </c>
      <c r="P29">
        <v>263</v>
      </c>
      <c r="Q29" t="str">
        <f t="shared" si="4"/>
        <v>Medium</v>
      </c>
      <c r="R29" t="s">
        <v>1514</v>
      </c>
    </row>
    <row r="30" spans="1:18" x14ac:dyDescent="0.45">
      <c r="A30">
        <v>29</v>
      </c>
      <c r="B30">
        <v>1</v>
      </c>
      <c r="C30" t="str">
        <f t="shared" si="0"/>
        <v>Survived</v>
      </c>
      <c r="D30">
        <v>3</v>
      </c>
      <c r="E30" t="s">
        <v>766</v>
      </c>
      <c r="F30" t="s">
        <v>724</v>
      </c>
      <c r="G30" t="s">
        <v>82</v>
      </c>
      <c r="H30" t="s">
        <v>10</v>
      </c>
      <c r="I30" t="str">
        <f t="shared" si="1"/>
        <v>Female</v>
      </c>
      <c r="J30">
        <v>28</v>
      </c>
      <c r="K30" t="str">
        <f t="shared" si="2"/>
        <v>Adult</v>
      </c>
      <c r="L30" t="str" cm="1">
        <f t="array" ref="L30">_xlfn.IFS(J30&lt;13,"Child",J30&lt;18,"Teen",J30&lt;60,"Adult",J30&gt;60,"Old Age")</f>
        <v>Adult</v>
      </c>
      <c r="M30">
        <v>0</v>
      </c>
      <c r="N30">
        <v>0</v>
      </c>
      <c r="O30">
        <f t="shared" si="3"/>
        <v>1</v>
      </c>
      <c r="P30">
        <v>7.8792</v>
      </c>
      <c r="Q30" t="str">
        <f t="shared" si="4"/>
        <v>Medium</v>
      </c>
      <c r="R30" t="s">
        <v>1516</v>
      </c>
    </row>
    <row r="31" spans="1:18" x14ac:dyDescent="0.45">
      <c r="A31">
        <v>30</v>
      </c>
      <c r="B31">
        <v>0</v>
      </c>
      <c r="C31" t="str">
        <f t="shared" si="0"/>
        <v>Not Survived</v>
      </c>
      <c r="D31">
        <v>3</v>
      </c>
      <c r="E31" t="s">
        <v>767</v>
      </c>
      <c r="F31" t="s">
        <v>722</v>
      </c>
      <c r="G31" t="s">
        <v>83</v>
      </c>
      <c r="H31" t="s">
        <v>9</v>
      </c>
      <c r="I31" t="str">
        <f t="shared" si="1"/>
        <v>Male</v>
      </c>
      <c r="J31">
        <v>28</v>
      </c>
      <c r="K31" t="str">
        <f t="shared" si="2"/>
        <v>Adult</v>
      </c>
      <c r="L31" t="str" cm="1">
        <f t="array" ref="L31">_xlfn.IFS(J31&lt;13,"Child",J31&lt;18,"Teen",J31&lt;60,"Adult",J31&gt;60,"Old Age")</f>
        <v>Adult</v>
      </c>
      <c r="M31">
        <v>0</v>
      </c>
      <c r="N31">
        <v>0</v>
      </c>
      <c r="O31">
        <f t="shared" si="3"/>
        <v>1</v>
      </c>
      <c r="P31">
        <v>7.8958000000000004</v>
      </c>
      <c r="Q31" t="str">
        <f t="shared" si="4"/>
        <v>Medium</v>
      </c>
      <c r="R31" t="s">
        <v>1514</v>
      </c>
    </row>
    <row r="32" spans="1:18" x14ac:dyDescent="0.45">
      <c r="A32">
        <v>31</v>
      </c>
      <c r="B32">
        <v>0</v>
      </c>
      <c r="C32" t="str">
        <f t="shared" si="0"/>
        <v>Not Survived</v>
      </c>
      <c r="D32">
        <v>1</v>
      </c>
      <c r="E32" t="s">
        <v>768</v>
      </c>
      <c r="F32" t="s">
        <v>726</v>
      </c>
      <c r="G32" t="s">
        <v>84</v>
      </c>
      <c r="H32" t="s">
        <v>9</v>
      </c>
      <c r="I32" t="str">
        <f t="shared" si="1"/>
        <v>Male</v>
      </c>
      <c r="J32">
        <v>40</v>
      </c>
      <c r="K32" t="str">
        <f t="shared" si="2"/>
        <v>Adult</v>
      </c>
      <c r="L32" t="str" cm="1">
        <f t="array" ref="L32">_xlfn.IFS(J32&lt;13,"Child",J32&lt;18,"Teen",J32&lt;60,"Adult",J32&gt;60,"Old Age")</f>
        <v>Adult</v>
      </c>
      <c r="M32">
        <v>0</v>
      </c>
      <c r="N32">
        <v>0</v>
      </c>
      <c r="O32">
        <f t="shared" si="3"/>
        <v>1</v>
      </c>
      <c r="P32" t="s">
        <v>16</v>
      </c>
      <c r="Q32" t="str">
        <f t="shared" si="4"/>
        <v>Medium</v>
      </c>
      <c r="R32" t="s">
        <v>1515</v>
      </c>
    </row>
    <row r="33" spans="1:18" x14ac:dyDescent="0.45">
      <c r="A33">
        <v>32</v>
      </c>
      <c r="B33">
        <v>1</v>
      </c>
      <c r="C33" t="str">
        <f t="shared" si="0"/>
        <v>Survived</v>
      </c>
      <c r="D33">
        <v>1</v>
      </c>
      <c r="E33" t="s">
        <v>769</v>
      </c>
      <c r="F33" t="s">
        <v>723</v>
      </c>
      <c r="G33" t="s">
        <v>85</v>
      </c>
      <c r="H33" t="s">
        <v>10</v>
      </c>
      <c r="I33" t="str">
        <f t="shared" si="1"/>
        <v>Female</v>
      </c>
      <c r="J33">
        <v>28</v>
      </c>
      <c r="K33" t="str">
        <f t="shared" si="2"/>
        <v>Adult</v>
      </c>
      <c r="L33" t="str" cm="1">
        <f t="array" ref="L33">_xlfn.IFS(J33&lt;13,"Child",J33&lt;18,"Teen",J33&lt;60,"Adult",J33&gt;60,"Old Age")</f>
        <v>Adult</v>
      </c>
      <c r="M33">
        <v>1</v>
      </c>
      <c r="N33">
        <v>0</v>
      </c>
      <c r="O33">
        <f t="shared" si="3"/>
        <v>2</v>
      </c>
      <c r="P33" t="s">
        <v>17</v>
      </c>
      <c r="Q33" t="str">
        <f t="shared" si="4"/>
        <v>Medium</v>
      </c>
      <c r="R33" t="s">
        <v>1515</v>
      </c>
    </row>
    <row r="34" spans="1:18" x14ac:dyDescent="0.45">
      <c r="A34">
        <v>33</v>
      </c>
      <c r="B34">
        <v>1</v>
      </c>
      <c r="C34" t="str">
        <f t="shared" si="0"/>
        <v>Survived</v>
      </c>
      <c r="D34">
        <v>3</v>
      </c>
      <c r="E34" t="s">
        <v>770</v>
      </c>
      <c r="F34" t="s">
        <v>724</v>
      </c>
      <c r="G34" t="s">
        <v>86</v>
      </c>
      <c r="H34" t="s">
        <v>10</v>
      </c>
      <c r="I34" t="str">
        <f t="shared" si="1"/>
        <v>Female</v>
      </c>
      <c r="J34">
        <v>28</v>
      </c>
      <c r="K34" t="str">
        <f t="shared" si="2"/>
        <v>Adult</v>
      </c>
      <c r="L34" t="str" cm="1">
        <f t="array" ref="L34">_xlfn.IFS(J34&lt;13,"Child",J34&lt;18,"Teen",J34&lt;60,"Adult",J34&gt;60,"Old Age")</f>
        <v>Adult</v>
      </c>
      <c r="M34">
        <v>0</v>
      </c>
      <c r="N34">
        <v>0</v>
      </c>
      <c r="O34">
        <f t="shared" si="3"/>
        <v>1</v>
      </c>
      <c r="P34">
        <v>7.75</v>
      </c>
      <c r="Q34" t="str">
        <f t="shared" si="4"/>
        <v>Medium</v>
      </c>
      <c r="R34" t="s">
        <v>1516</v>
      </c>
    </row>
    <row r="35" spans="1:18" x14ac:dyDescent="0.45">
      <c r="A35">
        <v>34</v>
      </c>
      <c r="B35">
        <v>0</v>
      </c>
      <c r="C35" t="str">
        <f t="shared" si="0"/>
        <v>Not Survived</v>
      </c>
      <c r="D35">
        <v>2</v>
      </c>
      <c r="E35" t="s">
        <v>771</v>
      </c>
      <c r="F35" t="s">
        <v>722</v>
      </c>
      <c r="G35" t="s">
        <v>87</v>
      </c>
      <c r="H35" t="s">
        <v>9</v>
      </c>
      <c r="I35" t="str">
        <f t="shared" si="1"/>
        <v>Male</v>
      </c>
      <c r="J35">
        <v>66</v>
      </c>
      <c r="K35" t="str">
        <f t="shared" si="2"/>
        <v>Old Age</v>
      </c>
      <c r="L35" t="str" cm="1">
        <f t="array" ref="L35">_xlfn.IFS(J35&lt;13,"Child",J35&lt;18,"Teen",J35&lt;60,"Adult",J35&gt;60,"Old Age")</f>
        <v>Old Age</v>
      </c>
      <c r="M35">
        <v>0</v>
      </c>
      <c r="N35">
        <v>0</v>
      </c>
      <c r="O35">
        <f t="shared" si="3"/>
        <v>1</v>
      </c>
      <c r="P35" t="s">
        <v>18</v>
      </c>
      <c r="Q35" t="str">
        <f t="shared" si="4"/>
        <v>Medium</v>
      </c>
      <c r="R35" t="s">
        <v>1514</v>
      </c>
    </row>
    <row r="36" spans="1:18" x14ac:dyDescent="0.45">
      <c r="A36">
        <v>35</v>
      </c>
      <c r="B36">
        <v>0</v>
      </c>
      <c r="C36" t="str">
        <f t="shared" si="0"/>
        <v>Not Survived</v>
      </c>
      <c r="D36">
        <v>1</v>
      </c>
      <c r="E36" t="s">
        <v>772</v>
      </c>
      <c r="F36" t="s">
        <v>722</v>
      </c>
      <c r="G36" t="s">
        <v>88</v>
      </c>
      <c r="H36" t="s">
        <v>9</v>
      </c>
      <c r="I36" t="str">
        <f t="shared" si="1"/>
        <v>Male</v>
      </c>
      <c r="J36">
        <v>28</v>
      </c>
      <c r="K36" t="str">
        <f t="shared" si="2"/>
        <v>Adult</v>
      </c>
      <c r="L36" t="str" cm="1">
        <f t="array" ref="L36">_xlfn.IFS(J36&lt;13,"Child",J36&lt;18,"Teen",J36&lt;60,"Adult",J36&gt;60,"Old Age")</f>
        <v>Adult</v>
      </c>
      <c r="M36">
        <v>1</v>
      </c>
      <c r="N36">
        <v>0</v>
      </c>
      <c r="O36">
        <f t="shared" si="3"/>
        <v>2</v>
      </c>
      <c r="P36" t="s">
        <v>19</v>
      </c>
      <c r="Q36" t="str">
        <f t="shared" si="4"/>
        <v>Medium</v>
      </c>
      <c r="R36" t="s">
        <v>1515</v>
      </c>
    </row>
    <row r="37" spans="1:18" x14ac:dyDescent="0.45">
      <c r="A37">
        <v>36</v>
      </c>
      <c r="B37">
        <v>0</v>
      </c>
      <c r="C37" t="str">
        <f t="shared" si="0"/>
        <v>Not Survived</v>
      </c>
      <c r="D37">
        <v>1</v>
      </c>
      <c r="E37" t="s">
        <v>773</v>
      </c>
      <c r="F37" t="s">
        <v>722</v>
      </c>
      <c r="G37" t="s">
        <v>89</v>
      </c>
      <c r="H37" t="s">
        <v>9</v>
      </c>
      <c r="I37" t="str">
        <f t="shared" si="1"/>
        <v>Male</v>
      </c>
      <c r="J37">
        <v>42</v>
      </c>
      <c r="K37" t="str">
        <f t="shared" si="2"/>
        <v>Adult</v>
      </c>
      <c r="L37" t="str" cm="1">
        <f t="array" ref="L37">_xlfn.IFS(J37&lt;13,"Child",J37&lt;18,"Teen",J37&lt;60,"Adult",J37&gt;60,"Old Age")</f>
        <v>Adult</v>
      </c>
      <c r="M37">
        <v>1</v>
      </c>
      <c r="N37">
        <v>0</v>
      </c>
      <c r="O37">
        <f t="shared" si="3"/>
        <v>2</v>
      </c>
      <c r="P37">
        <v>52</v>
      </c>
      <c r="Q37" t="str">
        <f t="shared" si="4"/>
        <v>Medium</v>
      </c>
      <c r="R37" t="s">
        <v>1514</v>
      </c>
    </row>
    <row r="38" spans="1:18" x14ac:dyDescent="0.45">
      <c r="A38">
        <v>37</v>
      </c>
      <c r="B38">
        <v>1</v>
      </c>
      <c r="C38" t="str">
        <f t="shared" si="0"/>
        <v>Survived</v>
      </c>
      <c r="D38">
        <v>3</v>
      </c>
      <c r="E38" t="s">
        <v>774</v>
      </c>
      <c r="F38" t="s">
        <v>722</v>
      </c>
      <c r="G38" t="s">
        <v>90</v>
      </c>
      <c r="H38" t="s">
        <v>9</v>
      </c>
      <c r="I38" t="str">
        <f t="shared" si="1"/>
        <v>Male</v>
      </c>
      <c r="J38">
        <v>28</v>
      </c>
      <c r="K38" t="str">
        <f t="shared" si="2"/>
        <v>Adult</v>
      </c>
      <c r="L38" t="str" cm="1">
        <f t="array" ref="L38">_xlfn.IFS(J38&lt;13,"Child",J38&lt;18,"Teen",J38&lt;60,"Adult",J38&gt;60,"Old Age")</f>
        <v>Adult</v>
      </c>
      <c r="M38">
        <v>0</v>
      </c>
      <c r="N38">
        <v>0</v>
      </c>
      <c r="O38">
        <f t="shared" si="3"/>
        <v>1</v>
      </c>
      <c r="P38">
        <v>7.2291999999999996</v>
      </c>
      <c r="Q38" t="str">
        <f t="shared" si="4"/>
        <v>Medium</v>
      </c>
      <c r="R38" t="s">
        <v>1515</v>
      </c>
    </row>
    <row r="39" spans="1:18" x14ac:dyDescent="0.45">
      <c r="A39">
        <v>38</v>
      </c>
      <c r="B39">
        <v>0</v>
      </c>
      <c r="C39" t="str">
        <f t="shared" si="0"/>
        <v>Not Survived</v>
      </c>
      <c r="D39">
        <v>3</v>
      </c>
      <c r="E39" t="s">
        <v>775</v>
      </c>
      <c r="F39" t="s">
        <v>722</v>
      </c>
      <c r="G39" t="s">
        <v>91</v>
      </c>
      <c r="H39" t="s">
        <v>9</v>
      </c>
      <c r="I39" t="str">
        <f t="shared" si="1"/>
        <v>Male</v>
      </c>
      <c r="J39">
        <v>21</v>
      </c>
      <c r="K39" t="str">
        <f t="shared" si="2"/>
        <v>Adult</v>
      </c>
      <c r="L39" t="str" cm="1">
        <f t="array" ref="L39">_xlfn.IFS(J39&lt;13,"Child",J39&lt;18,"Teen",J39&lt;60,"Adult",J39&gt;60,"Old Age")</f>
        <v>Adult</v>
      </c>
      <c r="M39">
        <v>0</v>
      </c>
      <c r="N39">
        <v>0</v>
      </c>
      <c r="O39">
        <f t="shared" si="3"/>
        <v>1</v>
      </c>
      <c r="P39" t="s">
        <v>12</v>
      </c>
      <c r="Q39" t="str">
        <f t="shared" si="4"/>
        <v>Medium</v>
      </c>
      <c r="R39" t="s">
        <v>1514</v>
      </c>
    </row>
    <row r="40" spans="1:18" x14ac:dyDescent="0.45">
      <c r="A40">
        <v>39</v>
      </c>
      <c r="B40">
        <v>0</v>
      </c>
      <c r="C40" t="str">
        <f t="shared" si="0"/>
        <v>Not Survived</v>
      </c>
      <c r="D40">
        <v>3</v>
      </c>
      <c r="E40" t="s">
        <v>776</v>
      </c>
      <c r="F40" t="s">
        <v>724</v>
      </c>
      <c r="G40" t="s">
        <v>73</v>
      </c>
      <c r="H40" t="s">
        <v>10</v>
      </c>
      <c r="I40" t="str">
        <f t="shared" si="1"/>
        <v>Female</v>
      </c>
      <c r="J40">
        <v>18</v>
      </c>
      <c r="K40" t="str">
        <f t="shared" si="2"/>
        <v>Adult</v>
      </c>
      <c r="L40" t="str" cm="1">
        <f t="array" ref="L40">_xlfn.IFS(J40&lt;13,"Child",J40&lt;18,"Teen",J40&lt;60,"Adult",J40&gt;60,"Old Age")</f>
        <v>Adult</v>
      </c>
      <c r="M40">
        <v>2</v>
      </c>
      <c r="N40">
        <v>0</v>
      </c>
      <c r="O40">
        <f t="shared" si="3"/>
        <v>3</v>
      </c>
      <c r="P40">
        <v>18</v>
      </c>
      <c r="Q40" t="str">
        <f t="shared" si="4"/>
        <v>Medium</v>
      </c>
      <c r="R40" t="s">
        <v>1514</v>
      </c>
    </row>
    <row r="41" spans="1:18" x14ac:dyDescent="0.45">
      <c r="A41">
        <v>40</v>
      </c>
      <c r="B41">
        <v>1</v>
      </c>
      <c r="C41" t="str">
        <f t="shared" si="0"/>
        <v>Survived</v>
      </c>
      <c r="D41">
        <v>3</v>
      </c>
      <c r="E41" t="s">
        <v>777</v>
      </c>
      <c r="F41" t="s">
        <v>724</v>
      </c>
      <c r="G41" t="s">
        <v>92</v>
      </c>
      <c r="H41" t="s">
        <v>10</v>
      </c>
      <c r="I41" t="str">
        <f t="shared" si="1"/>
        <v>Female</v>
      </c>
      <c r="J41">
        <v>14</v>
      </c>
      <c r="K41" t="str">
        <f t="shared" si="2"/>
        <v>Teen</v>
      </c>
      <c r="L41" t="str" cm="1">
        <f t="array" ref="L41">_xlfn.IFS(J41&lt;13,"Child",J41&lt;18,"Teen",J41&lt;60,"Adult",J41&gt;60,"Old Age")</f>
        <v>Teen</v>
      </c>
      <c r="M41">
        <v>1</v>
      </c>
      <c r="N41">
        <v>0</v>
      </c>
      <c r="O41">
        <f t="shared" si="3"/>
        <v>2</v>
      </c>
      <c r="P41">
        <v>11.2417</v>
      </c>
      <c r="Q41" t="str">
        <f t="shared" si="4"/>
        <v>Medium</v>
      </c>
      <c r="R41" t="s">
        <v>1515</v>
      </c>
    </row>
    <row r="42" spans="1:18" x14ac:dyDescent="0.45">
      <c r="A42">
        <v>41</v>
      </c>
      <c r="B42">
        <v>0</v>
      </c>
      <c r="C42" t="str">
        <f t="shared" si="0"/>
        <v>Not Survived</v>
      </c>
      <c r="D42">
        <v>3</v>
      </c>
      <c r="E42" t="s">
        <v>778</v>
      </c>
      <c r="F42" t="s">
        <v>723</v>
      </c>
      <c r="G42" t="s">
        <v>93</v>
      </c>
      <c r="H42" t="s">
        <v>10</v>
      </c>
      <c r="I42" t="str">
        <f t="shared" si="1"/>
        <v>Female</v>
      </c>
      <c r="J42">
        <v>40</v>
      </c>
      <c r="K42" t="str">
        <f t="shared" si="2"/>
        <v>Adult</v>
      </c>
      <c r="L42" t="str" cm="1">
        <f t="array" ref="L42">_xlfn.IFS(J42&lt;13,"Child",J42&lt;18,"Teen",J42&lt;60,"Adult",J42&gt;60,"Old Age")</f>
        <v>Adult</v>
      </c>
      <c r="M42">
        <v>1</v>
      </c>
      <c r="N42">
        <v>0</v>
      </c>
      <c r="O42">
        <f t="shared" si="3"/>
        <v>2</v>
      </c>
      <c r="P42">
        <v>9.4749999999999996</v>
      </c>
      <c r="Q42" t="str">
        <f t="shared" si="4"/>
        <v>Medium</v>
      </c>
      <c r="R42" t="s">
        <v>1514</v>
      </c>
    </row>
    <row r="43" spans="1:18" x14ac:dyDescent="0.45">
      <c r="A43">
        <v>42</v>
      </c>
      <c r="B43">
        <v>0</v>
      </c>
      <c r="C43" t="str">
        <f t="shared" si="0"/>
        <v>Not Survived</v>
      </c>
      <c r="D43">
        <v>2</v>
      </c>
      <c r="E43" t="s">
        <v>779</v>
      </c>
      <c r="F43" t="s">
        <v>723</v>
      </c>
      <c r="G43" t="s">
        <v>94</v>
      </c>
      <c r="H43" t="s">
        <v>10</v>
      </c>
      <c r="I43" t="str">
        <f t="shared" si="1"/>
        <v>Female</v>
      </c>
      <c r="J43">
        <v>27</v>
      </c>
      <c r="K43" t="str">
        <f t="shared" si="2"/>
        <v>Adult</v>
      </c>
      <c r="L43" t="str" cm="1">
        <f t="array" ref="L43">_xlfn.IFS(J43&lt;13,"Child",J43&lt;18,"Teen",J43&lt;60,"Adult",J43&gt;60,"Old Age")</f>
        <v>Adult</v>
      </c>
      <c r="M43">
        <v>1</v>
      </c>
      <c r="N43">
        <v>0</v>
      </c>
      <c r="O43">
        <f t="shared" si="3"/>
        <v>2</v>
      </c>
      <c r="P43">
        <v>21</v>
      </c>
      <c r="Q43" t="str">
        <f t="shared" si="4"/>
        <v>Medium</v>
      </c>
      <c r="R43" t="s">
        <v>1514</v>
      </c>
    </row>
    <row r="44" spans="1:18" x14ac:dyDescent="0.45">
      <c r="A44">
        <v>43</v>
      </c>
      <c r="B44">
        <v>0</v>
      </c>
      <c r="C44" t="str">
        <f t="shared" si="0"/>
        <v>Not Survived</v>
      </c>
      <c r="D44">
        <v>3</v>
      </c>
      <c r="E44" t="s">
        <v>780</v>
      </c>
      <c r="F44" t="s">
        <v>722</v>
      </c>
      <c r="G44" t="s">
        <v>95</v>
      </c>
      <c r="H44" t="s">
        <v>9</v>
      </c>
      <c r="I44" t="str">
        <f t="shared" si="1"/>
        <v>Male</v>
      </c>
      <c r="J44">
        <v>28</v>
      </c>
      <c r="K44" t="str">
        <f t="shared" si="2"/>
        <v>Adult</v>
      </c>
      <c r="L44" t="str" cm="1">
        <f t="array" ref="L44">_xlfn.IFS(J44&lt;13,"Child",J44&lt;18,"Teen",J44&lt;60,"Adult",J44&gt;60,"Old Age")</f>
        <v>Adult</v>
      </c>
      <c r="M44">
        <v>0</v>
      </c>
      <c r="N44">
        <v>0</v>
      </c>
      <c r="O44">
        <f t="shared" si="3"/>
        <v>1</v>
      </c>
      <c r="P44">
        <v>7.8958000000000004</v>
      </c>
      <c r="Q44" t="str">
        <f t="shared" si="4"/>
        <v>Medium</v>
      </c>
      <c r="R44" t="s">
        <v>1515</v>
      </c>
    </row>
    <row r="45" spans="1:18" x14ac:dyDescent="0.45">
      <c r="A45">
        <v>44</v>
      </c>
      <c r="B45">
        <v>1</v>
      </c>
      <c r="C45" t="str">
        <f t="shared" si="0"/>
        <v>Survived</v>
      </c>
      <c r="D45">
        <v>2</v>
      </c>
      <c r="E45" t="s">
        <v>781</v>
      </c>
      <c r="F45" t="s">
        <v>724</v>
      </c>
      <c r="G45" t="s">
        <v>96</v>
      </c>
      <c r="H45" t="s">
        <v>10</v>
      </c>
      <c r="I45" t="str">
        <f t="shared" si="1"/>
        <v>Female</v>
      </c>
      <c r="J45">
        <v>3</v>
      </c>
      <c r="K45" t="str">
        <f t="shared" si="2"/>
        <v>Child</v>
      </c>
      <c r="L45" t="str" cm="1">
        <f t="array" ref="L45">_xlfn.IFS(J45&lt;13,"Child",J45&lt;18,"Teen",J45&lt;60,"Adult",J45&gt;60,"Old Age")</f>
        <v>Child</v>
      </c>
      <c r="M45">
        <v>1</v>
      </c>
      <c r="N45">
        <v>2</v>
      </c>
      <c r="O45">
        <f t="shared" si="3"/>
        <v>4</v>
      </c>
      <c r="P45">
        <v>41.5792</v>
      </c>
      <c r="Q45" t="str">
        <f t="shared" si="4"/>
        <v>Medium</v>
      </c>
      <c r="R45" t="s">
        <v>1515</v>
      </c>
    </row>
    <row r="46" spans="1:18" x14ac:dyDescent="0.45">
      <c r="A46">
        <v>45</v>
      </c>
      <c r="B46">
        <v>1</v>
      </c>
      <c r="C46" t="str">
        <f t="shared" si="0"/>
        <v>Survived</v>
      </c>
      <c r="D46">
        <v>3</v>
      </c>
      <c r="E46" t="s">
        <v>782</v>
      </c>
      <c r="F46" t="s">
        <v>724</v>
      </c>
      <c r="G46" t="s">
        <v>97</v>
      </c>
      <c r="H46" t="s">
        <v>10</v>
      </c>
      <c r="I46" t="str">
        <f t="shared" si="1"/>
        <v>Female</v>
      </c>
      <c r="J46">
        <v>19</v>
      </c>
      <c r="K46" t="str">
        <f t="shared" si="2"/>
        <v>Adult</v>
      </c>
      <c r="L46" t="str" cm="1">
        <f t="array" ref="L46">_xlfn.IFS(J46&lt;13,"Child",J46&lt;18,"Teen",J46&lt;60,"Adult",J46&gt;60,"Old Age")</f>
        <v>Adult</v>
      </c>
      <c r="M46">
        <v>0</v>
      </c>
      <c r="N46">
        <v>0</v>
      </c>
      <c r="O46">
        <f t="shared" si="3"/>
        <v>1</v>
      </c>
      <c r="P46">
        <v>7.8792</v>
      </c>
      <c r="Q46" t="str">
        <f t="shared" si="4"/>
        <v>Medium</v>
      </c>
      <c r="R46" t="s">
        <v>1516</v>
      </c>
    </row>
    <row r="47" spans="1:18" x14ac:dyDescent="0.45">
      <c r="A47">
        <v>46</v>
      </c>
      <c r="B47">
        <v>0</v>
      </c>
      <c r="C47" t="str">
        <f t="shared" si="0"/>
        <v>Not Survived</v>
      </c>
      <c r="D47">
        <v>3</v>
      </c>
      <c r="E47" t="s">
        <v>783</v>
      </c>
      <c r="F47" t="s">
        <v>722</v>
      </c>
      <c r="G47" t="s">
        <v>98</v>
      </c>
      <c r="H47" t="s">
        <v>9</v>
      </c>
      <c r="I47" t="str">
        <f t="shared" si="1"/>
        <v>Male</v>
      </c>
      <c r="J47">
        <v>28</v>
      </c>
      <c r="K47" t="str">
        <f t="shared" si="2"/>
        <v>Adult</v>
      </c>
      <c r="L47" t="str" cm="1">
        <f t="array" ref="L47">_xlfn.IFS(J47&lt;13,"Child",J47&lt;18,"Teen",J47&lt;60,"Adult",J47&gt;60,"Old Age")</f>
        <v>Adult</v>
      </c>
      <c r="M47">
        <v>0</v>
      </c>
      <c r="N47">
        <v>0</v>
      </c>
      <c r="O47">
        <f t="shared" si="3"/>
        <v>1</v>
      </c>
      <c r="P47" t="s">
        <v>12</v>
      </c>
      <c r="Q47" t="str">
        <f t="shared" si="4"/>
        <v>Medium</v>
      </c>
      <c r="R47" t="s">
        <v>1514</v>
      </c>
    </row>
    <row r="48" spans="1:18" x14ac:dyDescent="0.45">
      <c r="A48">
        <v>47</v>
      </c>
      <c r="B48">
        <v>0</v>
      </c>
      <c r="C48" t="str">
        <f t="shared" si="0"/>
        <v>Not Survived</v>
      </c>
      <c r="D48">
        <v>3</v>
      </c>
      <c r="E48" t="s">
        <v>784</v>
      </c>
      <c r="F48" t="s">
        <v>722</v>
      </c>
      <c r="G48" t="s">
        <v>99</v>
      </c>
      <c r="H48" t="s">
        <v>9</v>
      </c>
      <c r="I48" t="str">
        <f t="shared" si="1"/>
        <v>Male</v>
      </c>
      <c r="J48">
        <v>28</v>
      </c>
      <c r="K48" t="str">
        <f t="shared" si="2"/>
        <v>Adult</v>
      </c>
      <c r="L48" t="str" cm="1">
        <f t="array" ref="L48">_xlfn.IFS(J48&lt;13,"Child",J48&lt;18,"Teen",J48&lt;60,"Adult",J48&gt;60,"Old Age")</f>
        <v>Adult</v>
      </c>
      <c r="M48">
        <v>1</v>
      </c>
      <c r="N48">
        <v>0</v>
      </c>
      <c r="O48">
        <f t="shared" si="3"/>
        <v>2</v>
      </c>
      <c r="P48">
        <v>15.5</v>
      </c>
      <c r="Q48" t="str">
        <f t="shared" si="4"/>
        <v>Medium</v>
      </c>
      <c r="R48" t="s">
        <v>1516</v>
      </c>
    </row>
    <row r="49" spans="1:18" x14ac:dyDescent="0.45">
      <c r="A49">
        <v>48</v>
      </c>
      <c r="B49">
        <v>1</v>
      </c>
      <c r="C49" t="str">
        <f t="shared" si="0"/>
        <v>Survived</v>
      </c>
      <c r="D49">
        <v>3</v>
      </c>
      <c r="E49" t="s">
        <v>785</v>
      </c>
      <c r="F49" t="s">
        <v>724</v>
      </c>
      <c r="G49" t="s">
        <v>100</v>
      </c>
      <c r="H49" t="s">
        <v>10</v>
      </c>
      <c r="I49" t="str">
        <f t="shared" si="1"/>
        <v>Female</v>
      </c>
      <c r="J49">
        <v>28</v>
      </c>
      <c r="K49" t="str">
        <f t="shared" si="2"/>
        <v>Adult</v>
      </c>
      <c r="L49" t="str" cm="1">
        <f t="array" ref="L49">_xlfn.IFS(J49&lt;13,"Child",J49&lt;18,"Teen",J49&lt;60,"Adult",J49&gt;60,"Old Age")</f>
        <v>Adult</v>
      </c>
      <c r="M49">
        <v>0</v>
      </c>
      <c r="N49">
        <v>0</v>
      </c>
      <c r="O49">
        <f t="shared" si="3"/>
        <v>1</v>
      </c>
      <c r="P49">
        <v>7.75</v>
      </c>
      <c r="Q49" t="str">
        <f t="shared" si="4"/>
        <v>Medium</v>
      </c>
      <c r="R49" t="s">
        <v>1516</v>
      </c>
    </row>
    <row r="50" spans="1:18" x14ac:dyDescent="0.45">
      <c r="A50">
        <v>49</v>
      </c>
      <c r="B50">
        <v>0</v>
      </c>
      <c r="C50" t="str">
        <f t="shared" si="0"/>
        <v>Not Survived</v>
      </c>
      <c r="D50">
        <v>3</v>
      </c>
      <c r="E50" t="s">
        <v>786</v>
      </c>
      <c r="F50" t="s">
        <v>722</v>
      </c>
      <c r="G50" t="s">
        <v>101</v>
      </c>
      <c r="H50" t="s">
        <v>9</v>
      </c>
      <c r="I50" t="str">
        <f t="shared" si="1"/>
        <v>Male</v>
      </c>
      <c r="J50">
        <v>28</v>
      </c>
      <c r="K50" t="str">
        <f t="shared" si="2"/>
        <v>Adult</v>
      </c>
      <c r="L50" t="str" cm="1">
        <f t="array" ref="L50">_xlfn.IFS(J50&lt;13,"Child",J50&lt;18,"Teen",J50&lt;60,"Adult",J50&gt;60,"Old Age")</f>
        <v>Adult</v>
      </c>
      <c r="M50">
        <v>2</v>
      </c>
      <c r="N50">
        <v>0</v>
      </c>
      <c r="O50">
        <f t="shared" si="3"/>
        <v>3</v>
      </c>
      <c r="P50">
        <v>21.679200000000002</v>
      </c>
      <c r="Q50" t="str">
        <f t="shared" si="4"/>
        <v>Medium</v>
      </c>
      <c r="R50" t="s">
        <v>1515</v>
      </c>
    </row>
    <row r="51" spans="1:18" x14ac:dyDescent="0.45">
      <c r="A51">
        <v>50</v>
      </c>
      <c r="B51">
        <v>0</v>
      </c>
      <c r="C51" t="str">
        <f t="shared" si="0"/>
        <v>Not Survived</v>
      </c>
      <c r="D51">
        <v>3</v>
      </c>
      <c r="E51" t="s">
        <v>787</v>
      </c>
      <c r="F51" t="s">
        <v>723</v>
      </c>
      <c r="G51" t="s">
        <v>102</v>
      </c>
      <c r="H51" t="s">
        <v>10</v>
      </c>
      <c r="I51" t="str">
        <f t="shared" si="1"/>
        <v>Female</v>
      </c>
      <c r="J51">
        <v>18</v>
      </c>
      <c r="K51" t="str">
        <f t="shared" si="2"/>
        <v>Adult</v>
      </c>
      <c r="L51" t="str" cm="1">
        <f t="array" ref="L51">_xlfn.IFS(J51&lt;13,"Child",J51&lt;18,"Teen",J51&lt;60,"Adult",J51&gt;60,"Old Age")</f>
        <v>Adult</v>
      </c>
      <c r="M51">
        <v>1</v>
      </c>
      <c r="N51">
        <v>0</v>
      </c>
      <c r="O51">
        <f t="shared" si="3"/>
        <v>2</v>
      </c>
      <c r="P51">
        <v>17.8</v>
      </c>
      <c r="Q51" t="str">
        <f t="shared" si="4"/>
        <v>Medium</v>
      </c>
      <c r="R51" t="s">
        <v>1514</v>
      </c>
    </row>
    <row r="52" spans="1:18" x14ac:dyDescent="0.45">
      <c r="A52">
        <v>51</v>
      </c>
      <c r="B52">
        <v>0</v>
      </c>
      <c r="C52" t="str">
        <f t="shared" si="0"/>
        <v>Not Survived</v>
      </c>
      <c r="D52">
        <v>3</v>
      </c>
      <c r="E52" t="s">
        <v>788</v>
      </c>
      <c r="F52" t="s">
        <v>725</v>
      </c>
      <c r="G52" t="s">
        <v>103</v>
      </c>
      <c r="H52" t="s">
        <v>9</v>
      </c>
      <c r="I52" t="str">
        <f t="shared" si="1"/>
        <v>Male</v>
      </c>
      <c r="J52">
        <v>7</v>
      </c>
      <c r="K52" t="str">
        <f t="shared" si="2"/>
        <v>Child</v>
      </c>
      <c r="L52" t="str" cm="1">
        <f t="array" ref="L52">_xlfn.IFS(J52&lt;13,"Child",J52&lt;18,"Teen",J52&lt;60,"Adult",J52&gt;60,"Old Age")</f>
        <v>Child</v>
      </c>
      <c r="M52">
        <v>4</v>
      </c>
      <c r="N52">
        <v>1</v>
      </c>
      <c r="O52">
        <f t="shared" si="3"/>
        <v>6</v>
      </c>
      <c r="P52">
        <v>39.6875</v>
      </c>
      <c r="Q52" t="str">
        <f t="shared" si="4"/>
        <v>High</v>
      </c>
      <c r="R52" t="s">
        <v>1514</v>
      </c>
    </row>
    <row r="53" spans="1:18" x14ac:dyDescent="0.45">
      <c r="A53">
        <v>52</v>
      </c>
      <c r="B53">
        <v>0</v>
      </c>
      <c r="C53" t="str">
        <f t="shared" si="0"/>
        <v>Not Survived</v>
      </c>
      <c r="D53">
        <v>3</v>
      </c>
      <c r="E53" t="s">
        <v>789</v>
      </c>
      <c r="F53" t="s">
        <v>722</v>
      </c>
      <c r="G53" t="s">
        <v>104</v>
      </c>
      <c r="H53" t="s">
        <v>9</v>
      </c>
      <c r="I53" t="str">
        <f t="shared" si="1"/>
        <v>Male</v>
      </c>
      <c r="J53">
        <v>21</v>
      </c>
      <c r="K53" t="str">
        <f t="shared" si="2"/>
        <v>Adult</v>
      </c>
      <c r="L53" t="str" cm="1">
        <f t="array" ref="L53">_xlfn.IFS(J53&lt;13,"Child",J53&lt;18,"Teen",J53&lt;60,"Adult",J53&gt;60,"Old Age")</f>
        <v>Adult</v>
      </c>
      <c r="M53">
        <v>0</v>
      </c>
      <c r="N53">
        <v>0</v>
      </c>
      <c r="O53">
        <f t="shared" si="3"/>
        <v>1</v>
      </c>
      <c r="P53">
        <v>7.8</v>
      </c>
      <c r="Q53" t="str">
        <f t="shared" si="4"/>
        <v>High</v>
      </c>
      <c r="R53" t="s">
        <v>1514</v>
      </c>
    </row>
    <row r="54" spans="1:18" x14ac:dyDescent="0.45">
      <c r="A54">
        <v>53</v>
      </c>
      <c r="B54">
        <v>1</v>
      </c>
      <c r="C54" t="str">
        <f t="shared" si="0"/>
        <v>Survived</v>
      </c>
      <c r="D54">
        <v>1</v>
      </c>
      <c r="E54" t="s">
        <v>790</v>
      </c>
      <c r="F54" t="s">
        <v>723</v>
      </c>
      <c r="G54" t="s">
        <v>105</v>
      </c>
      <c r="H54" t="s">
        <v>10</v>
      </c>
      <c r="I54" t="str">
        <f t="shared" si="1"/>
        <v>Female</v>
      </c>
      <c r="J54">
        <v>49</v>
      </c>
      <c r="K54" t="str">
        <f t="shared" si="2"/>
        <v>Adult</v>
      </c>
      <c r="L54" t="str" cm="1">
        <f t="array" ref="L54">_xlfn.IFS(J54&lt;13,"Child",J54&lt;18,"Teen",J54&lt;60,"Adult",J54&gt;60,"Old Age")</f>
        <v>Adult</v>
      </c>
      <c r="M54">
        <v>1</v>
      </c>
      <c r="N54">
        <v>0</v>
      </c>
      <c r="O54">
        <f t="shared" si="3"/>
        <v>2</v>
      </c>
      <c r="P54">
        <v>76.729200000000006</v>
      </c>
      <c r="Q54" t="str">
        <f t="shared" si="4"/>
        <v>High</v>
      </c>
      <c r="R54" t="s">
        <v>1515</v>
      </c>
    </row>
    <row r="55" spans="1:18" x14ac:dyDescent="0.45">
      <c r="A55">
        <v>54</v>
      </c>
      <c r="B55">
        <v>1</v>
      </c>
      <c r="C55" t="str">
        <f t="shared" si="0"/>
        <v>Survived</v>
      </c>
      <c r="D55">
        <v>2</v>
      </c>
      <c r="E55" t="s">
        <v>791</v>
      </c>
      <c r="F55" t="s">
        <v>723</v>
      </c>
      <c r="G55" t="s">
        <v>106</v>
      </c>
      <c r="H55" t="s">
        <v>10</v>
      </c>
      <c r="I55" t="str">
        <f t="shared" si="1"/>
        <v>Female</v>
      </c>
      <c r="J55">
        <v>29</v>
      </c>
      <c r="K55" t="str">
        <f t="shared" si="2"/>
        <v>Adult</v>
      </c>
      <c r="L55" t="str" cm="1">
        <f t="array" ref="L55">_xlfn.IFS(J55&lt;13,"Child",J55&lt;18,"Teen",J55&lt;60,"Adult",J55&gt;60,"Old Age")</f>
        <v>Adult</v>
      </c>
      <c r="M55">
        <v>1</v>
      </c>
      <c r="N55">
        <v>0</v>
      </c>
      <c r="O55">
        <f t="shared" si="3"/>
        <v>2</v>
      </c>
      <c r="P55">
        <v>26</v>
      </c>
      <c r="Q55" t="str">
        <f t="shared" si="4"/>
        <v>High</v>
      </c>
      <c r="R55" t="s">
        <v>1514</v>
      </c>
    </row>
    <row r="56" spans="1:18" x14ac:dyDescent="0.45">
      <c r="A56">
        <v>55</v>
      </c>
      <c r="B56">
        <v>0</v>
      </c>
      <c r="C56" t="str">
        <f t="shared" si="0"/>
        <v>Not Survived</v>
      </c>
      <c r="D56">
        <v>1</v>
      </c>
      <c r="E56" t="s">
        <v>792</v>
      </c>
      <c r="F56" t="s">
        <v>722</v>
      </c>
      <c r="G56" t="s">
        <v>107</v>
      </c>
      <c r="H56" t="s">
        <v>9</v>
      </c>
      <c r="I56" t="str">
        <f t="shared" si="1"/>
        <v>Male</v>
      </c>
      <c r="J56">
        <v>65</v>
      </c>
      <c r="K56" t="str">
        <f t="shared" si="2"/>
        <v>Old Age</v>
      </c>
      <c r="L56" t="str" cm="1">
        <f t="array" ref="L56">_xlfn.IFS(J56&lt;13,"Child",J56&lt;18,"Teen",J56&lt;60,"Adult",J56&gt;60,"Old Age")</f>
        <v>Old Age</v>
      </c>
      <c r="M56">
        <v>0</v>
      </c>
      <c r="N56">
        <v>1</v>
      </c>
      <c r="O56">
        <f t="shared" si="3"/>
        <v>2</v>
      </c>
      <c r="P56">
        <v>61.979199999999999</v>
      </c>
      <c r="Q56" t="str">
        <f t="shared" si="4"/>
        <v>High</v>
      </c>
      <c r="R56" t="s">
        <v>1515</v>
      </c>
    </row>
    <row r="57" spans="1:18" x14ac:dyDescent="0.45">
      <c r="A57">
        <v>56</v>
      </c>
      <c r="B57">
        <v>1</v>
      </c>
      <c r="C57" t="str">
        <f t="shared" si="0"/>
        <v>Survived</v>
      </c>
      <c r="D57">
        <v>1</v>
      </c>
      <c r="E57" t="s">
        <v>793</v>
      </c>
      <c r="F57" t="s">
        <v>722</v>
      </c>
      <c r="G57" t="s">
        <v>108</v>
      </c>
      <c r="H57" t="s">
        <v>9</v>
      </c>
      <c r="I57" t="str">
        <f t="shared" si="1"/>
        <v>Male</v>
      </c>
      <c r="J57">
        <v>28</v>
      </c>
      <c r="K57" t="str">
        <f t="shared" si="2"/>
        <v>Adult</v>
      </c>
      <c r="L57" t="str" cm="1">
        <f t="array" ref="L57">_xlfn.IFS(J57&lt;13,"Child",J57&lt;18,"Teen",J57&lt;60,"Adult",J57&gt;60,"Old Age")</f>
        <v>Adult</v>
      </c>
      <c r="M57">
        <v>0</v>
      </c>
      <c r="N57">
        <v>0</v>
      </c>
      <c r="O57">
        <f t="shared" si="3"/>
        <v>1</v>
      </c>
      <c r="P57">
        <v>35.5</v>
      </c>
      <c r="Q57" t="str">
        <f t="shared" si="4"/>
        <v>High</v>
      </c>
      <c r="R57" t="s">
        <v>1514</v>
      </c>
    </row>
    <row r="58" spans="1:18" x14ac:dyDescent="0.45">
      <c r="A58">
        <v>57</v>
      </c>
      <c r="B58">
        <v>1</v>
      </c>
      <c r="C58" t="str">
        <f t="shared" si="0"/>
        <v>Survived</v>
      </c>
      <c r="D58">
        <v>2</v>
      </c>
      <c r="E58" t="s">
        <v>794</v>
      </c>
      <c r="F58" t="s">
        <v>724</v>
      </c>
      <c r="G58" t="s">
        <v>109</v>
      </c>
      <c r="H58" t="s">
        <v>10</v>
      </c>
      <c r="I58" t="str">
        <f t="shared" si="1"/>
        <v>Female</v>
      </c>
      <c r="J58">
        <v>21</v>
      </c>
      <c r="K58" t="str">
        <f t="shared" si="2"/>
        <v>Adult</v>
      </c>
      <c r="L58" t="str" cm="1">
        <f t="array" ref="L58">_xlfn.IFS(J58&lt;13,"Child",J58&lt;18,"Teen",J58&lt;60,"Adult",J58&gt;60,"Old Age")</f>
        <v>Adult</v>
      </c>
      <c r="M58">
        <v>0</v>
      </c>
      <c r="N58">
        <v>0</v>
      </c>
      <c r="O58">
        <f t="shared" si="3"/>
        <v>1</v>
      </c>
      <c r="P58" t="s">
        <v>18</v>
      </c>
      <c r="Q58" t="str">
        <f t="shared" si="4"/>
        <v>High</v>
      </c>
      <c r="R58" t="s">
        <v>1514</v>
      </c>
    </row>
    <row r="59" spans="1:18" x14ac:dyDescent="0.45">
      <c r="A59">
        <v>58</v>
      </c>
      <c r="B59">
        <v>0</v>
      </c>
      <c r="C59" t="str">
        <f t="shared" si="0"/>
        <v>Not Survived</v>
      </c>
      <c r="D59">
        <v>3</v>
      </c>
      <c r="E59" t="s">
        <v>795</v>
      </c>
      <c r="F59" t="s">
        <v>722</v>
      </c>
      <c r="G59" t="s">
        <v>110</v>
      </c>
      <c r="H59" t="s">
        <v>9</v>
      </c>
      <c r="I59" t="str">
        <f t="shared" si="1"/>
        <v>Male</v>
      </c>
      <c r="J59">
        <v>28.5</v>
      </c>
      <c r="K59" t="str">
        <f t="shared" si="2"/>
        <v>Adult</v>
      </c>
      <c r="L59" t="str" cm="1">
        <f t="array" ref="L59">_xlfn.IFS(J59&lt;13,"Child",J59&lt;18,"Teen",J59&lt;60,"Adult",J59&gt;60,"Old Age")</f>
        <v>Adult</v>
      </c>
      <c r="M59">
        <v>0</v>
      </c>
      <c r="N59">
        <v>0</v>
      </c>
      <c r="O59">
        <f t="shared" si="3"/>
        <v>1</v>
      </c>
      <c r="P59">
        <v>7.2291999999999996</v>
      </c>
      <c r="Q59" t="str">
        <f t="shared" si="4"/>
        <v>High</v>
      </c>
      <c r="R59" t="s">
        <v>1515</v>
      </c>
    </row>
    <row r="60" spans="1:18" x14ac:dyDescent="0.45">
      <c r="A60">
        <v>59</v>
      </c>
      <c r="B60">
        <v>1</v>
      </c>
      <c r="C60" t="str">
        <f t="shared" si="0"/>
        <v>Survived</v>
      </c>
      <c r="D60">
        <v>2</v>
      </c>
      <c r="E60" t="s">
        <v>796</v>
      </c>
      <c r="F60" t="s">
        <v>724</v>
      </c>
      <c r="G60" t="s">
        <v>111</v>
      </c>
      <c r="H60" t="s">
        <v>10</v>
      </c>
      <c r="I60" t="str">
        <f t="shared" si="1"/>
        <v>Female</v>
      </c>
      <c r="J60">
        <v>5</v>
      </c>
      <c r="K60" t="str">
        <f t="shared" si="2"/>
        <v>Child</v>
      </c>
      <c r="L60" t="str" cm="1">
        <f t="array" ref="L60">_xlfn.IFS(J60&lt;13,"Child",J60&lt;18,"Teen",J60&lt;60,"Adult",J60&gt;60,"Old Age")</f>
        <v>Child</v>
      </c>
      <c r="M60">
        <v>1</v>
      </c>
      <c r="N60">
        <v>2</v>
      </c>
      <c r="O60">
        <f t="shared" si="3"/>
        <v>4</v>
      </c>
      <c r="P60">
        <v>27.75</v>
      </c>
      <c r="Q60" t="str">
        <f t="shared" si="4"/>
        <v>High</v>
      </c>
      <c r="R60" t="s">
        <v>1514</v>
      </c>
    </row>
    <row r="61" spans="1:18" x14ac:dyDescent="0.45">
      <c r="A61">
        <v>60</v>
      </c>
      <c r="B61">
        <v>0</v>
      </c>
      <c r="C61" t="str">
        <f t="shared" si="0"/>
        <v>Not Survived</v>
      </c>
      <c r="D61">
        <v>3</v>
      </c>
      <c r="E61" t="s">
        <v>797</v>
      </c>
      <c r="F61" t="s">
        <v>725</v>
      </c>
      <c r="G61" t="s">
        <v>112</v>
      </c>
      <c r="H61" t="s">
        <v>9</v>
      </c>
      <c r="I61" t="str">
        <f t="shared" si="1"/>
        <v>Male</v>
      </c>
      <c r="J61">
        <v>11</v>
      </c>
      <c r="K61" t="str">
        <f t="shared" si="2"/>
        <v>Child</v>
      </c>
      <c r="L61" t="str" cm="1">
        <f t="array" ref="L61">_xlfn.IFS(J61&lt;13,"Child",J61&lt;18,"Teen",J61&lt;60,"Adult",J61&gt;60,"Old Age")</f>
        <v>Child</v>
      </c>
      <c r="M61">
        <v>5</v>
      </c>
      <c r="N61">
        <v>2</v>
      </c>
      <c r="O61">
        <f t="shared" si="3"/>
        <v>8</v>
      </c>
      <c r="P61">
        <v>46.9</v>
      </c>
      <c r="Q61" t="str">
        <f t="shared" si="4"/>
        <v>High</v>
      </c>
      <c r="R61" t="s">
        <v>1514</v>
      </c>
    </row>
    <row r="62" spans="1:18" x14ac:dyDescent="0.45">
      <c r="A62">
        <v>61</v>
      </c>
      <c r="B62">
        <v>0</v>
      </c>
      <c r="C62" t="str">
        <f t="shared" si="0"/>
        <v>Not Survived</v>
      </c>
      <c r="D62">
        <v>3</v>
      </c>
      <c r="E62" t="s">
        <v>798</v>
      </c>
      <c r="F62" t="s">
        <v>722</v>
      </c>
      <c r="G62" t="s">
        <v>113</v>
      </c>
      <c r="H62" t="s">
        <v>9</v>
      </c>
      <c r="I62" t="str">
        <f t="shared" si="1"/>
        <v>Male</v>
      </c>
      <c r="J62">
        <v>22</v>
      </c>
      <c r="K62" t="str">
        <f t="shared" si="2"/>
        <v>Adult</v>
      </c>
      <c r="L62" t="str" cm="1">
        <f t="array" ref="L62">_xlfn.IFS(J62&lt;13,"Child",J62&lt;18,"Teen",J62&lt;60,"Adult",J62&gt;60,"Old Age")</f>
        <v>Adult</v>
      </c>
      <c r="M62">
        <v>0</v>
      </c>
      <c r="N62">
        <v>0</v>
      </c>
      <c r="O62">
        <f t="shared" si="3"/>
        <v>1</v>
      </c>
      <c r="P62">
        <v>7.2291999999999996</v>
      </c>
      <c r="Q62" t="str">
        <f t="shared" si="4"/>
        <v>High</v>
      </c>
      <c r="R62" t="s">
        <v>1515</v>
      </c>
    </row>
    <row r="63" spans="1:18" x14ac:dyDescent="0.45">
      <c r="A63">
        <v>62</v>
      </c>
      <c r="B63">
        <v>1</v>
      </c>
      <c r="C63" t="str">
        <f t="shared" si="0"/>
        <v>Survived</v>
      </c>
      <c r="D63">
        <v>1</v>
      </c>
      <c r="E63" t="s">
        <v>799</v>
      </c>
      <c r="F63" t="s">
        <v>724</v>
      </c>
      <c r="G63" t="s">
        <v>114</v>
      </c>
      <c r="H63" t="s">
        <v>10</v>
      </c>
      <c r="I63" t="str">
        <f t="shared" si="1"/>
        <v>Female</v>
      </c>
      <c r="J63">
        <v>38</v>
      </c>
      <c r="K63" t="str">
        <f t="shared" si="2"/>
        <v>Adult</v>
      </c>
      <c r="L63" t="str" cm="1">
        <f t="array" ref="L63">_xlfn.IFS(J63&lt;13,"Child",J63&lt;18,"Teen",J63&lt;60,"Adult",J63&gt;60,"Old Age")</f>
        <v>Adult</v>
      </c>
      <c r="M63">
        <v>0</v>
      </c>
      <c r="N63">
        <v>0</v>
      </c>
      <c r="O63">
        <f t="shared" si="3"/>
        <v>1</v>
      </c>
      <c r="P63">
        <v>814.45420000000001</v>
      </c>
      <c r="Q63" t="str">
        <f t="shared" si="4"/>
        <v>High</v>
      </c>
      <c r="R63" t="s">
        <v>1514</v>
      </c>
    </row>
    <row r="64" spans="1:18" x14ac:dyDescent="0.45">
      <c r="A64">
        <v>63</v>
      </c>
      <c r="B64">
        <v>0</v>
      </c>
      <c r="C64" t="str">
        <f t="shared" si="0"/>
        <v>Not Survived</v>
      </c>
      <c r="D64">
        <v>1</v>
      </c>
      <c r="E64" t="s">
        <v>800</v>
      </c>
      <c r="F64" t="s">
        <v>722</v>
      </c>
      <c r="G64" t="s">
        <v>115</v>
      </c>
      <c r="H64" t="s">
        <v>9</v>
      </c>
      <c r="I64" t="str">
        <f t="shared" si="1"/>
        <v>Male</v>
      </c>
      <c r="J64">
        <v>45</v>
      </c>
      <c r="K64" t="str">
        <f t="shared" si="2"/>
        <v>Adult</v>
      </c>
      <c r="L64" t="str" cm="1">
        <f t="array" ref="L64">_xlfn.IFS(J64&lt;13,"Child",J64&lt;18,"Teen",J64&lt;60,"Adult",J64&gt;60,"Old Age")</f>
        <v>Adult</v>
      </c>
      <c r="M64">
        <v>1</v>
      </c>
      <c r="N64">
        <v>0</v>
      </c>
      <c r="O64">
        <f t="shared" si="3"/>
        <v>2</v>
      </c>
      <c r="P64">
        <v>83.474999999999994</v>
      </c>
      <c r="Q64" t="str">
        <f t="shared" si="4"/>
        <v>High</v>
      </c>
      <c r="R64" t="s">
        <v>1514</v>
      </c>
    </row>
    <row r="65" spans="1:18" x14ac:dyDescent="0.45">
      <c r="A65">
        <v>64</v>
      </c>
      <c r="B65">
        <v>0</v>
      </c>
      <c r="C65" t="str">
        <f t="shared" si="0"/>
        <v>Not Survived</v>
      </c>
      <c r="D65">
        <v>3</v>
      </c>
      <c r="E65" t="s">
        <v>801</v>
      </c>
      <c r="F65" t="s">
        <v>725</v>
      </c>
      <c r="G65" t="s">
        <v>116</v>
      </c>
      <c r="H65" t="s">
        <v>9</v>
      </c>
      <c r="I65" t="str">
        <f t="shared" si="1"/>
        <v>Male</v>
      </c>
      <c r="J65">
        <v>4</v>
      </c>
      <c r="K65" t="str">
        <f t="shared" si="2"/>
        <v>Child</v>
      </c>
      <c r="L65" t="str" cm="1">
        <f t="array" ref="L65">_xlfn.IFS(J65&lt;13,"Child",J65&lt;18,"Teen",J65&lt;60,"Adult",J65&gt;60,"Old Age")</f>
        <v>Child</v>
      </c>
      <c r="M65">
        <v>3</v>
      </c>
      <c r="N65">
        <v>2</v>
      </c>
      <c r="O65">
        <f t="shared" si="3"/>
        <v>6</v>
      </c>
      <c r="P65">
        <v>27.9</v>
      </c>
      <c r="Q65" t="str">
        <f t="shared" si="4"/>
        <v>High</v>
      </c>
      <c r="R65" t="s">
        <v>1514</v>
      </c>
    </row>
    <row r="66" spans="1:18" x14ac:dyDescent="0.45">
      <c r="A66">
        <v>65</v>
      </c>
      <c r="B66">
        <v>0</v>
      </c>
      <c r="C66" t="str">
        <f t="shared" si="0"/>
        <v>Not Survived</v>
      </c>
      <c r="D66">
        <v>1</v>
      </c>
      <c r="E66" t="s">
        <v>802</v>
      </c>
      <c r="F66" t="s">
        <v>722</v>
      </c>
      <c r="G66" t="s">
        <v>117</v>
      </c>
      <c r="H66" t="s">
        <v>9</v>
      </c>
      <c r="I66" t="str">
        <f t="shared" si="1"/>
        <v>Male</v>
      </c>
      <c r="J66">
        <v>28</v>
      </c>
      <c r="K66" t="str">
        <f t="shared" si="2"/>
        <v>Adult</v>
      </c>
      <c r="L66" t="str" cm="1">
        <f t="array" ref="L66">_xlfn.IFS(J66&lt;13,"Child",J66&lt;18,"Teen",J66&lt;60,"Adult",J66&gt;60,"Old Age")</f>
        <v>Adult</v>
      </c>
      <c r="M66">
        <v>0</v>
      </c>
      <c r="N66">
        <v>0</v>
      </c>
      <c r="O66">
        <f t="shared" si="3"/>
        <v>1</v>
      </c>
      <c r="P66" t="s">
        <v>16</v>
      </c>
      <c r="Q66" t="str">
        <f t="shared" ref="Q66:Q129" si="5">IF(A66&lt;=10,"Low",IF(A66&lt;=50,"Medium","High"))</f>
        <v>High</v>
      </c>
      <c r="R66" t="s">
        <v>1515</v>
      </c>
    </row>
    <row r="67" spans="1:18" x14ac:dyDescent="0.45">
      <c r="A67">
        <v>66</v>
      </c>
      <c r="B67">
        <v>1</v>
      </c>
      <c r="C67" t="str">
        <f t="shared" ref="C67:C130" si="6">IF(B67 = 0, "Not Survived","Survived")</f>
        <v>Survived</v>
      </c>
      <c r="D67">
        <v>3</v>
      </c>
      <c r="E67" t="s">
        <v>803</v>
      </c>
      <c r="F67" t="s">
        <v>725</v>
      </c>
      <c r="G67" t="s">
        <v>118</v>
      </c>
      <c r="H67" t="s">
        <v>9</v>
      </c>
      <c r="I67" t="str">
        <f t="shared" ref="I67:I130" si="7">PROPER(H67)</f>
        <v>Male</v>
      </c>
      <c r="J67">
        <v>28</v>
      </c>
      <c r="K67" t="str">
        <f t="shared" ref="K67:K130" si="8">IF(J67&lt;13,"Child",IF(J67&lt;18,"Teen",IF(J67&lt;60,"Adult","Old Age")))</f>
        <v>Adult</v>
      </c>
      <c r="L67" t="str" cm="1">
        <f t="array" ref="L67">_xlfn.IFS(J67&lt;13,"Child",J67&lt;18,"Teen",J67&lt;60,"Adult",J67&gt;60,"Old Age")</f>
        <v>Adult</v>
      </c>
      <c r="M67">
        <v>1</v>
      </c>
      <c r="N67">
        <v>1</v>
      </c>
      <c r="O67">
        <f t="shared" ref="O67:O130" si="9">M67+N67+1</f>
        <v>3</v>
      </c>
      <c r="P67">
        <v>15.245799999999999</v>
      </c>
      <c r="Q67" t="str">
        <f t="shared" si="5"/>
        <v>High</v>
      </c>
      <c r="R67" t="s">
        <v>1515</v>
      </c>
    </row>
    <row r="68" spans="1:18" x14ac:dyDescent="0.45">
      <c r="A68">
        <v>67</v>
      </c>
      <c r="B68">
        <v>1</v>
      </c>
      <c r="C68" t="str">
        <f t="shared" si="6"/>
        <v>Survived</v>
      </c>
      <c r="D68">
        <v>2</v>
      </c>
      <c r="E68" t="s">
        <v>753</v>
      </c>
      <c r="F68" t="s">
        <v>723</v>
      </c>
      <c r="G68" t="s">
        <v>119</v>
      </c>
      <c r="H68" t="s">
        <v>10</v>
      </c>
      <c r="I68" t="str">
        <f t="shared" si="7"/>
        <v>Female</v>
      </c>
      <c r="J68">
        <v>29</v>
      </c>
      <c r="K68" t="str">
        <f t="shared" si="8"/>
        <v>Adult</v>
      </c>
      <c r="L68" t="str" cm="1">
        <f t="array" ref="L68">_xlfn.IFS(J68&lt;13,"Child",J68&lt;18,"Teen",J68&lt;60,"Adult",J68&gt;60,"Old Age")</f>
        <v>Adult</v>
      </c>
      <c r="M68">
        <v>0</v>
      </c>
      <c r="N68">
        <v>0</v>
      </c>
      <c r="O68">
        <f t="shared" si="9"/>
        <v>1</v>
      </c>
      <c r="P68" t="s">
        <v>18</v>
      </c>
      <c r="Q68" t="str">
        <f t="shared" si="5"/>
        <v>High</v>
      </c>
      <c r="R68" t="s">
        <v>1514</v>
      </c>
    </row>
    <row r="69" spans="1:18" x14ac:dyDescent="0.45">
      <c r="A69">
        <v>68</v>
      </c>
      <c r="B69">
        <v>0</v>
      </c>
      <c r="C69" t="str">
        <f t="shared" si="6"/>
        <v>Not Survived</v>
      </c>
      <c r="D69">
        <v>3</v>
      </c>
      <c r="E69" t="s">
        <v>804</v>
      </c>
      <c r="F69" t="s">
        <v>722</v>
      </c>
      <c r="G69" t="s">
        <v>120</v>
      </c>
      <c r="H69" t="s">
        <v>9</v>
      </c>
      <c r="I69" t="str">
        <f t="shared" si="7"/>
        <v>Male</v>
      </c>
      <c r="J69">
        <v>19</v>
      </c>
      <c r="K69" t="str">
        <f t="shared" si="8"/>
        <v>Adult</v>
      </c>
      <c r="L69" t="str" cm="1">
        <f t="array" ref="L69">_xlfn.IFS(J69&lt;13,"Child",J69&lt;18,"Teen",J69&lt;60,"Adult",J69&gt;60,"Old Age")</f>
        <v>Adult</v>
      </c>
      <c r="M69">
        <v>0</v>
      </c>
      <c r="N69">
        <v>0</v>
      </c>
      <c r="O69">
        <f t="shared" si="9"/>
        <v>1</v>
      </c>
      <c r="P69">
        <v>8.1583000000000006</v>
      </c>
      <c r="Q69" t="str">
        <f t="shared" si="5"/>
        <v>High</v>
      </c>
      <c r="R69" t="s">
        <v>1514</v>
      </c>
    </row>
    <row r="70" spans="1:18" x14ac:dyDescent="0.45">
      <c r="A70">
        <v>69</v>
      </c>
      <c r="B70">
        <v>1</v>
      </c>
      <c r="C70" t="str">
        <f t="shared" si="6"/>
        <v>Survived</v>
      </c>
      <c r="D70">
        <v>3</v>
      </c>
      <c r="E70" t="s">
        <v>805</v>
      </c>
      <c r="F70" t="s">
        <v>724</v>
      </c>
      <c r="G70" t="s">
        <v>68</v>
      </c>
      <c r="H70" t="s">
        <v>10</v>
      </c>
      <c r="I70" t="str">
        <f t="shared" si="7"/>
        <v>Female</v>
      </c>
      <c r="J70">
        <v>17</v>
      </c>
      <c r="K70" t="str">
        <f t="shared" si="8"/>
        <v>Teen</v>
      </c>
      <c r="L70" t="str" cm="1">
        <f t="array" ref="L70">_xlfn.IFS(J70&lt;13,"Child",J70&lt;18,"Teen",J70&lt;60,"Adult",J70&gt;60,"Old Age")</f>
        <v>Teen</v>
      </c>
      <c r="M70">
        <v>4</v>
      </c>
      <c r="N70">
        <v>2</v>
      </c>
      <c r="O70">
        <f t="shared" si="9"/>
        <v>7</v>
      </c>
      <c r="P70">
        <v>7.9249999999999998</v>
      </c>
      <c r="Q70" t="str">
        <f t="shared" si="5"/>
        <v>High</v>
      </c>
      <c r="R70" t="s">
        <v>1514</v>
      </c>
    </row>
    <row r="71" spans="1:18" x14ac:dyDescent="0.45">
      <c r="A71">
        <v>70</v>
      </c>
      <c r="B71">
        <v>0</v>
      </c>
      <c r="C71" t="str">
        <f t="shared" si="6"/>
        <v>Not Survived</v>
      </c>
      <c r="D71">
        <v>3</v>
      </c>
      <c r="E71" t="s">
        <v>806</v>
      </c>
      <c r="F71" t="s">
        <v>722</v>
      </c>
      <c r="G71" t="s">
        <v>121</v>
      </c>
      <c r="H71" t="s">
        <v>9</v>
      </c>
      <c r="I71" t="str">
        <f t="shared" si="7"/>
        <v>Male</v>
      </c>
      <c r="J71">
        <v>26</v>
      </c>
      <c r="K71" t="str">
        <f t="shared" si="8"/>
        <v>Adult</v>
      </c>
      <c r="L71" t="str" cm="1">
        <f t="array" ref="L71">_xlfn.IFS(J71&lt;13,"Child",J71&lt;18,"Teen",J71&lt;60,"Adult",J71&gt;60,"Old Age")</f>
        <v>Adult</v>
      </c>
      <c r="M71">
        <v>2</v>
      </c>
      <c r="N71">
        <v>0</v>
      </c>
      <c r="O71">
        <f t="shared" si="9"/>
        <v>3</v>
      </c>
      <c r="P71">
        <v>8.6624999999999996</v>
      </c>
      <c r="Q71" t="str">
        <f t="shared" si="5"/>
        <v>High</v>
      </c>
      <c r="R71" t="s">
        <v>1514</v>
      </c>
    </row>
    <row r="72" spans="1:18" x14ac:dyDescent="0.45">
      <c r="A72">
        <v>71</v>
      </c>
      <c r="B72">
        <v>0</v>
      </c>
      <c r="C72" t="str">
        <f t="shared" si="6"/>
        <v>Not Survived</v>
      </c>
      <c r="D72">
        <v>2</v>
      </c>
      <c r="E72" t="s">
        <v>807</v>
      </c>
      <c r="F72" t="s">
        <v>722</v>
      </c>
      <c r="G72" t="s">
        <v>122</v>
      </c>
      <c r="H72" t="s">
        <v>9</v>
      </c>
      <c r="I72" t="str">
        <f t="shared" si="7"/>
        <v>Male</v>
      </c>
      <c r="J72">
        <v>32</v>
      </c>
      <c r="K72" t="str">
        <f t="shared" si="8"/>
        <v>Adult</v>
      </c>
      <c r="L72" t="str" cm="1">
        <f t="array" ref="L72">_xlfn.IFS(J72&lt;13,"Child",J72&lt;18,"Teen",J72&lt;60,"Adult",J72&gt;60,"Old Age")</f>
        <v>Adult</v>
      </c>
      <c r="M72">
        <v>0</v>
      </c>
      <c r="N72">
        <v>0</v>
      </c>
      <c r="O72">
        <f t="shared" si="9"/>
        <v>1</v>
      </c>
      <c r="P72" t="s">
        <v>18</v>
      </c>
      <c r="Q72" t="str">
        <f t="shared" si="5"/>
        <v>High</v>
      </c>
      <c r="R72" t="s">
        <v>1514</v>
      </c>
    </row>
    <row r="73" spans="1:18" x14ac:dyDescent="0.45">
      <c r="A73">
        <v>72</v>
      </c>
      <c r="B73">
        <v>0</v>
      </c>
      <c r="C73" t="str">
        <f t="shared" si="6"/>
        <v>Not Survived</v>
      </c>
      <c r="D73">
        <v>3</v>
      </c>
      <c r="E73" t="s">
        <v>808</v>
      </c>
      <c r="F73" t="s">
        <v>724</v>
      </c>
      <c r="G73" t="s">
        <v>112</v>
      </c>
      <c r="H73" t="s">
        <v>10</v>
      </c>
      <c r="I73" t="str">
        <f t="shared" si="7"/>
        <v>Female</v>
      </c>
      <c r="J73">
        <v>16</v>
      </c>
      <c r="K73" t="str">
        <f t="shared" si="8"/>
        <v>Teen</v>
      </c>
      <c r="L73" t="str" cm="1">
        <f t="array" ref="L73">_xlfn.IFS(J73&lt;13,"Child",J73&lt;18,"Teen",J73&lt;60,"Adult",J73&gt;60,"Old Age")</f>
        <v>Teen</v>
      </c>
      <c r="M73">
        <v>5</v>
      </c>
      <c r="N73">
        <v>2</v>
      </c>
      <c r="O73">
        <f t="shared" si="9"/>
        <v>8</v>
      </c>
      <c r="P73">
        <v>46.9</v>
      </c>
      <c r="Q73" t="str">
        <f t="shared" si="5"/>
        <v>High</v>
      </c>
      <c r="R73" t="s">
        <v>1514</v>
      </c>
    </row>
    <row r="74" spans="1:18" x14ac:dyDescent="0.45">
      <c r="A74">
        <v>73</v>
      </c>
      <c r="B74">
        <v>0</v>
      </c>
      <c r="C74" t="str">
        <f t="shared" si="6"/>
        <v>Not Survived</v>
      </c>
      <c r="D74">
        <v>2</v>
      </c>
      <c r="E74" t="s">
        <v>809</v>
      </c>
      <c r="F74" t="s">
        <v>722</v>
      </c>
      <c r="G74" t="s">
        <v>123</v>
      </c>
      <c r="H74" t="s">
        <v>9</v>
      </c>
      <c r="I74" t="str">
        <f t="shared" si="7"/>
        <v>Male</v>
      </c>
      <c r="J74">
        <v>21</v>
      </c>
      <c r="K74" t="str">
        <f t="shared" si="8"/>
        <v>Adult</v>
      </c>
      <c r="L74" t="str" cm="1">
        <f t="array" ref="L74">_xlfn.IFS(J74&lt;13,"Child",J74&lt;18,"Teen",J74&lt;60,"Adult",J74&gt;60,"Old Age")</f>
        <v>Adult</v>
      </c>
      <c r="M74">
        <v>0</v>
      </c>
      <c r="N74">
        <v>0</v>
      </c>
      <c r="O74">
        <f t="shared" si="9"/>
        <v>1</v>
      </c>
      <c r="P74">
        <v>73.5</v>
      </c>
      <c r="Q74" t="str">
        <f t="shared" si="5"/>
        <v>High</v>
      </c>
      <c r="R74" t="s">
        <v>1514</v>
      </c>
    </row>
    <row r="75" spans="1:18" x14ac:dyDescent="0.45">
      <c r="A75">
        <v>74</v>
      </c>
      <c r="B75">
        <v>0</v>
      </c>
      <c r="C75" t="str">
        <f t="shared" si="6"/>
        <v>Not Survived</v>
      </c>
      <c r="D75">
        <v>3</v>
      </c>
      <c r="E75" t="s">
        <v>810</v>
      </c>
      <c r="F75" t="s">
        <v>722</v>
      </c>
      <c r="G75" t="s">
        <v>124</v>
      </c>
      <c r="H75" t="s">
        <v>9</v>
      </c>
      <c r="I75" t="str">
        <f t="shared" si="7"/>
        <v>Male</v>
      </c>
      <c r="J75">
        <v>26</v>
      </c>
      <c r="K75" t="str">
        <f t="shared" si="8"/>
        <v>Adult</v>
      </c>
      <c r="L75" t="str" cm="1">
        <f t="array" ref="L75">_xlfn.IFS(J75&lt;13,"Child",J75&lt;18,"Teen",J75&lt;60,"Adult",J75&gt;60,"Old Age")</f>
        <v>Adult</v>
      </c>
      <c r="M75">
        <v>1</v>
      </c>
      <c r="N75">
        <v>0</v>
      </c>
      <c r="O75">
        <f t="shared" si="9"/>
        <v>2</v>
      </c>
      <c r="P75">
        <v>14.4542</v>
      </c>
      <c r="Q75" t="str">
        <f t="shared" si="5"/>
        <v>High</v>
      </c>
      <c r="R75" t="s">
        <v>1515</v>
      </c>
    </row>
    <row r="76" spans="1:18" x14ac:dyDescent="0.45">
      <c r="A76">
        <v>75</v>
      </c>
      <c r="B76">
        <v>1</v>
      </c>
      <c r="C76" t="str">
        <f t="shared" si="6"/>
        <v>Survived</v>
      </c>
      <c r="D76">
        <v>3</v>
      </c>
      <c r="E76" t="s">
        <v>811</v>
      </c>
      <c r="F76" t="s">
        <v>722</v>
      </c>
      <c r="G76" t="s">
        <v>125</v>
      </c>
      <c r="H76" t="s">
        <v>9</v>
      </c>
      <c r="I76" t="str">
        <f t="shared" si="7"/>
        <v>Male</v>
      </c>
      <c r="J76">
        <v>32</v>
      </c>
      <c r="K76" t="str">
        <f t="shared" si="8"/>
        <v>Adult</v>
      </c>
      <c r="L76" t="str" cm="1">
        <f t="array" ref="L76">_xlfn.IFS(J76&lt;13,"Child",J76&lt;18,"Teen",J76&lt;60,"Adult",J76&gt;60,"Old Age")</f>
        <v>Adult</v>
      </c>
      <c r="M76">
        <v>0</v>
      </c>
      <c r="N76">
        <v>0</v>
      </c>
      <c r="O76">
        <f t="shared" si="9"/>
        <v>1</v>
      </c>
      <c r="P76">
        <v>56.495800000000003</v>
      </c>
      <c r="Q76" t="str">
        <f t="shared" si="5"/>
        <v>High</v>
      </c>
      <c r="R76" t="s">
        <v>1514</v>
      </c>
    </row>
    <row r="77" spans="1:18" x14ac:dyDescent="0.45">
      <c r="A77">
        <v>76</v>
      </c>
      <c r="B77">
        <v>0</v>
      </c>
      <c r="C77" t="str">
        <f t="shared" si="6"/>
        <v>Not Survived</v>
      </c>
      <c r="D77">
        <v>3</v>
      </c>
      <c r="E77" t="s">
        <v>812</v>
      </c>
      <c r="F77" t="s">
        <v>722</v>
      </c>
      <c r="G77" t="s">
        <v>126</v>
      </c>
      <c r="H77" t="s">
        <v>9</v>
      </c>
      <c r="I77" t="str">
        <f t="shared" si="7"/>
        <v>Male</v>
      </c>
      <c r="J77">
        <v>25</v>
      </c>
      <c r="K77" t="str">
        <f t="shared" si="8"/>
        <v>Adult</v>
      </c>
      <c r="L77" t="str" cm="1">
        <f t="array" ref="L77">_xlfn.IFS(J77&lt;13,"Child",J77&lt;18,"Teen",J77&lt;60,"Adult",J77&gt;60,"Old Age")</f>
        <v>Adult</v>
      </c>
      <c r="M77">
        <v>0</v>
      </c>
      <c r="N77">
        <v>0</v>
      </c>
      <c r="O77">
        <f t="shared" si="9"/>
        <v>1</v>
      </c>
      <c r="P77">
        <v>7.65</v>
      </c>
      <c r="Q77" t="str">
        <f t="shared" si="5"/>
        <v>High</v>
      </c>
      <c r="R77" t="s">
        <v>1514</v>
      </c>
    </row>
    <row r="78" spans="1:18" x14ac:dyDescent="0.45">
      <c r="A78">
        <v>77</v>
      </c>
      <c r="B78">
        <v>0</v>
      </c>
      <c r="C78" t="str">
        <f t="shared" si="6"/>
        <v>Not Survived</v>
      </c>
      <c r="D78">
        <v>3</v>
      </c>
      <c r="E78" t="s">
        <v>813</v>
      </c>
      <c r="F78" t="s">
        <v>722</v>
      </c>
      <c r="G78" t="s">
        <v>127</v>
      </c>
      <c r="H78" t="s">
        <v>9</v>
      </c>
      <c r="I78" t="str">
        <f t="shared" si="7"/>
        <v>Male</v>
      </c>
      <c r="J78">
        <v>28</v>
      </c>
      <c r="K78" t="str">
        <f t="shared" si="8"/>
        <v>Adult</v>
      </c>
      <c r="L78" t="str" cm="1">
        <f t="array" ref="L78">_xlfn.IFS(J78&lt;13,"Child",J78&lt;18,"Teen",J78&lt;60,"Adult",J78&gt;60,"Old Age")</f>
        <v>Adult</v>
      </c>
      <c r="M78">
        <v>0</v>
      </c>
      <c r="N78">
        <v>0</v>
      </c>
      <c r="O78">
        <f t="shared" si="9"/>
        <v>1</v>
      </c>
      <c r="P78">
        <v>7.8958000000000004</v>
      </c>
      <c r="Q78" t="str">
        <f t="shared" si="5"/>
        <v>High</v>
      </c>
      <c r="R78" t="s">
        <v>1514</v>
      </c>
    </row>
    <row r="79" spans="1:18" x14ac:dyDescent="0.45">
      <c r="A79">
        <v>78</v>
      </c>
      <c r="B79">
        <v>0</v>
      </c>
      <c r="C79" t="str">
        <f t="shared" si="6"/>
        <v>Not Survived</v>
      </c>
      <c r="D79">
        <v>3</v>
      </c>
      <c r="E79" t="s">
        <v>814</v>
      </c>
      <c r="F79" t="s">
        <v>722</v>
      </c>
      <c r="G79" t="s">
        <v>128</v>
      </c>
      <c r="H79" t="s">
        <v>9</v>
      </c>
      <c r="I79" t="str">
        <f t="shared" si="7"/>
        <v>Male</v>
      </c>
      <c r="J79">
        <v>28</v>
      </c>
      <c r="K79" t="str">
        <f t="shared" si="8"/>
        <v>Adult</v>
      </c>
      <c r="L79" t="str" cm="1">
        <f t="array" ref="L79">_xlfn.IFS(J79&lt;13,"Child",J79&lt;18,"Teen",J79&lt;60,"Adult",J79&gt;60,"Old Age")</f>
        <v>Adult</v>
      </c>
      <c r="M79">
        <v>0</v>
      </c>
      <c r="N79">
        <v>0</v>
      </c>
      <c r="O79">
        <f t="shared" si="9"/>
        <v>1</v>
      </c>
      <c r="P79" t="s">
        <v>12</v>
      </c>
      <c r="Q79" t="str">
        <f t="shared" si="5"/>
        <v>High</v>
      </c>
      <c r="R79" t="s">
        <v>1514</v>
      </c>
    </row>
    <row r="80" spans="1:18" x14ac:dyDescent="0.45">
      <c r="A80">
        <v>79</v>
      </c>
      <c r="B80">
        <v>1</v>
      </c>
      <c r="C80" t="str">
        <f t="shared" si="6"/>
        <v>Survived</v>
      </c>
      <c r="D80">
        <v>2</v>
      </c>
      <c r="E80" t="s">
        <v>815</v>
      </c>
      <c r="F80" t="s">
        <v>725</v>
      </c>
      <c r="G80" t="s">
        <v>129</v>
      </c>
      <c r="H80" t="s">
        <v>9</v>
      </c>
      <c r="I80" t="str">
        <f t="shared" si="7"/>
        <v>Male</v>
      </c>
      <c r="J80">
        <v>0.83</v>
      </c>
      <c r="K80" t="str">
        <f t="shared" si="8"/>
        <v>Child</v>
      </c>
      <c r="L80" t="str" cm="1">
        <f t="array" ref="L80">_xlfn.IFS(J80&lt;13,"Child",J80&lt;18,"Teen",J80&lt;60,"Adult",J80&gt;60,"Old Age")</f>
        <v>Child</v>
      </c>
      <c r="M80">
        <v>0</v>
      </c>
      <c r="N80">
        <v>2</v>
      </c>
      <c r="O80">
        <f t="shared" si="9"/>
        <v>3</v>
      </c>
      <c r="P80">
        <v>29</v>
      </c>
      <c r="Q80" t="str">
        <f t="shared" si="5"/>
        <v>High</v>
      </c>
      <c r="R80" t="s">
        <v>1514</v>
      </c>
    </row>
    <row r="81" spans="1:18" x14ac:dyDescent="0.45">
      <c r="A81">
        <v>80</v>
      </c>
      <c r="B81">
        <v>1</v>
      </c>
      <c r="C81" t="str">
        <f t="shared" si="6"/>
        <v>Survived</v>
      </c>
      <c r="D81">
        <v>3</v>
      </c>
      <c r="E81" t="s">
        <v>750</v>
      </c>
      <c r="F81" t="s">
        <v>724</v>
      </c>
      <c r="G81" t="s">
        <v>130</v>
      </c>
      <c r="H81" t="s">
        <v>10</v>
      </c>
      <c r="I81" t="str">
        <f t="shared" si="7"/>
        <v>Female</v>
      </c>
      <c r="J81">
        <v>30</v>
      </c>
      <c r="K81" t="str">
        <f t="shared" si="8"/>
        <v>Adult</v>
      </c>
      <c r="L81" t="str" cm="1">
        <f t="array" ref="L81">_xlfn.IFS(J81&lt;13,"Child",J81&lt;18,"Teen",J81&lt;60,"Adult",J81&gt;60,"Old Age")</f>
        <v>Adult</v>
      </c>
      <c r="M81">
        <v>0</v>
      </c>
      <c r="N81">
        <v>0</v>
      </c>
      <c r="O81">
        <f t="shared" si="9"/>
        <v>1</v>
      </c>
      <c r="P81">
        <v>12.475</v>
      </c>
      <c r="Q81" t="str">
        <f t="shared" si="5"/>
        <v>High</v>
      </c>
      <c r="R81" t="s">
        <v>1514</v>
      </c>
    </row>
    <row r="82" spans="1:18" x14ac:dyDescent="0.45">
      <c r="A82">
        <v>81</v>
      </c>
      <c r="B82">
        <v>0</v>
      </c>
      <c r="C82" t="str">
        <f t="shared" si="6"/>
        <v>Not Survived</v>
      </c>
      <c r="D82">
        <v>3</v>
      </c>
      <c r="E82" t="s">
        <v>816</v>
      </c>
      <c r="F82" t="s">
        <v>722</v>
      </c>
      <c r="G82" t="s">
        <v>131</v>
      </c>
      <c r="H82" t="s">
        <v>9</v>
      </c>
      <c r="I82" t="str">
        <f t="shared" si="7"/>
        <v>Male</v>
      </c>
      <c r="J82">
        <v>22</v>
      </c>
      <c r="K82" t="str">
        <f t="shared" si="8"/>
        <v>Adult</v>
      </c>
      <c r="L82" t="str" cm="1">
        <f t="array" ref="L82">_xlfn.IFS(J82&lt;13,"Child",J82&lt;18,"Teen",J82&lt;60,"Adult",J82&gt;60,"Old Age")</f>
        <v>Adult</v>
      </c>
      <c r="M82">
        <v>0</v>
      </c>
      <c r="N82">
        <v>0</v>
      </c>
      <c r="O82">
        <f t="shared" si="9"/>
        <v>1</v>
      </c>
      <c r="P82">
        <v>9</v>
      </c>
      <c r="Q82" t="str">
        <f t="shared" si="5"/>
        <v>High</v>
      </c>
      <c r="R82" t="s">
        <v>1514</v>
      </c>
    </row>
    <row r="83" spans="1:18" x14ac:dyDescent="0.45">
      <c r="A83">
        <v>82</v>
      </c>
      <c r="B83">
        <v>1</v>
      </c>
      <c r="C83" t="str">
        <f t="shared" si="6"/>
        <v>Survived</v>
      </c>
      <c r="D83">
        <v>3</v>
      </c>
      <c r="E83" t="s">
        <v>817</v>
      </c>
      <c r="F83" t="s">
        <v>722</v>
      </c>
      <c r="G83" t="s">
        <v>132</v>
      </c>
      <c r="H83" t="s">
        <v>9</v>
      </c>
      <c r="I83" t="str">
        <f t="shared" si="7"/>
        <v>Male</v>
      </c>
      <c r="J83">
        <v>29</v>
      </c>
      <c r="K83" t="str">
        <f t="shared" si="8"/>
        <v>Adult</v>
      </c>
      <c r="L83" t="str" cm="1">
        <f t="array" ref="L83">_xlfn.IFS(J83&lt;13,"Child",J83&lt;18,"Teen",J83&lt;60,"Adult",J83&gt;60,"Old Age")</f>
        <v>Adult</v>
      </c>
      <c r="M83">
        <v>0</v>
      </c>
      <c r="N83">
        <v>0</v>
      </c>
      <c r="O83">
        <f t="shared" si="9"/>
        <v>1</v>
      </c>
      <c r="P83">
        <v>9.5</v>
      </c>
      <c r="Q83" t="str">
        <f t="shared" si="5"/>
        <v>High</v>
      </c>
      <c r="R83" t="s">
        <v>1514</v>
      </c>
    </row>
    <row r="84" spans="1:18" x14ac:dyDescent="0.45">
      <c r="A84">
        <v>83</v>
      </c>
      <c r="B84">
        <v>1</v>
      </c>
      <c r="C84" t="str">
        <f t="shared" si="6"/>
        <v>Survived</v>
      </c>
      <c r="D84">
        <v>3</v>
      </c>
      <c r="E84" t="s">
        <v>818</v>
      </c>
      <c r="F84" t="s">
        <v>724</v>
      </c>
      <c r="G84" t="s">
        <v>133</v>
      </c>
      <c r="H84" t="s">
        <v>10</v>
      </c>
      <c r="I84" t="str">
        <f t="shared" si="7"/>
        <v>Female</v>
      </c>
      <c r="J84">
        <v>28</v>
      </c>
      <c r="K84" t="str">
        <f t="shared" si="8"/>
        <v>Adult</v>
      </c>
      <c r="L84" t="str" cm="1">
        <f t="array" ref="L84">_xlfn.IFS(J84&lt;13,"Child",J84&lt;18,"Teen",J84&lt;60,"Adult",J84&gt;60,"Old Age")</f>
        <v>Adult</v>
      </c>
      <c r="M84">
        <v>0</v>
      </c>
      <c r="N84">
        <v>0</v>
      </c>
      <c r="O84">
        <f t="shared" si="9"/>
        <v>1</v>
      </c>
      <c r="P84">
        <v>7.7874999999999996</v>
      </c>
      <c r="Q84" t="str">
        <f t="shared" si="5"/>
        <v>High</v>
      </c>
      <c r="R84" t="s">
        <v>1516</v>
      </c>
    </row>
    <row r="85" spans="1:18" x14ac:dyDescent="0.45">
      <c r="A85">
        <v>84</v>
      </c>
      <c r="B85">
        <v>0</v>
      </c>
      <c r="C85" t="str">
        <f t="shared" si="6"/>
        <v>Not Survived</v>
      </c>
      <c r="D85">
        <v>1</v>
      </c>
      <c r="E85" t="s">
        <v>819</v>
      </c>
      <c r="F85" t="s">
        <v>722</v>
      </c>
      <c r="G85" t="s">
        <v>134</v>
      </c>
      <c r="H85" t="s">
        <v>9</v>
      </c>
      <c r="I85" t="str">
        <f t="shared" si="7"/>
        <v>Male</v>
      </c>
      <c r="J85">
        <v>28</v>
      </c>
      <c r="K85" t="str">
        <f t="shared" si="8"/>
        <v>Adult</v>
      </c>
      <c r="L85" t="str" cm="1">
        <f t="array" ref="L85">_xlfn.IFS(J85&lt;13,"Child",J85&lt;18,"Teen",J85&lt;60,"Adult",J85&gt;60,"Old Age")</f>
        <v>Adult</v>
      </c>
      <c r="M85">
        <v>0</v>
      </c>
      <c r="N85">
        <v>0</v>
      </c>
      <c r="O85">
        <f t="shared" si="9"/>
        <v>1</v>
      </c>
      <c r="P85">
        <v>47.1</v>
      </c>
      <c r="Q85" t="str">
        <f t="shared" si="5"/>
        <v>High</v>
      </c>
      <c r="R85" t="s">
        <v>1514</v>
      </c>
    </row>
    <row r="86" spans="1:18" x14ac:dyDescent="0.45">
      <c r="A86">
        <v>85</v>
      </c>
      <c r="B86">
        <v>1</v>
      </c>
      <c r="C86" t="str">
        <f t="shared" si="6"/>
        <v>Survived</v>
      </c>
      <c r="D86">
        <v>2</v>
      </c>
      <c r="E86" t="s">
        <v>820</v>
      </c>
      <c r="F86" t="s">
        <v>724</v>
      </c>
      <c r="G86" t="s">
        <v>135</v>
      </c>
      <c r="H86" t="s">
        <v>10</v>
      </c>
      <c r="I86" t="str">
        <f t="shared" si="7"/>
        <v>Female</v>
      </c>
      <c r="J86">
        <v>17</v>
      </c>
      <c r="K86" t="str">
        <f t="shared" si="8"/>
        <v>Teen</v>
      </c>
      <c r="L86" t="str" cm="1">
        <f t="array" ref="L86">_xlfn.IFS(J86&lt;13,"Child",J86&lt;18,"Teen",J86&lt;60,"Adult",J86&gt;60,"Old Age")</f>
        <v>Teen</v>
      </c>
      <c r="M86">
        <v>0</v>
      </c>
      <c r="N86">
        <v>0</v>
      </c>
      <c r="O86">
        <f t="shared" si="9"/>
        <v>1</v>
      </c>
      <c r="P86" t="s">
        <v>18</v>
      </c>
      <c r="Q86" t="str">
        <f t="shared" si="5"/>
        <v>High</v>
      </c>
      <c r="R86" t="s">
        <v>1514</v>
      </c>
    </row>
    <row r="87" spans="1:18" x14ac:dyDescent="0.45">
      <c r="A87">
        <v>86</v>
      </c>
      <c r="B87">
        <v>1</v>
      </c>
      <c r="C87" t="str">
        <f t="shared" si="6"/>
        <v>Survived</v>
      </c>
      <c r="D87">
        <v>3</v>
      </c>
      <c r="E87" t="s">
        <v>821</v>
      </c>
      <c r="F87" t="s">
        <v>723</v>
      </c>
      <c r="G87" t="s">
        <v>136</v>
      </c>
      <c r="H87" t="s">
        <v>10</v>
      </c>
      <c r="I87" t="str">
        <f t="shared" si="7"/>
        <v>Female</v>
      </c>
      <c r="J87">
        <v>33</v>
      </c>
      <c r="K87" t="str">
        <f t="shared" si="8"/>
        <v>Adult</v>
      </c>
      <c r="L87" t="str" cm="1">
        <f t="array" ref="L87">_xlfn.IFS(J87&lt;13,"Child",J87&lt;18,"Teen",J87&lt;60,"Adult",J87&gt;60,"Old Age")</f>
        <v>Adult</v>
      </c>
      <c r="M87">
        <v>3</v>
      </c>
      <c r="N87">
        <v>0</v>
      </c>
      <c r="O87">
        <f t="shared" si="9"/>
        <v>4</v>
      </c>
      <c r="P87">
        <v>15.85</v>
      </c>
      <c r="Q87" t="str">
        <f t="shared" si="5"/>
        <v>High</v>
      </c>
      <c r="R87" t="s">
        <v>1514</v>
      </c>
    </row>
    <row r="88" spans="1:18" x14ac:dyDescent="0.45">
      <c r="A88">
        <v>87</v>
      </c>
      <c r="B88">
        <v>0</v>
      </c>
      <c r="C88" t="str">
        <f t="shared" si="6"/>
        <v>Not Survived</v>
      </c>
      <c r="D88">
        <v>3</v>
      </c>
      <c r="E88" t="s">
        <v>822</v>
      </c>
      <c r="F88" t="s">
        <v>722</v>
      </c>
      <c r="G88" t="s">
        <v>137</v>
      </c>
      <c r="H88" t="s">
        <v>9</v>
      </c>
      <c r="I88" t="str">
        <f t="shared" si="7"/>
        <v>Male</v>
      </c>
      <c r="J88">
        <v>16</v>
      </c>
      <c r="K88" t="str">
        <f t="shared" si="8"/>
        <v>Teen</v>
      </c>
      <c r="L88" t="str" cm="1">
        <f t="array" ref="L88">_xlfn.IFS(J88&lt;13,"Child",J88&lt;18,"Teen",J88&lt;60,"Adult",J88&gt;60,"Old Age")</f>
        <v>Teen</v>
      </c>
      <c r="M88">
        <v>1</v>
      </c>
      <c r="N88">
        <v>3</v>
      </c>
      <c r="O88">
        <f t="shared" si="9"/>
        <v>5</v>
      </c>
      <c r="P88">
        <v>34.375</v>
      </c>
      <c r="Q88" t="str">
        <f t="shared" si="5"/>
        <v>High</v>
      </c>
      <c r="R88" t="s">
        <v>1514</v>
      </c>
    </row>
    <row r="89" spans="1:18" x14ac:dyDescent="0.45">
      <c r="A89">
        <v>88</v>
      </c>
      <c r="B89">
        <v>0</v>
      </c>
      <c r="C89" t="str">
        <f t="shared" si="6"/>
        <v>Not Survived</v>
      </c>
      <c r="D89">
        <v>3</v>
      </c>
      <c r="E89" t="s">
        <v>823</v>
      </c>
      <c r="F89" t="s">
        <v>722</v>
      </c>
      <c r="G89" t="s">
        <v>138</v>
      </c>
      <c r="H89" t="s">
        <v>9</v>
      </c>
      <c r="I89" t="str">
        <f t="shared" si="7"/>
        <v>Male</v>
      </c>
      <c r="J89">
        <v>28</v>
      </c>
      <c r="K89" t="str">
        <f t="shared" si="8"/>
        <v>Adult</v>
      </c>
      <c r="L89" t="str" cm="1">
        <f t="array" ref="L89">_xlfn.IFS(J89&lt;13,"Child",J89&lt;18,"Teen",J89&lt;60,"Adult",J89&gt;60,"Old Age")</f>
        <v>Adult</v>
      </c>
      <c r="M89">
        <v>0</v>
      </c>
      <c r="N89">
        <v>0</v>
      </c>
      <c r="O89">
        <f t="shared" si="9"/>
        <v>1</v>
      </c>
      <c r="P89" t="s">
        <v>12</v>
      </c>
      <c r="Q89" t="str">
        <f t="shared" si="5"/>
        <v>High</v>
      </c>
      <c r="R89" t="s">
        <v>1514</v>
      </c>
    </row>
    <row r="90" spans="1:18" x14ac:dyDescent="0.45">
      <c r="A90">
        <v>89</v>
      </c>
      <c r="B90">
        <v>1</v>
      </c>
      <c r="C90" t="str">
        <f t="shared" si="6"/>
        <v>Survived</v>
      </c>
      <c r="D90">
        <v>1</v>
      </c>
      <c r="E90" t="s">
        <v>824</v>
      </c>
      <c r="F90" t="s">
        <v>724</v>
      </c>
      <c r="G90" t="s">
        <v>81</v>
      </c>
      <c r="H90" t="s">
        <v>10</v>
      </c>
      <c r="I90" t="str">
        <f t="shared" si="7"/>
        <v>Female</v>
      </c>
      <c r="J90">
        <v>23</v>
      </c>
      <c r="K90" t="str">
        <f t="shared" si="8"/>
        <v>Adult</v>
      </c>
      <c r="L90" t="str" cm="1">
        <f t="array" ref="L90">_xlfn.IFS(J90&lt;13,"Child",J90&lt;18,"Teen",J90&lt;60,"Adult",J90&gt;60,"Old Age")</f>
        <v>Adult</v>
      </c>
      <c r="M90">
        <v>3</v>
      </c>
      <c r="N90">
        <v>2</v>
      </c>
      <c r="O90">
        <f t="shared" si="9"/>
        <v>6</v>
      </c>
      <c r="P90">
        <v>263</v>
      </c>
      <c r="Q90" t="str">
        <f t="shared" si="5"/>
        <v>High</v>
      </c>
      <c r="R90" t="s">
        <v>1514</v>
      </c>
    </row>
    <row r="91" spans="1:18" x14ac:dyDescent="0.45">
      <c r="A91">
        <v>90</v>
      </c>
      <c r="B91">
        <v>0</v>
      </c>
      <c r="C91" t="str">
        <f t="shared" si="6"/>
        <v>Not Survived</v>
      </c>
      <c r="D91">
        <v>3</v>
      </c>
      <c r="E91" t="s">
        <v>825</v>
      </c>
      <c r="F91" t="s">
        <v>722</v>
      </c>
      <c r="G91" t="s">
        <v>139</v>
      </c>
      <c r="H91" t="s">
        <v>9</v>
      </c>
      <c r="I91" t="str">
        <f t="shared" si="7"/>
        <v>Male</v>
      </c>
      <c r="J91">
        <v>24</v>
      </c>
      <c r="K91" t="str">
        <f t="shared" si="8"/>
        <v>Adult</v>
      </c>
      <c r="L91" t="str" cm="1">
        <f t="array" ref="L91">_xlfn.IFS(J91&lt;13,"Child",J91&lt;18,"Teen",J91&lt;60,"Adult",J91&gt;60,"Old Age")</f>
        <v>Adult</v>
      </c>
      <c r="M91">
        <v>0</v>
      </c>
      <c r="N91">
        <v>0</v>
      </c>
      <c r="O91">
        <f t="shared" si="9"/>
        <v>1</v>
      </c>
      <c r="P91" t="s">
        <v>12</v>
      </c>
      <c r="Q91" t="str">
        <f t="shared" si="5"/>
        <v>High</v>
      </c>
      <c r="R91" t="s">
        <v>1514</v>
      </c>
    </row>
    <row r="92" spans="1:18" x14ac:dyDescent="0.45">
      <c r="A92">
        <v>91</v>
      </c>
      <c r="B92">
        <v>0</v>
      </c>
      <c r="C92" t="str">
        <f t="shared" si="6"/>
        <v>Not Survived</v>
      </c>
      <c r="D92">
        <v>3</v>
      </c>
      <c r="E92" t="s">
        <v>826</v>
      </c>
      <c r="F92" t="s">
        <v>722</v>
      </c>
      <c r="G92" t="s">
        <v>140</v>
      </c>
      <c r="H92" t="s">
        <v>9</v>
      </c>
      <c r="I92" t="str">
        <f t="shared" si="7"/>
        <v>Male</v>
      </c>
      <c r="J92">
        <v>29</v>
      </c>
      <c r="K92" t="str">
        <f t="shared" si="8"/>
        <v>Adult</v>
      </c>
      <c r="L92" t="str" cm="1">
        <f t="array" ref="L92">_xlfn.IFS(J92&lt;13,"Child",J92&lt;18,"Teen",J92&lt;60,"Adult",J92&gt;60,"Old Age")</f>
        <v>Adult</v>
      </c>
      <c r="M92">
        <v>0</v>
      </c>
      <c r="N92">
        <v>0</v>
      </c>
      <c r="O92">
        <f t="shared" si="9"/>
        <v>1</v>
      </c>
      <c r="P92" t="s">
        <v>12</v>
      </c>
      <c r="Q92" t="str">
        <f t="shared" si="5"/>
        <v>High</v>
      </c>
      <c r="R92" t="s">
        <v>1514</v>
      </c>
    </row>
    <row r="93" spans="1:18" x14ac:dyDescent="0.45">
      <c r="A93">
        <v>92</v>
      </c>
      <c r="B93">
        <v>0</v>
      </c>
      <c r="C93" t="str">
        <f t="shared" si="6"/>
        <v>Not Survived</v>
      </c>
      <c r="D93">
        <v>3</v>
      </c>
      <c r="E93" t="s">
        <v>827</v>
      </c>
      <c r="F93" t="s">
        <v>722</v>
      </c>
      <c r="G93" t="s">
        <v>141</v>
      </c>
      <c r="H93" t="s">
        <v>9</v>
      </c>
      <c r="I93" t="str">
        <f t="shared" si="7"/>
        <v>Male</v>
      </c>
      <c r="J93">
        <v>20</v>
      </c>
      <c r="K93" t="str">
        <f t="shared" si="8"/>
        <v>Adult</v>
      </c>
      <c r="L93" t="str" cm="1">
        <f t="array" ref="L93">_xlfn.IFS(J93&lt;13,"Child",J93&lt;18,"Teen",J93&lt;60,"Adult",J93&gt;60,"Old Age")</f>
        <v>Adult</v>
      </c>
      <c r="M93">
        <v>0</v>
      </c>
      <c r="N93">
        <v>0</v>
      </c>
      <c r="O93">
        <f t="shared" si="9"/>
        <v>1</v>
      </c>
      <c r="P93">
        <v>7.8541999999999996</v>
      </c>
      <c r="Q93" t="str">
        <f t="shared" si="5"/>
        <v>High</v>
      </c>
      <c r="R93" t="s">
        <v>1514</v>
      </c>
    </row>
    <row r="94" spans="1:18" x14ac:dyDescent="0.45">
      <c r="A94">
        <v>93</v>
      </c>
      <c r="B94">
        <v>0</v>
      </c>
      <c r="C94" t="str">
        <f t="shared" si="6"/>
        <v>Not Survived</v>
      </c>
      <c r="D94">
        <v>1</v>
      </c>
      <c r="E94" t="s">
        <v>828</v>
      </c>
      <c r="F94" t="s">
        <v>722</v>
      </c>
      <c r="G94" t="s">
        <v>142</v>
      </c>
      <c r="H94" t="s">
        <v>9</v>
      </c>
      <c r="I94" t="str">
        <f t="shared" si="7"/>
        <v>Male</v>
      </c>
      <c r="J94">
        <v>46</v>
      </c>
      <c r="K94" t="str">
        <f t="shared" si="8"/>
        <v>Adult</v>
      </c>
      <c r="L94" t="str" cm="1">
        <f t="array" ref="L94">_xlfn.IFS(J94&lt;13,"Child",J94&lt;18,"Teen",J94&lt;60,"Adult",J94&gt;60,"Old Age")</f>
        <v>Adult</v>
      </c>
      <c r="M94">
        <v>1</v>
      </c>
      <c r="N94">
        <v>0</v>
      </c>
      <c r="O94">
        <f t="shared" si="9"/>
        <v>2</v>
      </c>
      <c r="P94">
        <v>61.174999999999997</v>
      </c>
      <c r="Q94" t="str">
        <f t="shared" si="5"/>
        <v>High</v>
      </c>
      <c r="R94" t="s">
        <v>1514</v>
      </c>
    </row>
    <row r="95" spans="1:18" x14ac:dyDescent="0.45">
      <c r="A95">
        <v>94</v>
      </c>
      <c r="B95">
        <v>0</v>
      </c>
      <c r="C95" t="str">
        <f t="shared" si="6"/>
        <v>Not Survived</v>
      </c>
      <c r="D95">
        <v>3</v>
      </c>
      <c r="E95" t="s">
        <v>829</v>
      </c>
      <c r="F95" t="s">
        <v>722</v>
      </c>
      <c r="G95" t="s">
        <v>143</v>
      </c>
      <c r="H95" t="s">
        <v>9</v>
      </c>
      <c r="I95" t="str">
        <f t="shared" si="7"/>
        <v>Male</v>
      </c>
      <c r="J95">
        <v>26</v>
      </c>
      <c r="K95" t="str">
        <f t="shared" si="8"/>
        <v>Adult</v>
      </c>
      <c r="L95" t="str" cm="1">
        <f t="array" ref="L95">_xlfn.IFS(J95&lt;13,"Child",J95&lt;18,"Teen",J95&lt;60,"Adult",J95&gt;60,"Old Age")</f>
        <v>Adult</v>
      </c>
      <c r="M95">
        <v>1</v>
      </c>
      <c r="N95">
        <v>2</v>
      </c>
      <c r="O95">
        <f t="shared" si="9"/>
        <v>4</v>
      </c>
      <c r="P95" t="s">
        <v>20</v>
      </c>
      <c r="Q95" t="str">
        <f t="shared" si="5"/>
        <v>High</v>
      </c>
      <c r="R95" t="s">
        <v>1514</v>
      </c>
    </row>
    <row r="96" spans="1:18" x14ac:dyDescent="0.45">
      <c r="A96">
        <v>95</v>
      </c>
      <c r="B96">
        <v>0</v>
      </c>
      <c r="C96" t="str">
        <f t="shared" si="6"/>
        <v>Not Survived</v>
      </c>
      <c r="D96">
        <v>3</v>
      </c>
      <c r="E96" t="s">
        <v>830</v>
      </c>
      <c r="F96" t="s">
        <v>722</v>
      </c>
      <c r="G96" t="s">
        <v>144</v>
      </c>
      <c r="H96" t="s">
        <v>9</v>
      </c>
      <c r="I96" t="str">
        <f t="shared" si="7"/>
        <v>Male</v>
      </c>
      <c r="J96">
        <v>59</v>
      </c>
      <c r="K96" t="str">
        <f t="shared" si="8"/>
        <v>Adult</v>
      </c>
      <c r="L96" t="str" cm="1">
        <f t="array" ref="L96">_xlfn.IFS(J96&lt;13,"Child",J96&lt;18,"Teen",J96&lt;60,"Adult",J96&gt;60,"Old Age")</f>
        <v>Adult</v>
      </c>
      <c r="M96">
        <v>0</v>
      </c>
      <c r="N96">
        <v>0</v>
      </c>
      <c r="O96">
        <f t="shared" si="9"/>
        <v>1</v>
      </c>
      <c r="P96">
        <v>7.25</v>
      </c>
      <c r="Q96" t="str">
        <f t="shared" si="5"/>
        <v>High</v>
      </c>
      <c r="R96" t="s">
        <v>1514</v>
      </c>
    </row>
    <row r="97" spans="1:18" x14ac:dyDescent="0.45">
      <c r="A97">
        <v>96</v>
      </c>
      <c r="B97">
        <v>0</v>
      </c>
      <c r="C97" t="str">
        <f t="shared" si="6"/>
        <v>Not Survived</v>
      </c>
      <c r="D97">
        <v>3</v>
      </c>
      <c r="E97" t="s">
        <v>831</v>
      </c>
      <c r="F97" t="s">
        <v>722</v>
      </c>
      <c r="G97" t="s">
        <v>145</v>
      </c>
      <c r="H97" t="s">
        <v>9</v>
      </c>
      <c r="I97" t="str">
        <f t="shared" si="7"/>
        <v>Male</v>
      </c>
      <c r="J97">
        <v>28</v>
      </c>
      <c r="K97" t="str">
        <f t="shared" si="8"/>
        <v>Adult</v>
      </c>
      <c r="L97" t="str" cm="1">
        <f t="array" ref="L97">_xlfn.IFS(J97&lt;13,"Child",J97&lt;18,"Teen",J97&lt;60,"Adult",J97&gt;60,"Old Age")</f>
        <v>Adult</v>
      </c>
      <c r="M97">
        <v>0</v>
      </c>
      <c r="N97">
        <v>0</v>
      </c>
      <c r="O97">
        <f t="shared" si="9"/>
        <v>1</v>
      </c>
      <c r="P97" t="s">
        <v>12</v>
      </c>
      <c r="Q97" t="str">
        <f t="shared" si="5"/>
        <v>High</v>
      </c>
      <c r="R97" t="s">
        <v>1514</v>
      </c>
    </row>
    <row r="98" spans="1:18" x14ac:dyDescent="0.45">
      <c r="A98">
        <v>97</v>
      </c>
      <c r="B98">
        <v>0</v>
      </c>
      <c r="C98" t="str">
        <f t="shared" si="6"/>
        <v>Not Survived</v>
      </c>
      <c r="D98">
        <v>1</v>
      </c>
      <c r="E98" t="s">
        <v>832</v>
      </c>
      <c r="F98" t="s">
        <v>722</v>
      </c>
      <c r="G98" t="s">
        <v>146</v>
      </c>
      <c r="H98" t="s">
        <v>9</v>
      </c>
      <c r="I98" t="str">
        <f t="shared" si="7"/>
        <v>Male</v>
      </c>
      <c r="J98">
        <v>71</v>
      </c>
      <c r="K98" t="str">
        <f t="shared" si="8"/>
        <v>Old Age</v>
      </c>
      <c r="L98" t="str" cm="1">
        <f t="array" ref="L98">_xlfn.IFS(J98&lt;13,"Child",J98&lt;18,"Teen",J98&lt;60,"Adult",J98&gt;60,"Old Age")</f>
        <v>Old Age</v>
      </c>
      <c r="M98">
        <v>0</v>
      </c>
      <c r="N98">
        <v>0</v>
      </c>
      <c r="O98">
        <f t="shared" si="9"/>
        <v>1</v>
      </c>
      <c r="P98">
        <v>34.654200000000003</v>
      </c>
      <c r="Q98" t="str">
        <f t="shared" si="5"/>
        <v>High</v>
      </c>
      <c r="R98" t="s">
        <v>1515</v>
      </c>
    </row>
    <row r="99" spans="1:18" x14ac:dyDescent="0.45">
      <c r="A99">
        <v>98</v>
      </c>
      <c r="B99">
        <v>1</v>
      </c>
      <c r="C99" t="str">
        <f t="shared" si="6"/>
        <v>Survived</v>
      </c>
      <c r="D99">
        <v>1</v>
      </c>
      <c r="E99" t="s">
        <v>833</v>
      </c>
      <c r="F99" t="s">
        <v>722</v>
      </c>
      <c r="G99" t="s">
        <v>147</v>
      </c>
      <c r="H99" t="s">
        <v>9</v>
      </c>
      <c r="I99" t="str">
        <f t="shared" si="7"/>
        <v>Male</v>
      </c>
      <c r="J99">
        <v>23</v>
      </c>
      <c r="K99" t="str">
        <f t="shared" si="8"/>
        <v>Adult</v>
      </c>
      <c r="L99" t="str" cm="1">
        <f t="array" ref="L99">_xlfn.IFS(J99&lt;13,"Child",J99&lt;18,"Teen",J99&lt;60,"Adult",J99&gt;60,"Old Age")</f>
        <v>Adult</v>
      </c>
      <c r="M99">
        <v>0</v>
      </c>
      <c r="N99">
        <v>1</v>
      </c>
      <c r="O99">
        <f t="shared" si="9"/>
        <v>2</v>
      </c>
      <c r="P99">
        <v>63.3583</v>
      </c>
      <c r="Q99" t="str">
        <f t="shared" si="5"/>
        <v>High</v>
      </c>
      <c r="R99" t="s">
        <v>1515</v>
      </c>
    </row>
    <row r="100" spans="1:18" x14ac:dyDescent="0.45">
      <c r="A100">
        <v>99</v>
      </c>
      <c r="B100">
        <v>1</v>
      </c>
      <c r="C100" t="str">
        <f t="shared" si="6"/>
        <v>Survived</v>
      </c>
      <c r="D100">
        <v>2</v>
      </c>
      <c r="E100" t="s">
        <v>834</v>
      </c>
      <c r="F100" t="s">
        <v>723</v>
      </c>
      <c r="G100" t="s">
        <v>148</v>
      </c>
      <c r="H100" t="s">
        <v>10</v>
      </c>
      <c r="I100" t="str">
        <f t="shared" si="7"/>
        <v>Female</v>
      </c>
      <c r="J100">
        <v>34</v>
      </c>
      <c r="K100" t="str">
        <f t="shared" si="8"/>
        <v>Adult</v>
      </c>
      <c r="L100" t="str" cm="1">
        <f t="array" ref="L100">_xlfn.IFS(J100&lt;13,"Child",J100&lt;18,"Teen",J100&lt;60,"Adult",J100&gt;60,"Old Age")</f>
        <v>Adult</v>
      </c>
      <c r="M100">
        <v>0</v>
      </c>
      <c r="N100">
        <v>1</v>
      </c>
      <c r="O100">
        <f t="shared" si="9"/>
        <v>2</v>
      </c>
      <c r="P100">
        <v>23</v>
      </c>
      <c r="Q100" t="str">
        <f t="shared" si="5"/>
        <v>High</v>
      </c>
      <c r="R100" t="s">
        <v>1514</v>
      </c>
    </row>
    <row r="101" spans="1:18" x14ac:dyDescent="0.45">
      <c r="A101">
        <v>100</v>
      </c>
      <c r="B101">
        <v>0</v>
      </c>
      <c r="C101" t="str">
        <f t="shared" si="6"/>
        <v>Not Survived</v>
      </c>
      <c r="D101">
        <v>2</v>
      </c>
      <c r="E101" t="s">
        <v>835</v>
      </c>
      <c r="F101" t="s">
        <v>722</v>
      </c>
      <c r="G101" t="s">
        <v>149</v>
      </c>
      <c r="H101" t="s">
        <v>9</v>
      </c>
      <c r="I101" t="str">
        <f t="shared" si="7"/>
        <v>Male</v>
      </c>
      <c r="J101">
        <v>34</v>
      </c>
      <c r="K101" t="str">
        <f t="shared" si="8"/>
        <v>Adult</v>
      </c>
      <c r="L101" t="str" cm="1">
        <f t="array" ref="L101">_xlfn.IFS(J101&lt;13,"Child",J101&lt;18,"Teen",J101&lt;60,"Adult",J101&gt;60,"Old Age")</f>
        <v>Adult</v>
      </c>
      <c r="M101">
        <v>1</v>
      </c>
      <c r="N101">
        <v>0</v>
      </c>
      <c r="O101">
        <f t="shared" si="9"/>
        <v>2</v>
      </c>
      <c r="P101">
        <v>26</v>
      </c>
      <c r="Q101" t="str">
        <f t="shared" si="5"/>
        <v>High</v>
      </c>
      <c r="R101" t="s">
        <v>1514</v>
      </c>
    </row>
    <row r="102" spans="1:18" x14ac:dyDescent="0.45">
      <c r="A102">
        <v>101</v>
      </c>
      <c r="B102">
        <v>0</v>
      </c>
      <c r="C102" t="str">
        <f t="shared" si="6"/>
        <v>Not Survived</v>
      </c>
      <c r="D102">
        <v>3</v>
      </c>
      <c r="E102" t="s">
        <v>836</v>
      </c>
      <c r="F102" t="s">
        <v>724</v>
      </c>
      <c r="G102" t="s">
        <v>150</v>
      </c>
      <c r="H102" t="s">
        <v>10</v>
      </c>
      <c r="I102" t="str">
        <f t="shared" si="7"/>
        <v>Female</v>
      </c>
      <c r="J102">
        <v>28</v>
      </c>
      <c r="K102" t="str">
        <f t="shared" si="8"/>
        <v>Adult</v>
      </c>
      <c r="L102" t="str" cm="1">
        <f t="array" ref="L102">_xlfn.IFS(J102&lt;13,"Child",J102&lt;18,"Teen",J102&lt;60,"Adult",J102&gt;60,"Old Age")</f>
        <v>Adult</v>
      </c>
      <c r="M102">
        <v>0</v>
      </c>
      <c r="N102">
        <v>0</v>
      </c>
      <c r="O102">
        <f t="shared" si="9"/>
        <v>1</v>
      </c>
      <c r="P102">
        <v>7.8958000000000004</v>
      </c>
      <c r="Q102" t="str">
        <f t="shared" si="5"/>
        <v>High</v>
      </c>
      <c r="R102" t="s">
        <v>1514</v>
      </c>
    </row>
    <row r="103" spans="1:18" x14ac:dyDescent="0.45">
      <c r="A103">
        <v>102</v>
      </c>
      <c r="B103">
        <v>0</v>
      </c>
      <c r="C103" t="str">
        <f t="shared" si="6"/>
        <v>Not Survived</v>
      </c>
      <c r="D103">
        <v>3</v>
      </c>
      <c r="E103" t="s">
        <v>837</v>
      </c>
      <c r="F103" t="s">
        <v>722</v>
      </c>
      <c r="G103" t="s">
        <v>151</v>
      </c>
      <c r="H103" t="s">
        <v>9</v>
      </c>
      <c r="I103" t="str">
        <f t="shared" si="7"/>
        <v>Male</v>
      </c>
      <c r="J103">
        <v>28</v>
      </c>
      <c r="K103" t="str">
        <f t="shared" si="8"/>
        <v>Adult</v>
      </c>
      <c r="L103" t="str" cm="1">
        <f t="array" ref="L103">_xlfn.IFS(J103&lt;13,"Child",J103&lt;18,"Teen",J103&lt;60,"Adult",J103&gt;60,"Old Age")</f>
        <v>Adult</v>
      </c>
      <c r="M103">
        <v>0</v>
      </c>
      <c r="N103">
        <v>0</v>
      </c>
      <c r="O103">
        <f t="shared" si="9"/>
        <v>1</v>
      </c>
      <c r="P103">
        <v>7.8958000000000004</v>
      </c>
      <c r="Q103" t="str">
        <f t="shared" si="5"/>
        <v>High</v>
      </c>
      <c r="R103" t="s">
        <v>1514</v>
      </c>
    </row>
    <row r="104" spans="1:18" x14ac:dyDescent="0.45">
      <c r="A104">
        <v>103</v>
      </c>
      <c r="B104">
        <v>0</v>
      </c>
      <c r="C104" t="str">
        <f t="shared" si="6"/>
        <v>Not Survived</v>
      </c>
      <c r="D104">
        <v>1</v>
      </c>
      <c r="E104" t="s">
        <v>838</v>
      </c>
      <c r="F104" t="s">
        <v>722</v>
      </c>
      <c r="G104" t="s">
        <v>152</v>
      </c>
      <c r="H104" t="s">
        <v>9</v>
      </c>
      <c r="I104" t="str">
        <f t="shared" si="7"/>
        <v>Male</v>
      </c>
      <c r="J104">
        <v>21</v>
      </c>
      <c r="K104" t="str">
        <f t="shared" si="8"/>
        <v>Adult</v>
      </c>
      <c r="L104" t="str" cm="1">
        <f t="array" ref="L104">_xlfn.IFS(J104&lt;13,"Child",J104&lt;18,"Teen",J104&lt;60,"Adult",J104&gt;60,"Old Age")</f>
        <v>Adult</v>
      </c>
      <c r="M104">
        <v>0</v>
      </c>
      <c r="N104">
        <v>1</v>
      </c>
      <c r="O104">
        <f t="shared" si="9"/>
        <v>2</v>
      </c>
      <c r="P104">
        <v>77.287499999999994</v>
      </c>
      <c r="Q104" t="str">
        <f t="shared" si="5"/>
        <v>High</v>
      </c>
      <c r="R104" t="s">
        <v>1514</v>
      </c>
    </row>
    <row r="105" spans="1:18" x14ac:dyDescent="0.45">
      <c r="A105">
        <v>104</v>
      </c>
      <c r="B105">
        <v>0</v>
      </c>
      <c r="C105" t="str">
        <f t="shared" si="6"/>
        <v>Not Survived</v>
      </c>
      <c r="D105">
        <v>3</v>
      </c>
      <c r="E105" t="s">
        <v>839</v>
      </c>
      <c r="F105" t="s">
        <v>722</v>
      </c>
      <c r="G105" t="s">
        <v>153</v>
      </c>
      <c r="H105" t="s">
        <v>9</v>
      </c>
      <c r="I105" t="str">
        <f t="shared" si="7"/>
        <v>Male</v>
      </c>
      <c r="J105">
        <v>33</v>
      </c>
      <c r="K105" t="str">
        <f t="shared" si="8"/>
        <v>Adult</v>
      </c>
      <c r="L105" t="str" cm="1">
        <f t="array" ref="L105">_xlfn.IFS(J105&lt;13,"Child",J105&lt;18,"Teen",J105&lt;60,"Adult",J105&gt;60,"Old Age")</f>
        <v>Adult</v>
      </c>
      <c r="M105">
        <v>0</v>
      </c>
      <c r="N105">
        <v>0</v>
      </c>
      <c r="O105">
        <f t="shared" si="9"/>
        <v>1</v>
      </c>
      <c r="P105">
        <v>8.6541999999999994</v>
      </c>
      <c r="Q105" t="str">
        <f t="shared" si="5"/>
        <v>High</v>
      </c>
      <c r="R105" t="s">
        <v>1514</v>
      </c>
    </row>
    <row r="106" spans="1:18" x14ac:dyDescent="0.45">
      <c r="A106">
        <v>105</v>
      </c>
      <c r="B106">
        <v>0</v>
      </c>
      <c r="C106" t="str">
        <f t="shared" si="6"/>
        <v>Not Survived</v>
      </c>
      <c r="D106">
        <v>3</v>
      </c>
      <c r="E106" t="s">
        <v>840</v>
      </c>
      <c r="F106" t="s">
        <v>722</v>
      </c>
      <c r="G106" t="s">
        <v>154</v>
      </c>
      <c r="H106" t="s">
        <v>9</v>
      </c>
      <c r="I106" t="str">
        <f t="shared" si="7"/>
        <v>Male</v>
      </c>
      <c r="J106">
        <v>37</v>
      </c>
      <c r="K106" t="str">
        <f t="shared" si="8"/>
        <v>Adult</v>
      </c>
      <c r="L106" t="str" cm="1">
        <f t="array" ref="L106">_xlfn.IFS(J106&lt;13,"Child",J106&lt;18,"Teen",J106&lt;60,"Adult",J106&gt;60,"Old Age")</f>
        <v>Adult</v>
      </c>
      <c r="M106">
        <v>2</v>
      </c>
      <c r="N106">
        <v>0</v>
      </c>
      <c r="O106">
        <f t="shared" si="9"/>
        <v>3</v>
      </c>
      <c r="P106">
        <v>7.9249999999999998</v>
      </c>
      <c r="Q106" t="str">
        <f t="shared" si="5"/>
        <v>High</v>
      </c>
      <c r="R106" t="s">
        <v>1514</v>
      </c>
    </row>
    <row r="107" spans="1:18" x14ac:dyDescent="0.45">
      <c r="A107">
        <v>106</v>
      </c>
      <c r="B107">
        <v>0</v>
      </c>
      <c r="C107" t="str">
        <f t="shared" si="6"/>
        <v>Not Survived</v>
      </c>
      <c r="D107">
        <v>3</v>
      </c>
      <c r="E107" t="s">
        <v>841</v>
      </c>
      <c r="F107" t="s">
        <v>722</v>
      </c>
      <c r="G107" t="s">
        <v>155</v>
      </c>
      <c r="H107" t="s">
        <v>9</v>
      </c>
      <c r="I107" t="str">
        <f t="shared" si="7"/>
        <v>Male</v>
      </c>
      <c r="J107">
        <v>28</v>
      </c>
      <c r="K107" t="str">
        <f t="shared" si="8"/>
        <v>Adult</v>
      </c>
      <c r="L107" t="str" cm="1">
        <f t="array" ref="L107">_xlfn.IFS(J107&lt;13,"Child",J107&lt;18,"Teen",J107&lt;60,"Adult",J107&gt;60,"Old Age")</f>
        <v>Adult</v>
      </c>
      <c r="M107">
        <v>0</v>
      </c>
      <c r="N107">
        <v>0</v>
      </c>
      <c r="O107">
        <f t="shared" si="9"/>
        <v>1</v>
      </c>
      <c r="P107">
        <v>7.8958000000000004</v>
      </c>
      <c r="Q107" t="str">
        <f t="shared" si="5"/>
        <v>High</v>
      </c>
      <c r="R107" t="s">
        <v>1514</v>
      </c>
    </row>
    <row r="108" spans="1:18" x14ac:dyDescent="0.45">
      <c r="A108">
        <v>107</v>
      </c>
      <c r="B108">
        <v>1</v>
      </c>
      <c r="C108" t="str">
        <f t="shared" si="6"/>
        <v>Survived</v>
      </c>
      <c r="D108">
        <v>3</v>
      </c>
      <c r="E108" t="s">
        <v>842</v>
      </c>
      <c r="F108" t="s">
        <v>724</v>
      </c>
      <c r="G108" t="s">
        <v>156</v>
      </c>
      <c r="H108" t="s">
        <v>10</v>
      </c>
      <c r="I108" t="str">
        <f t="shared" si="7"/>
        <v>Female</v>
      </c>
      <c r="J108">
        <v>21</v>
      </c>
      <c r="K108" t="str">
        <f t="shared" si="8"/>
        <v>Adult</v>
      </c>
      <c r="L108" t="str" cm="1">
        <f t="array" ref="L108">_xlfn.IFS(J108&lt;13,"Child",J108&lt;18,"Teen",J108&lt;60,"Adult",J108&gt;60,"Old Age")</f>
        <v>Adult</v>
      </c>
      <c r="M108">
        <v>0</v>
      </c>
      <c r="N108">
        <v>0</v>
      </c>
      <c r="O108">
        <f t="shared" si="9"/>
        <v>1</v>
      </c>
      <c r="P108">
        <v>7.65</v>
      </c>
      <c r="Q108" t="str">
        <f t="shared" si="5"/>
        <v>High</v>
      </c>
      <c r="R108" t="s">
        <v>1514</v>
      </c>
    </row>
    <row r="109" spans="1:18" x14ac:dyDescent="0.45">
      <c r="A109">
        <v>108</v>
      </c>
      <c r="B109">
        <v>1</v>
      </c>
      <c r="C109" t="str">
        <f t="shared" si="6"/>
        <v>Survived</v>
      </c>
      <c r="D109">
        <v>3</v>
      </c>
      <c r="E109" t="s">
        <v>843</v>
      </c>
      <c r="F109" t="s">
        <v>722</v>
      </c>
      <c r="G109" t="s">
        <v>157</v>
      </c>
      <c r="H109" t="s">
        <v>9</v>
      </c>
      <c r="I109" t="str">
        <f t="shared" si="7"/>
        <v>Male</v>
      </c>
      <c r="J109">
        <v>28</v>
      </c>
      <c r="K109" t="str">
        <f t="shared" si="8"/>
        <v>Adult</v>
      </c>
      <c r="L109" t="str" cm="1">
        <f t="array" ref="L109">_xlfn.IFS(J109&lt;13,"Child",J109&lt;18,"Teen",J109&lt;60,"Adult",J109&gt;60,"Old Age")</f>
        <v>Adult</v>
      </c>
      <c r="M109">
        <v>0</v>
      </c>
      <c r="N109">
        <v>0</v>
      </c>
      <c r="O109">
        <f t="shared" si="9"/>
        <v>1</v>
      </c>
      <c r="P109">
        <v>7.7750000000000004</v>
      </c>
      <c r="Q109" t="str">
        <f t="shared" si="5"/>
        <v>High</v>
      </c>
      <c r="R109" t="s">
        <v>1514</v>
      </c>
    </row>
    <row r="110" spans="1:18" x14ac:dyDescent="0.45">
      <c r="A110">
        <v>109</v>
      </c>
      <c r="B110">
        <v>0</v>
      </c>
      <c r="C110" t="str">
        <f t="shared" si="6"/>
        <v>Not Survived</v>
      </c>
      <c r="D110">
        <v>3</v>
      </c>
      <c r="E110" t="s">
        <v>844</v>
      </c>
      <c r="F110" t="s">
        <v>722</v>
      </c>
      <c r="G110" t="s">
        <v>158</v>
      </c>
      <c r="H110" t="s">
        <v>9</v>
      </c>
      <c r="I110" t="str">
        <f t="shared" si="7"/>
        <v>Male</v>
      </c>
      <c r="J110">
        <v>38</v>
      </c>
      <c r="K110" t="str">
        <f t="shared" si="8"/>
        <v>Adult</v>
      </c>
      <c r="L110" t="str" cm="1">
        <f t="array" ref="L110">_xlfn.IFS(J110&lt;13,"Child",J110&lt;18,"Teen",J110&lt;60,"Adult",J110&gt;60,"Old Age")</f>
        <v>Adult</v>
      </c>
      <c r="M110">
        <v>0</v>
      </c>
      <c r="N110">
        <v>0</v>
      </c>
      <c r="O110">
        <f t="shared" si="9"/>
        <v>1</v>
      </c>
      <c r="P110">
        <v>7.8958000000000004</v>
      </c>
      <c r="Q110" t="str">
        <f t="shared" si="5"/>
        <v>High</v>
      </c>
      <c r="R110" t="s">
        <v>1514</v>
      </c>
    </row>
    <row r="111" spans="1:18" x14ac:dyDescent="0.45">
      <c r="A111">
        <v>110</v>
      </c>
      <c r="B111">
        <v>1</v>
      </c>
      <c r="C111" t="str">
        <f t="shared" si="6"/>
        <v>Survived</v>
      </c>
      <c r="D111">
        <v>3</v>
      </c>
      <c r="E111" t="s">
        <v>820</v>
      </c>
      <c r="F111" t="s">
        <v>724</v>
      </c>
      <c r="G111" t="s">
        <v>60</v>
      </c>
      <c r="H111" t="s">
        <v>10</v>
      </c>
      <c r="I111" t="str">
        <f t="shared" si="7"/>
        <v>Female</v>
      </c>
      <c r="J111">
        <v>28</v>
      </c>
      <c r="K111" t="str">
        <f t="shared" si="8"/>
        <v>Adult</v>
      </c>
      <c r="L111" t="str" cm="1">
        <f t="array" ref="L111">_xlfn.IFS(J111&lt;13,"Child",J111&lt;18,"Teen",J111&lt;60,"Adult",J111&gt;60,"Old Age")</f>
        <v>Adult</v>
      </c>
      <c r="M111">
        <v>1</v>
      </c>
      <c r="N111">
        <v>0</v>
      </c>
      <c r="O111">
        <f t="shared" si="9"/>
        <v>2</v>
      </c>
      <c r="P111">
        <v>24.15</v>
      </c>
      <c r="Q111" t="str">
        <f t="shared" si="5"/>
        <v>High</v>
      </c>
      <c r="R111" t="s">
        <v>1516</v>
      </c>
    </row>
    <row r="112" spans="1:18" x14ac:dyDescent="0.45">
      <c r="A112">
        <v>111</v>
      </c>
      <c r="B112">
        <v>0</v>
      </c>
      <c r="C112" t="str">
        <f t="shared" si="6"/>
        <v>Not Survived</v>
      </c>
      <c r="D112">
        <v>1</v>
      </c>
      <c r="E112" t="s">
        <v>845</v>
      </c>
      <c r="F112" t="s">
        <v>722</v>
      </c>
      <c r="G112" t="s">
        <v>159</v>
      </c>
      <c r="H112" t="s">
        <v>9</v>
      </c>
      <c r="I112" t="str">
        <f t="shared" si="7"/>
        <v>Male</v>
      </c>
      <c r="J112">
        <v>47</v>
      </c>
      <c r="K112" t="str">
        <f t="shared" si="8"/>
        <v>Adult</v>
      </c>
      <c r="L112" t="str" cm="1">
        <f t="array" ref="L112">_xlfn.IFS(J112&lt;13,"Child",J112&lt;18,"Teen",J112&lt;60,"Adult",J112&gt;60,"Old Age")</f>
        <v>Adult</v>
      </c>
      <c r="M112">
        <v>0</v>
      </c>
      <c r="N112">
        <v>0</v>
      </c>
      <c r="O112">
        <f t="shared" si="9"/>
        <v>1</v>
      </c>
      <c r="P112">
        <v>52</v>
      </c>
      <c r="Q112" t="str">
        <f t="shared" si="5"/>
        <v>High</v>
      </c>
      <c r="R112" t="s">
        <v>1514</v>
      </c>
    </row>
    <row r="113" spans="1:18" x14ac:dyDescent="0.45">
      <c r="A113">
        <v>112</v>
      </c>
      <c r="B113">
        <v>0</v>
      </c>
      <c r="C113" t="str">
        <f t="shared" si="6"/>
        <v>Not Survived</v>
      </c>
      <c r="D113">
        <v>3</v>
      </c>
      <c r="E113" t="s">
        <v>846</v>
      </c>
      <c r="F113" t="s">
        <v>724</v>
      </c>
      <c r="G113" t="s">
        <v>160</v>
      </c>
      <c r="H113" t="s">
        <v>10</v>
      </c>
      <c r="I113" t="str">
        <f t="shared" si="7"/>
        <v>Female</v>
      </c>
      <c r="J113">
        <v>14.5</v>
      </c>
      <c r="K113" t="str">
        <f t="shared" si="8"/>
        <v>Teen</v>
      </c>
      <c r="L113" t="str" cm="1">
        <f t="array" ref="L113">_xlfn.IFS(J113&lt;13,"Child",J113&lt;18,"Teen",J113&lt;60,"Adult",J113&gt;60,"Old Age")</f>
        <v>Teen</v>
      </c>
      <c r="M113">
        <v>1</v>
      </c>
      <c r="N113">
        <v>0</v>
      </c>
      <c r="O113">
        <f t="shared" si="9"/>
        <v>2</v>
      </c>
      <c r="P113">
        <v>14.4542</v>
      </c>
      <c r="Q113" t="str">
        <f t="shared" si="5"/>
        <v>High</v>
      </c>
      <c r="R113" t="s">
        <v>1515</v>
      </c>
    </row>
    <row r="114" spans="1:18" x14ac:dyDescent="0.45">
      <c r="A114">
        <v>113</v>
      </c>
      <c r="B114">
        <v>0</v>
      </c>
      <c r="C114" t="str">
        <f t="shared" si="6"/>
        <v>Not Survived</v>
      </c>
      <c r="D114">
        <v>3</v>
      </c>
      <c r="E114" t="s">
        <v>847</v>
      </c>
      <c r="F114" t="s">
        <v>722</v>
      </c>
      <c r="G114" t="s">
        <v>161</v>
      </c>
      <c r="H114" t="s">
        <v>9</v>
      </c>
      <c r="I114" t="str">
        <f t="shared" si="7"/>
        <v>Male</v>
      </c>
      <c r="J114">
        <v>22</v>
      </c>
      <c r="K114" t="str">
        <f t="shared" si="8"/>
        <v>Adult</v>
      </c>
      <c r="L114" t="str" cm="1">
        <f t="array" ref="L114">_xlfn.IFS(J114&lt;13,"Child",J114&lt;18,"Teen",J114&lt;60,"Adult",J114&gt;60,"Old Age")</f>
        <v>Adult</v>
      </c>
      <c r="M114">
        <v>0</v>
      </c>
      <c r="N114">
        <v>0</v>
      </c>
      <c r="O114">
        <f t="shared" si="9"/>
        <v>1</v>
      </c>
      <c r="P114" t="s">
        <v>12</v>
      </c>
      <c r="Q114" t="str">
        <f t="shared" si="5"/>
        <v>High</v>
      </c>
      <c r="R114" t="s">
        <v>1514</v>
      </c>
    </row>
    <row r="115" spans="1:18" x14ac:dyDescent="0.45">
      <c r="A115">
        <v>114</v>
      </c>
      <c r="B115">
        <v>0</v>
      </c>
      <c r="C115" t="str">
        <f t="shared" si="6"/>
        <v>Not Survived</v>
      </c>
      <c r="D115">
        <v>3</v>
      </c>
      <c r="E115" t="s">
        <v>848</v>
      </c>
      <c r="F115" t="s">
        <v>724</v>
      </c>
      <c r="G115" t="s">
        <v>162</v>
      </c>
      <c r="H115" t="s">
        <v>10</v>
      </c>
      <c r="I115" t="str">
        <f t="shared" si="7"/>
        <v>Female</v>
      </c>
      <c r="J115">
        <v>20</v>
      </c>
      <c r="K115" t="str">
        <f t="shared" si="8"/>
        <v>Adult</v>
      </c>
      <c r="L115" t="str" cm="1">
        <f t="array" ref="L115">_xlfn.IFS(J115&lt;13,"Child",J115&lt;18,"Teen",J115&lt;60,"Adult",J115&gt;60,"Old Age")</f>
        <v>Adult</v>
      </c>
      <c r="M115">
        <v>1</v>
      </c>
      <c r="N115">
        <v>0</v>
      </c>
      <c r="O115">
        <f t="shared" si="9"/>
        <v>2</v>
      </c>
      <c r="P115">
        <v>9.8249999999999993</v>
      </c>
      <c r="Q115" t="str">
        <f t="shared" si="5"/>
        <v>High</v>
      </c>
      <c r="R115" t="s">
        <v>1514</v>
      </c>
    </row>
    <row r="116" spans="1:18" x14ac:dyDescent="0.45">
      <c r="A116">
        <v>115</v>
      </c>
      <c r="B116">
        <v>0</v>
      </c>
      <c r="C116" t="str">
        <f t="shared" si="6"/>
        <v>Not Survived</v>
      </c>
      <c r="D116">
        <v>3</v>
      </c>
      <c r="E116" t="s">
        <v>849</v>
      </c>
      <c r="F116" t="s">
        <v>724</v>
      </c>
      <c r="G116" t="s">
        <v>163</v>
      </c>
      <c r="H116" t="s">
        <v>10</v>
      </c>
      <c r="I116" t="str">
        <f t="shared" si="7"/>
        <v>Female</v>
      </c>
      <c r="J116">
        <v>17</v>
      </c>
      <c r="K116" t="str">
        <f t="shared" si="8"/>
        <v>Teen</v>
      </c>
      <c r="L116" t="str" cm="1">
        <f t="array" ref="L116">_xlfn.IFS(J116&lt;13,"Child",J116&lt;18,"Teen",J116&lt;60,"Adult",J116&gt;60,"Old Age")</f>
        <v>Teen</v>
      </c>
      <c r="M116">
        <v>0</v>
      </c>
      <c r="N116">
        <v>0</v>
      </c>
      <c r="O116">
        <f t="shared" si="9"/>
        <v>1</v>
      </c>
      <c r="P116">
        <v>14.458299999999999</v>
      </c>
      <c r="Q116" t="str">
        <f t="shared" si="5"/>
        <v>High</v>
      </c>
      <c r="R116" t="s">
        <v>1515</v>
      </c>
    </row>
    <row r="117" spans="1:18" x14ac:dyDescent="0.45">
      <c r="A117">
        <v>116</v>
      </c>
      <c r="B117">
        <v>0</v>
      </c>
      <c r="C117" t="str">
        <f t="shared" si="6"/>
        <v>Not Survived</v>
      </c>
      <c r="D117">
        <v>3</v>
      </c>
      <c r="E117" t="s">
        <v>850</v>
      </c>
      <c r="F117" t="s">
        <v>722</v>
      </c>
      <c r="G117" t="s">
        <v>164</v>
      </c>
      <c r="H117" t="s">
        <v>9</v>
      </c>
      <c r="I117" t="str">
        <f t="shared" si="7"/>
        <v>Male</v>
      </c>
      <c r="J117">
        <v>21</v>
      </c>
      <c r="K117" t="str">
        <f t="shared" si="8"/>
        <v>Adult</v>
      </c>
      <c r="L117" t="str" cm="1">
        <f t="array" ref="L117">_xlfn.IFS(J117&lt;13,"Child",J117&lt;18,"Teen",J117&lt;60,"Adult",J117&gt;60,"Old Age")</f>
        <v>Adult</v>
      </c>
      <c r="M117">
        <v>0</v>
      </c>
      <c r="N117">
        <v>0</v>
      </c>
      <c r="O117">
        <f t="shared" si="9"/>
        <v>1</v>
      </c>
      <c r="P117">
        <v>7.9249999999999998</v>
      </c>
      <c r="Q117" t="str">
        <f t="shared" si="5"/>
        <v>High</v>
      </c>
      <c r="R117" t="s">
        <v>1514</v>
      </c>
    </row>
    <row r="118" spans="1:18" x14ac:dyDescent="0.45">
      <c r="A118">
        <v>117</v>
      </c>
      <c r="B118">
        <v>0</v>
      </c>
      <c r="C118" t="str">
        <f t="shared" si="6"/>
        <v>Not Survived</v>
      </c>
      <c r="D118">
        <v>3</v>
      </c>
      <c r="E118" t="s">
        <v>851</v>
      </c>
      <c r="F118" t="s">
        <v>722</v>
      </c>
      <c r="G118" t="s">
        <v>165</v>
      </c>
      <c r="H118" t="s">
        <v>9</v>
      </c>
      <c r="I118" t="str">
        <f t="shared" si="7"/>
        <v>Male</v>
      </c>
      <c r="J118">
        <v>70.5</v>
      </c>
      <c r="K118" t="str">
        <f t="shared" si="8"/>
        <v>Old Age</v>
      </c>
      <c r="L118" t="str" cm="1">
        <f t="array" ref="L118">_xlfn.IFS(J118&lt;13,"Child",J118&lt;18,"Teen",J118&lt;60,"Adult",J118&gt;60,"Old Age")</f>
        <v>Old Age</v>
      </c>
      <c r="M118">
        <v>0</v>
      </c>
      <c r="N118">
        <v>0</v>
      </c>
      <c r="O118">
        <f t="shared" si="9"/>
        <v>1</v>
      </c>
      <c r="P118">
        <v>7.75</v>
      </c>
      <c r="Q118" t="str">
        <f t="shared" si="5"/>
        <v>High</v>
      </c>
      <c r="R118" t="s">
        <v>1516</v>
      </c>
    </row>
    <row r="119" spans="1:18" x14ac:dyDescent="0.45">
      <c r="A119">
        <v>118</v>
      </c>
      <c r="B119">
        <v>0</v>
      </c>
      <c r="C119" t="str">
        <f t="shared" si="6"/>
        <v>Not Survived</v>
      </c>
      <c r="D119">
        <v>2</v>
      </c>
      <c r="E119" t="s">
        <v>852</v>
      </c>
      <c r="F119" t="s">
        <v>722</v>
      </c>
      <c r="G119" t="s">
        <v>94</v>
      </c>
      <c r="H119" t="s">
        <v>9</v>
      </c>
      <c r="I119" t="str">
        <f t="shared" si="7"/>
        <v>Male</v>
      </c>
      <c r="J119">
        <v>29</v>
      </c>
      <c r="K119" t="str">
        <f t="shared" si="8"/>
        <v>Adult</v>
      </c>
      <c r="L119" t="str" cm="1">
        <f t="array" ref="L119">_xlfn.IFS(J119&lt;13,"Child",J119&lt;18,"Teen",J119&lt;60,"Adult",J119&gt;60,"Old Age")</f>
        <v>Adult</v>
      </c>
      <c r="M119">
        <v>1</v>
      </c>
      <c r="N119">
        <v>0</v>
      </c>
      <c r="O119">
        <f t="shared" si="9"/>
        <v>2</v>
      </c>
      <c r="P119">
        <v>21</v>
      </c>
      <c r="Q119" t="str">
        <f t="shared" si="5"/>
        <v>High</v>
      </c>
      <c r="R119" t="s">
        <v>1514</v>
      </c>
    </row>
    <row r="120" spans="1:18" x14ac:dyDescent="0.45">
      <c r="A120">
        <v>119</v>
      </c>
      <c r="B120">
        <v>0</v>
      </c>
      <c r="C120" t="str">
        <f t="shared" si="6"/>
        <v>Not Survived</v>
      </c>
      <c r="D120">
        <v>1</v>
      </c>
      <c r="E120" t="s">
        <v>853</v>
      </c>
      <c r="F120" t="s">
        <v>722</v>
      </c>
      <c r="G120" t="s">
        <v>166</v>
      </c>
      <c r="H120" t="s">
        <v>9</v>
      </c>
      <c r="I120" t="str">
        <f t="shared" si="7"/>
        <v>Male</v>
      </c>
      <c r="J120">
        <v>24</v>
      </c>
      <c r="K120" t="str">
        <f t="shared" si="8"/>
        <v>Adult</v>
      </c>
      <c r="L120" t="str" cm="1">
        <f t="array" ref="L120">_xlfn.IFS(J120&lt;13,"Child",J120&lt;18,"Teen",J120&lt;60,"Adult",J120&gt;60,"Old Age")</f>
        <v>Adult</v>
      </c>
      <c r="M120">
        <v>0</v>
      </c>
      <c r="N120">
        <v>1</v>
      </c>
      <c r="O120">
        <f t="shared" si="9"/>
        <v>2</v>
      </c>
      <c r="P120" t="s">
        <v>21</v>
      </c>
      <c r="Q120" t="str">
        <f t="shared" si="5"/>
        <v>High</v>
      </c>
      <c r="R120" t="s">
        <v>1515</v>
      </c>
    </row>
    <row r="121" spans="1:18" x14ac:dyDescent="0.45">
      <c r="A121">
        <v>120</v>
      </c>
      <c r="B121">
        <v>0</v>
      </c>
      <c r="C121" t="str">
        <f t="shared" si="6"/>
        <v>Not Survived</v>
      </c>
      <c r="D121">
        <v>3</v>
      </c>
      <c r="E121" t="s">
        <v>854</v>
      </c>
      <c r="F121" t="s">
        <v>724</v>
      </c>
      <c r="G121" t="s">
        <v>68</v>
      </c>
      <c r="H121" t="s">
        <v>10</v>
      </c>
      <c r="I121" t="str">
        <f t="shared" si="7"/>
        <v>Female</v>
      </c>
      <c r="J121">
        <v>2</v>
      </c>
      <c r="K121" t="str">
        <f t="shared" si="8"/>
        <v>Child</v>
      </c>
      <c r="L121" t="str" cm="1">
        <f t="array" ref="L121">_xlfn.IFS(J121&lt;13,"Child",J121&lt;18,"Teen",J121&lt;60,"Adult",J121&gt;60,"Old Age")</f>
        <v>Child</v>
      </c>
      <c r="M121">
        <v>4</v>
      </c>
      <c r="N121">
        <v>2</v>
      </c>
      <c r="O121">
        <f t="shared" si="9"/>
        <v>7</v>
      </c>
      <c r="P121">
        <v>31.274999999999999</v>
      </c>
      <c r="Q121" t="str">
        <f t="shared" si="5"/>
        <v>High</v>
      </c>
      <c r="R121" t="s">
        <v>1514</v>
      </c>
    </row>
    <row r="122" spans="1:18" x14ac:dyDescent="0.45">
      <c r="A122">
        <v>121</v>
      </c>
      <c r="B122">
        <v>0</v>
      </c>
      <c r="C122" t="str">
        <f t="shared" si="6"/>
        <v>Not Survived</v>
      </c>
      <c r="D122">
        <v>2</v>
      </c>
      <c r="E122" t="s">
        <v>855</v>
      </c>
      <c r="F122" t="s">
        <v>722</v>
      </c>
      <c r="G122" t="s">
        <v>167</v>
      </c>
      <c r="H122" t="s">
        <v>9</v>
      </c>
      <c r="I122" t="str">
        <f t="shared" si="7"/>
        <v>Male</v>
      </c>
      <c r="J122">
        <v>21</v>
      </c>
      <c r="K122" t="str">
        <f t="shared" si="8"/>
        <v>Adult</v>
      </c>
      <c r="L122" t="str" cm="1">
        <f t="array" ref="L122">_xlfn.IFS(J122&lt;13,"Child",J122&lt;18,"Teen",J122&lt;60,"Adult",J122&gt;60,"Old Age")</f>
        <v>Adult</v>
      </c>
      <c r="M122">
        <v>2</v>
      </c>
      <c r="N122">
        <v>0</v>
      </c>
      <c r="O122">
        <f t="shared" si="9"/>
        <v>3</v>
      </c>
      <c r="P122">
        <v>73.5</v>
      </c>
      <c r="Q122" t="str">
        <f t="shared" si="5"/>
        <v>High</v>
      </c>
      <c r="R122" t="s">
        <v>1514</v>
      </c>
    </row>
    <row r="123" spans="1:18" x14ac:dyDescent="0.45">
      <c r="A123">
        <v>122</v>
      </c>
      <c r="B123">
        <v>0</v>
      </c>
      <c r="C123" t="str">
        <f t="shared" si="6"/>
        <v>Not Survived</v>
      </c>
      <c r="D123">
        <v>3</v>
      </c>
      <c r="E123" t="s">
        <v>856</v>
      </c>
      <c r="F123" t="s">
        <v>722</v>
      </c>
      <c r="G123" t="s">
        <v>168</v>
      </c>
      <c r="H123" t="s">
        <v>9</v>
      </c>
      <c r="I123" t="str">
        <f t="shared" si="7"/>
        <v>Male</v>
      </c>
      <c r="J123">
        <v>28</v>
      </c>
      <c r="K123" t="str">
        <f t="shared" si="8"/>
        <v>Adult</v>
      </c>
      <c r="L123" t="str" cm="1">
        <f t="array" ref="L123">_xlfn.IFS(J123&lt;13,"Child",J123&lt;18,"Teen",J123&lt;60,"Adult",J123&gt;60,"Old Age")</f>
        <v>Adult</v>
      </c>
      <c r="M123">
        <v>0</v>
      </c>
      <c r="N123">
        <v>0</v>
      </c>
      <c r="O123">
        <f t="shared" si="9"/>
        <v>1</v>
      </c>
      <c r="P123" t="s">
        <v>12</v>
      </c>
      <c r="Q123" t="str">
        <f t="shared" si="5"/>
        <v>High</v>
      </c>
      <c r="R123" t="s">
        <v>1514</v>
      </c>
    </row>
    <row r="124" spans="1:18" x14ac:dyDescent="0.45">
      <c r="A124">
        <v>123</v>
      </c>
      <c r="B124">
        <v>0</v>
      </c>
      <c r="C124" t="str">
        <f t="shared" si="6"/>
        <v>Not Survived</v>
      </c>
      <c r="D124">
        <v>2</v>
      </c>
      <c r="E124" t="s">
        <v>857</v>
      </c>
      <c r="F124" t="s">
        <v>722</v>
      </c>
      <c r="G124" t="s">
        <v>64</v>
      </c>
      <c r="H124" t="s">
        <v>9</v>
      </c>
      <c r="I124" t="str">
        <f t="shared" si="7"/>
        <v>Male</v>
      </c>
      <c r="J124">
        <v>32.5</v>
      </c>
      <c r="K124" t="str">
        <f t="shared" si="8"/>
        <v>Adult</v>
      </c>
      <c r="L124" t="str" cm="1">
        <f t="array" ref="L124">_xlfn.IFS(J124&lt;13,"Child",J124&lt;18,"Teen",J124&lt;60,"Adult",J124&gt;60,"Old Age")</f>
        <v>Adult</v>
      </c>
      <c r="M124">
        <v>1</v>
      </c>
      <c r="N124">
        <v>0</v>
      </c>
      <c r="O124">
        <f t="shared" si="9"/>
        <v>2</v>
      </c>
      <c r="P124" t="s">
        <v>14</v>
      </c>
      <c r="Q124" t="str">
        <f t="shared" si="5"/>
        <v>High</v>
      </c>
      <c r="R124" t="s">
        <v>1515</v>
      </c>
    </row>
    <row r="125" spans="1:18" x14ac:dyDescent="0.45">
      <c r="A125">
        <v>124</v>
      </c>
      <c r="B125">
        <v>1</v>
      </c>
      <c r="C125" t="str">
        <f t="shared" si="6"/>
        <v>Survived</v>
      </c>
      <c r="D125">
        <v>2</v>
      </c>
      <c r="E125" t="s">
        <v>858</v>
      </c>
      <c r="F125" t="s">
        <v>724</v>
      </c>
      <c r="G125" t="s">
        <v>169</v>
      </c>
      <c r="H125" t="s">
        <v>10</v>
      </c>
      <c r="I125" t="str">
        <f t="shared" si="7"/>
        <v>Female</v>
      </c>
      <c r="J125">
        <v>32.5</v>
      </c>
      <c r="K125" t="str">
        <f t="shared" si="8"/>
        <v>Adult</v>
      </c>
      <c r="L125" t="str" cm="1">
        <f t="array" ref="L125">_xlfn.IFS(J125&lt;13,"Child",J125&lt;18,"Teen",J125&lt;60,"Adult",J125&gt;60,"Old Age")</f>
        <v>Adult</v>
      </c>
      <c r="M125">
        <v>0</v>
      </c>
      <c r="N125">
        <v>0</v>
      </c>
      <c r="O125">
        <f t="shared" si="9"/>
        <v>1</v>
      </c>
      <c r="P125">
        <v>13</v>
      </c>
      <c r="Q125" t="str">
        <f t="shared" si="5"/>
        <v>High</v>
      </c>
      <c r="R125" t="s">
        <v>1514</v>
      </c>
    </row>
    <row r="126" spans="1:18" x14ac:dyDescent="0.45">
      <c r="A126">
        <v>125</v>
      </c>
      <c r="B126">
        <v>0</v>
      </c>
      <c r="C126" t="str">
        <f t="shared" si="6"/>
        <v>Not Survived</v>
      </c>
      <c r="D126">
        <v>1</v>
      </c>
      <c r="E126" t="s">
        <v>859</v>
      </c>
      <c r="F126" t="s">
        <v>722</v>
      </c>
      <c r="G126" t="s">
        <v>152</v>
      </c>
      <c r="H126" t="s">
        <v>9</v>
      </c>
      <c r="I126" t="str">
        <f t="shared" si="7"/>
        <v>Male</v>
      </c>
      <c r="J126">
        <v>54</v>
      </c>
      <c r="K126" t="str">
        <f t="shared" si="8"/>
        <v>Adult</v>
      </c>
      <c r="L126" t="str" cm="1">
        <f t="array" ref="L126">_xlfn.IFS(J126&lt;13,"Child",J126&lt;18,"Teen",J126&lt;60,"Adult",J126&gt;60,"Old Age")</f>
        <v>Adult</v>
      </c>
      <c r="M126">
        <v>0</v>
      </c>
      <c r="N126">
        <v>1</v>
      </c>
      <c r="O126">
        <f t="shared" si="9"/>
        <v>2</v>
      </c>
      <c r="P126">
        <v>77.287499999999994</v>
      </c>
      <c r="Q126" t="str">
        <f t="shared" si="5"/>
        <v>High</v>
      </c>
      <c r="R126" t="s">
        <v>1514</v>
      </c>
    </row>
    <row r="127" spans="1:18" x14ac:dyDescent="0.45">
      <c r="A127">
        <v>126</v>
      </c>
      <c r="B127">
        <v>1</v>
      </c>
      <c r="C127" t="str">
        <f t="shared" si="6"/>
        <v>Survived</v>
      </c>
      <c r="D127">
        <v>3</v>
      </c>
      <c r="E127" t="s">
        <v>860</v>
      </c>
      <c r="F127" t="s">
        <v>725</v>
      </c>
      <c r="G127" t="s">
        <v>92</v>
      </c>
      <c r="H127" t="s">
        <v>9</v>
      </c>
      <c r="I127" t="str">
        <f t="shared" si="7"/>
        <v>Male</v>
      </c>
      <c r="J127">
        <v>12</v>
      </c>
      <c r="K127" t="str">
        <f t="shared" si="8"/>
        <v>Child</v>
      </c>
      <c r="L127" t="str" cm="1">
        <f t="array" ref="L127">_xlfn.IFS(J127&lt;13,"Child",J127&lt;18,"Teen",J127&lt;60,"Adult",J127&gt;60,"Old Age")</f>
        <v>Child</v>
      </c>
      <c r="M127">
        <v>1</v>
      </c>
      <c r="N127">
        <v>0</v>
      </c>
      <c r="O127">
        <f t="shared" si="9"/>
        <v>2</v>
      </c>
      <c r="P127">
        <v>11.2417</v>
      </c>
      <c r="Q127" t="str">
        <f t="shared" si="5"/>
        <v>High</v>
      </c>
      <c r="R127" t="s">
        <v>1515</v>
      </c>
    </row>
    <row r="128" spans="1:18" x14ac:dyDescent="0.45">
      <c r="A128">
        <v>127</v>
      </c>
      <c r="B128">
        <v>0</v>
      </c>
      <c r="C128" t="str">
        <f t="shared" si="6"/>
        <v>Not Survived</v>
      </c>
      <c r="D128">
        <v>3</v>
      </c>
      <c r="E128" t="s">
        <v>861</v>
      </c>
      <c r="F128" t="s">
        <v>722</v>
      </c>
      <c r="G128" t="s">
        <v>170</v>
      </c>
      <c r="H128" t="s">
        <v>9</v>
      </c>
      <c r="I128" t="str">
        <f t="shared" si="7"/>
        <v>Male</v>
      </c>
      <c r="J128">
        <v>28</v>
      </c>
      <c r="K128" t="str">
        <f t="shared" si="8"/>
        <v>Adult</v>
      </c>
      <c r="L128" t="str" cm="1">
        <f t="array" ref="L128">_xlfn.IFS(J128&lt;13,"Child",J128&lt;18,"Teen",J128&lt;60,"Adult",J128&gt;60,"Old Age")</f>
        <v>Adult</v>
      </c>
      <c r="M128">
        <v>0</v>
      </c>
      <c r="N128">
        <v>0</v>
      </c>
      <c r="O128">
        <f t="shared" si="9"/>
        <v>1</v>
      </c>
      <c r="P128">
        <v>7.75</v>
      </c>
      <c r="Q128" t="str">
        <f t="shared" si="5"/>
        <v>High</v>
      </c>
      <c r="R128" t="s">
        <v>1516</v>
      </c>
    </row>
    <row r="129" spans="1:18" x14ac:dyDescent="0.45">
      <c r="A129">
        <v>128</v>
      </c>
      <c r="B129">
        <v>1</v>
      </c>
      <c r="C129" t="str">
        <f t="shared" si="6"/>
        <v>Survived</v>
      </c>
      <c r="D129">
        <v>3</v>
      </c>
      <c r="E129" t="s">
        <v>862</v>
      </c>
      <c r="F129" t="s">
        <v>722</v>
      </c>
      <c r="G129" t="s">
        <v>171</v>
      </c>
      <c r="H129" t="s">
        <v>9</v>
      </c>
      <c r="I129" t="str">
        <f t="shared" si="7"/>
        <v>Male</v>
      </c>
      <c r="J129">
        <v>24</v>
      </c>
      <c r="K129" t="str">
        <f t="shared" si="8"/>
        <v>Adult</v>
      </c>
      <c r="L129" t="str" cm="1">
        <f t="array" ref="L129">_xlfn.IFS(J129&lt;13,"Child",J129&lt;18,"Teen",J129&lt;60,"Adult",J129&gt;60,"Old Age")</f>
        <v>Adult</v>
      </c>
      <c r="M129">
        <v>0</v>
      </c>
      <c r="N129">
        <v>0</v>
      </c>
      <c r="O129">
        <f t="shared" si="9"/>
        <v>1</v>
      </c>
      <c r="P129">
        <v>7.1417000000000002</v>
      </c>
      <c r="Q129" t="str">
        <f t="shared" si="5"/>
        <v>High</v>
      </c>
      <c r="R129" t="s">
        <v>1514</v>
      </c>
    </row>
    <row r="130" spans="1:18" x14ac:dyDescent="0.45">
      <c r="A130">
        <v>129</v>
      </c>
      <c r="B130">
        <v>1</v>
      </c>
      <c r="C130" t="str">
        <f t="shared" si="6"/>
        <v>Survived</v>
      </c>
      <c r="D130">
        <v>3</v>
      </c>
      <c r="E130" t="s">
        <v>863</v>
      </c>
      <c r="F130" t="s">
        <v>724</v>
      </c>
      <c r="G130" t="s">
        <v>172</v>
      </c>
      <c r="H130" t="s">
        <v>10</v>
      </c>
      <c r="I130" t="str">
        <f t="shared" si="7"/>
        <v>Female</v>
      </c>
      <c r="J130">
        <v>28</v>
      </c>
      <c r="K130" t="str">
        <f t="shared" si="8"/>
        <v>Adult</v>
      </c>
      <c r="L130" t="str" cm="1">
        <f t="array" ref="L130">_xlfn.IFS(J130&lt;13,"Child",J130&lt;18,"Teen",J130&lt;60,"Adult",J130&gt;60,"Old Age")</f>
        <v>Adult</v>
      </c>
      <c r="M130">
        <v>1</v>
      </c>
      <c r="N130">
        <v>1</v>
      </c>
      <c r="O130">
        <f t="shared" si="9"/>
        <v>3</v>
      </c>
      <c r="P130">
        <v>22.3583</v>
      </c>
      <c r="Q130" t="str">
        <f t="shared" ref="Q130:Q193" si="10">IF(A130&lt;=10,"Low",IF(A130&lt;=50,"Medium","High"))</f>
        <v>High</v>
      </c>
      <c r="R130" t="s">
        <v>1515</v>
      </c>
    </row>
    <row r="131" spans="1:18" x14ac:dyDescent="0.45">
      <c r="A131">
        <v>130</v>
      </c>
      <c r="B131">
        <v>0</v>
      </c>
      <c r="C131" t="str">
        <f t="shared" ref="C131:C194" si="11">IF(B131 = 0, "Not Survived","Survived")</f>
        <v>Not Survived</v>
      </c>
      <c r="D131">
        <v>3</v>
      </c>
      <c r="E131" t="s">
        <v>864</v>
      </c>
      <c r="F131" t="s">
        <v>722</v>
      </c>
      <c r="G131" t="s">
        <v>173</v>
      </c>
      <c r="H131" t="s">
        <v>9</v>
      </c>
      <c r="I131" t="str">
        <f t="shared" ref="I131:I194" si="12">PROPER(H131)</f>
        <v>Male</v>
      </c>
      <c r="J131">
        <v>45</v>
      </c>
      <c r="K131" t="str">
        <f t="shared" ref="K131:K194" si="13">IF(J131&lt;13,"Child",IF(J131&lt;18,"Teen",IF(J131&lt;60,"Adult","Old Age")))</f>
        <v>Adult</v>
      </c>
      <c r="L131" t="str" cm="1">
        <f t="array" ref="L131">_xlfn.IFS(J131&lt;13,"Child",J131&lt;18,"Teen",J131&lt;60,"Adult",J131&gt;60,"Old Age")</f>
        <v>Adult</v>
      </c>
      <c r="M131">
        <v>0</v>
      </c>
      <c r="N131">
        <v>0</v>
      </c>
      <c r="O131">
        <f t="shared" ref="O131:O194" si="14">M131+N131+1</f>
        <v>1</v>
      </c>
      <c r="P131">
        <v>6.9749999999999996</v>
      </c>
      <c r="Q131" t="str">
        <f t="shared" si="10"/>
        <v>High</v>
      </c>
      <c r="R131" t="s">
        <v>1514</v>
      </c>
    </row>
    <row r="132" spans="1:18" x14ac:dyDescent="0.45">
      <c r="A132">
        <v>131</v>
      </c>
      <c r="B132">
        <v>0</v>
      </c>
      <c r="C132" t="str">
        <f t="shared" si="11"/>
        <v>Not Survived</v>
      </c>
      <c r="D132">
        <v>3</v>
      </c>
      <c r="E132" t="s">
        <v>865</v>
      </c>
      <c r="F132" t="s">
        <v>722</v>
      </c>
      <c r="G132" t="s">
        <v>174</v>
      </c>
      <c r="H132" t="s">
        <v>9</v>
      </c>
      <c r="I132" t="str">
        <f t="shared" si="12"/>
        <v>Male</v>
      </c>
      <c r="J132">
        <v>33</v>
      </c>
      <c r="K132" t="str">
        <f t="shared" si="13"/>
        <v>Adult</v>
      </c>
      <c r="L132" t="str" cm="1">
        <f t="array" ref="L132">_xlfn.IFS(J132&lt;13,"Child",J132&lt;18,"Teen",J132&lt;60,"Adult",J132&gt;60,"Old Age")</f>
        <v>Adult</v>
      </c>
      <c r="M132">
        <v>0</v>
      </c>
      <c r="N132">
        <v>0</v>
      </c>
      <c r="O132">
        <f t="shared" si="14"/>
        <v>1</v>
      </c>
      <c r="P132">
        <v>7.8958000000000004</v>
      </c>
      <c r="Q132" t="str">
        <f t="shared" si="10"/>
        <v>High</v>
      </c>
      <c r="R132" t="s">
        <v>1515</v>
      </c>
    </row>
    <row r="133" spans="1:18" x14ac:dyDescent="0.45">
      <c r="A133">
        <v>132</v>
      </c>
      <c r="B133">
        <v>0</v>
      </c>
      <c r="C133" t="str">
        <f t="shared" si="11"/>
        <v>Not Survived</v>
      </c>
      <c r="D133">
        <v>3</v>
      </c>
      <c r="E133" t="s">
        <v>866</v>
      </c>
      <c r="F133" t="s">
        <v>722</v>
      </c>
      <c r="G133" t="s">
        <v>175</v>
      </c>
      <c r="H133" t="s">
        <v>9</v>
      </c>
      <c r="I133" t="str">
        <f t="shared" si="12"/>
        <v>Male</v>
      </c>
      <c r="J133">
        <v>20</v>
      </c>
      <c r="K133" t="str">
        <f t="shared" si="13"/>
        <v>Adult</v>
      </c>
      <c r="L133" t="str" cm="1">
        <f t="array" ref="L133">_xlfn.IFS(J133&lt;13,"Child",J133&lt;18,"Teen",J133&lt;60,"Adult",J133&gt;60,"Old Age")</f>
        <v>Adult</v>
      </c>
      <c r="M133">
        <v>0</v>
      </c>
      <c r="N133">
        <v>0</v>
      </c>
      <c r="O133">
        <f t="shared" si="14"/>
        <v>1</v>
      </c>
      <c r="P133" t="s">
        <v>22</v>
      </c>
      <c r="Q133" t="str">
        <f t="shared" si="10"/>
        <v>High</v>
      </c>
      <c r="R133" t="s">
        <v>1514</v>
      </c>
    </row>
    <row r="134" spans="1:18" x14ac:dyDescent="0.45">
      <c r="A134">
        <v>133</v>
      </c>
      <c r="B134">
        <v>0</v>
      </c>
      <c r="C134" t="str">
        <f t="shared" si="11"/>
        <v>Not Survived</v>
      </c>
      <c r="D134">
        <v>3</v>
      </c>
      <c r="E134" t="s">
        <v>867</v>
      </c>
      <c r="F134" t="s">
        <v>723</v>
      </c>
      <c r="G134" t="s">
        <v>176</v>
      </c>
      <c r="H134" t="s">
        <v>10</v>
      </c>
      <c r="I134" t="str">
        <f t="shared" si="12"/>
        <v>Female</v>
      </c>
      <c r="J134">
        <v>47</v>
      </c>
      <c r="K134" t="str">
        <f t="shared" si="13"/>
        <v>Adult</v>
      </c>
      <c r="L134" t="str" cm="1">
        <f t="array" ref="L134">_xlfn.IFS(J134&lt;13,"Child",J134&lt;18,"Teen",J134&lt;60,"Adult",J134&gt;60,"Old Age")</f>
        <v>Adult</v>
      </c>
      <c r="M134">
        <v>1</v>
      </c>
      <c r="N134">
        <v>0</v>
      </c>
      <c r="O134">
        <f t="shared" si="14"/>
        <v>2</v>
      </c>
      <c r="P134">
        <v>14.5</v>
      </c>
      <c r="Q134" t="str">
        <f t="shared" si="10"/>
        <v>High</v>
      </c>
      <c r="R134" t="s">
        <v>1514</v>
      </c>
    </row>
    <row r="135" spans="1:18" x14ac:dyDescent="0.45">
      <c r="A135">
        <v>134</v>
      </c>
      <c r="B135">
        <v>1</v>
      </c>
      <c r="C135" t="str">
        <f t="shared" si="11"/>
        <v>Survived</v>
      </c>
      <c r="D135">
        <v>2</v>
      </c>
      <c r="E135" t="s">
        <v>868</v>
      </c>
      <c r="F135" t="s">
        <v>723</v>
      </c>
      <c r="G135" t="s">
        <v>177</v>
      </c>
      <c r="H135" t="s">
        <v>10</v>
      </c>
      <c r="I135" t="str">
        <f t="shared" si="12"/>
        <v>Female</v>
      </c>
      <c r="J135">
        <v>29</v>
      </c>
      <c r="K135" t="str">
        <f t="shared" si="13"/>
        <v>Adult</v>
      </c>
      <c r="L135" t="str" cm="1">
        <f t="array" ref="L135">_xlfn.IFS(J135&lt;13,"Child",J135&lt;18,"Teen",J135&lt;60,"Adult",J135&gt;60,"Old Age")</f>
        <v>Adult</v>
      </c>
      <c r="M135">
        <v>1</v>
      </c>
      <c r="N135">
        <v>0</v>
      </c>
      <c r="O135">
        <f t="shared" si="14"/>
        <v>2</v>
      </c>
      <c r="P135">
        <v>26</v>
      </c>
      <c r="Q135" t="str">
        <f t="shared" si="10"/>
        <v>High</v>
      </c>
      <c r="R135" t="s">
        <v>1514</v>
      </c>
    </row>
    <row r="136" spans="1:18" x14ac:dyDescent="0.45">
      <c r="A136">
        <v>135</v>
      </c>
      <c r="B136">
        <v>0</v>
      </c>
      <c r="C136" t="str">
        <f t="shared" si="11"/>
        <v>Not Survived</v>
      </c>
      <c r="D136">
        <v>2</v>
      </c>
      <c r="E136" t="s">
        <v>869</v>
      </c>
      <c r="F136" t="s">
        <v>722</v>
      </c>
      <c r="G136" t="s">
        <v>178</v>
      </c>
      <c r="H136" t="s">
        <v>9</v>
      </c>
      <c r="I136" t="str">
        <f t="shared" si="12"/>
        <v>Male</v>
      </c>
      <c r="J136">
        <v>25</v>
      </c>
      <c r="K136" t="str">
        <f t="shared" si="13"/>
        <v>Adult</v>
      </c>
      <c r="L136" t="str" cm="1">
        <f t="array" ref="L136">_xlfn.IFS(J136&lt;13,"Child",J136&lt;18,"Teen",J136&lt;60,"Adult",J136&gt;60,"Old Age")</f>
        <v>Adult</v>
      </c>
      <c r="M136">
        <v>0</v>
      </c>
      <c r="N136">
        <v>0</v>
      </c>
      <c r="O136">
        <f t="shared" si="14"/>
        <v>1</v>
      </c>
      <c r="P136">
        <v>13</v>
      </c>
      <c r="Q136" t="str">
        <f t="shared" si="10"/>
        <v>High</v>
      </c>
      <c r="R136" t="s">
        <v>1514</v>
      </c>
    </row>
    <row r="137" spans="1:18" x14ac:dyDescent="0.45">
      <c r="A137">
        <v>136</v>
      </c>
      <c r="B137">
        <v>0</v>
      </c>
      <c r="C137" t="str">
        <f t="shared" si="11"/>
        <v>Not Survived</v>
      </c>
      <c r="D137">
        <v>2</v>
      </c>
      <c r="E137" t="s">
        <v>870</v>
      </c>
      <c r="F137" t="s">
        <v>722</v>
      </c>
      <c r="G137" t="s">
        <v>179</v>
      </c>
      <c r="H137" t="s">
        <v>9</v>
      </c>
      <c r="I137" t="str">
        <f t="shared" si="12"/>
        <v>Male</v>
      </c>
      <c r="J137">
        <v>23</v>
      </c>
      <c r="K137" t="str">
        <f t="shared" si="13"/>
        <v>Adult</v>
      </c>
      <c r="L137" t="str" cm="1">
        <f t="array" ref="L137">_xlfn.IFS(J137&lt;13,"Child",J137&lt;18,"Teen",J137&lt;60,"Adult",J137&gt;60,"Old Age")</f>
        <v>Adult</v>
      </c>
      <c r="M137">
        <v>0</v>
      </c>
      <c r="N137">
        <v>0</v>
      </c>
      <c r="O137">
        <f t="shared" si="14"/>
        <v>1</v>
      </c>
      <c r="P137" t="s">
        <v>23</v>
      </c>
      <c r="Q137" t="str">
        <f t="shared" si="10"/>
        <v>High</v>
      </c>
      <c r="R137" t="s">
        <v>1515</v>
      </c>
    </row>
    <row r="138" spans="1:18" x14ac:dyDescent="0.45">
      <c r="A138">
        <v>137</v>
      </c>
      <c r="B138">
        <v>1</v>
      </c>
      <c r="C138" t="str">
        <f t="shared" si="11"/>
        <v>Survived</v>
      </c>
      <c r="D138">
        <v>1</v>
      </c>
      <c r="E138" t="s">
        <v>871</v>
      </c>
      <c r="F138" t="s">
        <v>724</v>
      </c>
      <c r="G138" t="s">
        <v>180</v>
      </c>
      <c r="H138" t="s">
        <v>10</v>
      </c>
      <c r="I138" t="str">
        <f t="shared" si="12"/>
        <v>Female</v>
      </c>
      <c r="J138">
        <v>19</v>
      </c>
      <c r="K138" t="str">
        <f t="shared" si="13"/>
        <v>Adult</v>
      </c>
      <c r="L138" t="str" cm="1">
        <f t="array" ref="L138">_xlfn.IFS(J138&lt;13,"Child",J138&lt;18,"Teen",J138&lt;60,"Adult",J138&gt;60,"Old Age")</f>
        <v>Adult</v>
      </c>
      <c r="M138">
        <v>0</v>
      </c>
      <c r="N138">
        <v>2</v>
      </c>
      <c r="O138">
        <f t="shared" si="14"/>
        <v>3</v>
      </c>
      <c r="P138">
        <v>26.283300000000001</v>
      </c>
      <c r="Q138" t="str">
        <f t="shared" si="10"/>
        <v>High</v>
      </c>
      <c r="R138" t="s">
        <v>1514</v>
      </c>
    </row>
    <row r="139" spans="1:18" x14ac:dyDescent="0.45">
      <c r="A139">
        <v>138</v>
      </c>
      <c r="B139">
        <v>0</v>
      </c>
      <c r="C139" t="str">
        <f t="shared" si="11"/>
        <v>Not Survived</v>
      </c>
      <c r="D139">
        <v>1</v>
      </c>
      <c r="E139" t="s">
        <v>872</v>
      </c>
      <c r="F139" t="s">
        <v>722</v>
      </c>
      <c r="G139" t="s">
        <v>58</v>
      </c>
      <c r="H139" t="s">
        <v>9</v>
      </c>
      <c r="I139" t="str">
        <f t="shared" si="12"/>
        <v>Male</v>
      </c>
      <c r="J139">
        <v>37</v>
      </c>
      <c r="K139" t="str">
        <f t="shared" si="13"/>
        <v>Adult</v>
      </c>
      <c r="L139" t="str" cm="1">
        <f t="array" ref="L139">_xlfn.IFS(J139&lt;13,"Child",J139&lt;18,"Teen",J139&lt;60,"Adult",J139&gt;60,"Old Age")</f>
        <v>Adult</v>
      </c>
      <c r="M139">
        <v>1</v>
      </c>
      <c r="N139">
        <v>0</v>
      </c>
      <c r="O139">
        <f t="shared" si="14"/>
        <v>2</v>
      </c>
      <c r="P139">
        <v>53.1</v>
      </c>
      <c r="Q139" t="str">
        <f t="shared" si="10"/>
        <v>High</v>
      </c>
      <c r="R139" t="s">
        <v>1514</v>
      </c>
    </row>
    <row r="140" spans="1:18" x14ac:dyDescent="0.45">
      <c r="A140">
        <v>139</v>
      </c>
      <c r="B140">
        <v>0</v>
      </c>
      <c r="C140" t="str">
        <f t="shared" si="11"/>
        <v>Not Survived</v>
      </c>
      <c r="D140">
        <v>3</v>
      </c>
      <c r="E140" t="s">
        <v>873</v>
      </c>
      <c r="F140" t="s">
        <v>722</v>
      </c>
      <c r="G140" t="s">
        <v>181</v>
      </c>
      <c r="H140" t="s">
        <v>9</v>
      </c>
      <c r="I140" t="str">
        <f t="shared" si="12"/>
        <v>Male</v>
      </c>
      <c r="J140">
        <v>16</v>
      </c>
      <c r="K140" t="str">
        <f t="shared" si="13"/>
        <v>Teen</v>
      </c>
      <c r="L140" t="str" cm="1">
        <f t="array" ref="L140">_xlfn.IFS(J140&lt;13,"Child",J140&lt;18,"Teen",J140&lt;60,"Adult",J140&gt;60,"Old Age")</f>
        <v>Teen</v>
      </c>
      <c r="M140">
        <v>0</v>
      </c>
      <c r="N140">
        <v>0</v>
      </c>
      <c r="O140">
        <f t="shared" si="14"/>
        <v>1</v>
      </c>
      <c r="P140">
        <v>9.2166999999999994</v>
      </c>
      <c r="Q140" t="str">
        <f t="shared" si="10"/>
        <v>High</v>
      </c>
      <c r="R140" t="s">
        <v>1514</v>
      </c>
    </row>
    <row r="141" spans="1:18" x14ac:dyDescent="0.45">
      <c r="A141">
        <v>140</v>
      </c>
      <c r="B141">
        <v>0</v>
      </c>
      <c r="C141" t="str">
        <f t="shared" si="11"/>
        <v>Not Survived</v>
      </c>
      <c r="D141">
        <v>1</v>
      </c>
      <c r="E141" t="s">
        <v>874</v>
      </c>
      <c r="F141" t="s">
        <v>722</v>
      </c>
      <c r="G141" t="s">
        <v>182</v>
      </c>
      <c r="H141" t="s">
        <v>9</v>
      </c>
      <c r="I141" t="str">
        <f t="shared" si="12"/>
        <v>Male</v>
      </c>
      <c r="J141">
        <v>24</v>
      </c>
      <c r="K141" t="str">
        <f t="shared" si="13"/>
        <v>Adult</v>
      </c>
      <c r="L141" t="str" cm="1">
        <f t="array" ref="L141">_xlfn.IFS(J141&lt;13,"Child",J141&lt;18,"Teen",J141&lt;60,"Adult",J141&gt;60,"Old Age")</f>
        <v>Adult</v>
      </c>
      <c r="M141">
        <v>0</v>
      </c>
      <c r="N141">
        <v>0</v>
      </c>
      <c r="O141">
        <f t="shared" si="14"/>
        <v>1</v>
      </c>
      <c r="P141">
        <v>79.2</v>
      </c>
      <c r="Q141" t="str">
        <f t="shared" si="10"/>
        <v>High</v>
      </c>
      <c r="R141" t="s">
        <v>1515</v>
      </c>
    </row>
    <row r="142" spans="1:18" x14ac:dyDescent="0.45">
      <c r="A142">
        <v>141</v>
      </c>
      <c r="B142">
        <v>0</v>
      </c>
      <c r="C142" t="str">
        <f t="shared" si="11"/>
        <v>Not Survived</v>
      </c>
      <c r="D142">
        <v>3</v>
      </c>
      <c r="E142" t="s">
        <v>875</v>
      </c>
      <c r="F142" t="s">
        <v>723</v>
      </c>
      <c r="G142" t="s">
        <v>183</v>
      </c>
      <c r="H142" t="s">
        <v>10</v>
      </c>
      <c r="I142" t="str">
        <f t="shared" si="12"/>
        <v>Female</v>
      </c>
      <c r="J142">
        <v>28</v>
      </c>
      <c r="K142" t="str">
        <f t="shared" si="13"/>
        <v>Adult</v>
      </c>
      <c r="L142" t="str" cm="1">
        <f t="array" ref="L142">_xlfn.IFS(J142&lt;13,"Child",J142&lt;18,"Teen",J142&lt;60,"Adult",J142&gt;60,"Old Age")</f>
        <v>Adult</v>
      </c>
      <c r="M142">
        <v>0</v>
      </c>
      <c r="N142">
        <v>2</v>
      </c>
      <c r="O142">
        <f t="shared" si="14"/>
        <v>3</v>
      </c>
      <c r="P142">
        <v>15.245799999999999</v>
      </c>
      <c r="Q142" t="str">
        <f t="shared" si="10"/>
        <v>High</v>
      </c>
      <c r="R142" t="s">
        <v>1515</v>
      </c>
    </row>
    <row r="143" spans="1:18" x14ac:dyDescent="0.45">
      <c r="A143">
        <v>142</v>
      </c>
      <c r="B143">
        <v>1</v>
      </c>
      <c r="C143" t="str">
        <f t="shared" si="11"/>
        <v>Survived</v>
      </c>
      <c r="D143">
        <v>3</v>
      </c>
      <c r="E143" t="s">
        <v>876</v>
      </c>
      <c r="F143" t="s">
        <v>724</v>
      </c>
      <c r="G143" t="s">
        <v>184</v>
      </c>
      <c r="H143" t="s">
        <v>10</v>
      </c>
      <c r="I143" t="str">
        <f t="shared" si="12"/>
        <v>Female</v>
      </c>
      <c r="J143">
        <v>22</v>
      </c>
      <c r="K143" t="str">
        <f t="shared" si="13"/>
        <v>Adult</v>
      </c>
      <c r="L143" t="str" cm="1">
        <f t="array" ref="L143">_xlfn.IFS(J143&lt;13,"Child",J143&lt;18,"Teen",J143&lt;60,"Adult",J143&gt;60,"Old Age")</f>
        <v>Adult</v>
      </c>
      <c r="M143">
        <v>0</v>
      </c>
      <c r="N143">
        <v>0</v>
      </c>
      <c r="O143">
        <f t="shared" si="14"/>
        <v>1</v>
      </c>
      <c r="P143">
        <v>7.75</v>
      </c>
      <c r="Q143" t="str">
        <f t="shared" si="10"/>
        <v>High</v>
      </c>
      <c r="R143" t="s">
        <v>1514</v>
      </c>
    </row>
    <row r="144" spans="1:18" x14ac:dyDescent="0.45">
      <c r="A144">
        <v>143</v>
      </c>
      <c r="B144">
        <v>1</v>
      </c>
      <c r="C144" t="str">
        <f t="shared" si="11"/>
        <v>Survived</v>
      </c>
      <c r="D144">
        <v>3</v>
      </c>
      <c r="E144" t="s">
        <v>877</v>
      </c>
      <c r="F144" t="s">
        <v>723</v>
      </c>
      <c r="G144" t="s">
        <v>185</v>
      </c>
      <c r="H144" t="s">
        <v>10</v>
      </c>
      <c r="I144" t="str">
        <f t="shared" si="12"/>
        <v>Female</v>
      </c>
      <c r="J144">
        <v>24</v>
      </c>
      <c r="K144" t="str">
        <f t="shared" si="13"/>
        <v>Adult</v>
      </c>
      <c r="L144" t="str" cm="1">
        <f t="array" ref="L144">_xlfn.IFS(J144&lt;13,"Child",J144&lt;18,"Teen",J144&lt;60,"Adult",J144&gt;60,"Old Age")</f>
        <v>Adult</v>
      </c>
      <c r="M144">
        <v>1</v>
      </c>
      <c r="N144">
        <v>0</v>
      </c>
      <c r="O144">
        <f t="shared" si="14"/>
        <v>2</v>
      </c>
      <c r="P144">
        <v>15.85</v>
      </c>
      <c r="Q144" t="str">
        <f t="shared" si="10"/>
        <v>High</v>
      </c>
      <c r="R144" t="s">
        <v>1514</v>
      </c>
    </row>
    <row r="145" spans="1:18" x14ac:dyDescent="0.45">
      <c r="A145">
        <v>144</v>
      </c>
      <c r="B145">
        <v>0</v>
      </c>
      <c r="C145" t="str">
        <f t="shared" si="11"/>
        <v>Not Survived</v>
      </c>
      <c r="D145">
        <v>3</v>
      </c>
      <c r="E145" t="s">
        <v>878</v>
      </c>
      <c r="F145" t="s">
        <v>722</v>
      </c>
      <c r="G145" t="s">
        <v>186</v>
      </c>
      <c r="H145" t="s">
        <v>9</v>
      </c>
      <c r="I145" t="str">
        <f t="shared" si="12"/>
        <v>Male</v>
      </c>
      <c r="J145">
        <v>19</v>
      </c>
      <c r="K145" t="str">
        <f t="shared" si="13"/>
        <v>Adult</v>
      </c>
      <c r="L145" t="str" cm="1">
        <f t="array" ref="L145">_xlfn.IFS(J145&lt;13,"Child",J145&lt;18,"Teen",J145&lt;60,"Adult",J145&gt;60,"Old Age")</f>
        <v>Adult</v>
      </c>
      <c r="M145">
        <v>0</v>
      </c>
      <c r="N145">
        <v>0</v>
      </c>
      <c r="O145">
        <f t="shared" si="14"/>
        <v>1</v>
      </c>
      <c r="P145">
        <v>6.75</v>
      </c>
      <c r="Q145" t="str">
        <f t="shared" si="10"/>
        <v>High</v>
      </c>
      <c r="R145" t="s">
        <v>1516</v>
      </c>
    </row>
    <row r="146" spans="1:18" x14ac:dyDescent="0.45">
      <c r="A146">
        <v>145</v>
      </c>
      <c r="B146">
        <v>0</v>
      </c>
      <c r="C146" t="str">
        <f t="shared" si="11"/>
        <v>Not Survived</v>
      </c>
      <c r="D146">
        <v>2</v>
      </c>
      <c r="E146" t="s">
        <v>879</v>
      </c>
      <c r="F146" t="s">
        <v>722</v>
      </c>
      <c r="G146" t="s">
        <v>187</v>
      </c>
      <c r="H146" t="s">
        <v>9</v>
      </c>
      <c r="I146" t="str">
        <f t="shared" si="12"/>
        <v>Male</v>
      </c>
      <c r="J146">
        <v>18</v>
      </c>
      <c r="K146" t="str">
        <f t="shared" si="13"/>
        <v>Adult</v>
      </c>
      <c r="L146" t="str" cm="1">
        <f t="array" ref="L146">_xlfn.IFS(J146&lt;13,"Child",J146&lt;18,"Teen",J146&lt;60,"Adult",J146&gt;60,"Old Age")</f>
        <v>Adult</v>
      </c>
      <c r="M146">
        <v>0</v>
      </c>
      <c r="N146">
        <v>0</v>
      </c>
      <c r="O146">
        <f t="shared" si="14"/>
        <v>1</v>
      </c>
      <c r="P146">
        <v>11.5</v>
      </c>
      <c r="Q146" t="str">
        <f t="shared" si="10"/>
        <v>High</v>
      </c>
      <c r="R146" t="s">
        <v>1514</v>
      </c>
    </row>
    <row r="147" spans="1:18" x14ac:dyDescent="0.45">
      <c r="A147">
        <v>146</v>
      </c>
      <c r="B147">
        <v>0</v>
      </c>
      <c r="C147" t="str">
        <f t="shared" si="11"/>
        <v>Not Survived</v>
      </c>
      <c r="D147">
        <v>2</v>
      </c>
      <c r="E147" t="s">
        <v>880</v>
      </c>
      <c r="F147" t="s">
        <v>722</v>
      </c>
      <c r="G147" t="s">
        <v>188</v>
      </c>
      <c r="H147" t="s">
        <v>9</v>
      </c>
      <c r="I147" t="str">
        <f t="shared" si="12"/>
        <v>Male</v>
      </c>
      <c r="J147">
        <v>19</v>
      </c>
      <c r="K147" t="str">
        <f t="shared" si="13"/>
        <v>Adult</v>
      </c>
      <c r="L147" t="str" cm="1">
        <f t="array" ref="L147">_xlfn.IFS(J147&lt;13,"Child",J147&lt;18,"Teen",J147&lt;60,"Adult",J147&gt;60,"Old Age")</f>
        <v>Adult</v>
      </c>
      <c r="M147">
        <v>1</v>
      </c>
      <c r="N147">
        <v>1</v>
      </c>
      <c r="O147">
        <f t="shared" si="14"/>
        <v>3</v>
      </c>
      <c r="P147">
        <v>36.75</v>
      </c>
      <c r="Q147" t="str">
        <f t="shared" si="10"/>
        <v>High</v>
      </c>
      <c r="R147" t="s">
        <v>1514</v>
      </c>
    </row>
    <row r="148" spans="1:18" x14ac:dyDescent="0.45">
      <c r="A148">
        <v>147</v>
      </c>
      <c r="B148">
        <v>1</v>
      </c>
      <c r="C148" t="str">
        <f t="shared" si="11"/>
        <v>Survived</v>
      </c>
      <c r="D148">
        <v>3</v>
      </c>
      <c r="E148" t="s">
        <v>881</v>
      </c>
      <c r="F148" t="s">
        <v>722</v>
      </c>
      <c r="G148" t="s">
        <v>68</v>
      </c>
      <c r="H148" t="s">
        <v>9</v>
      </c>
      <c r="I148" t="str">
        <f t="shared" si="12"/>
        <v>Male</v>
      </c>
      <c r="J148">
        <v>27</v>
      </c>
      <c r="K148" t="str">
        <f t="shared" si="13"/>
        <v>Adult</v>
      </c>
      <c r="L148" t="str" cm="1">
        <f t="array" ref="L148">_xlfn.IFS(J148&lt;13,"Child",J148&lt;18,"Teen",J148&lt;60,"Adult",J148&gt;60,"Old Age")</f>
        <v>Adult</v>
      </c>
      <c r="M148">
        <v>0</v>
      </c>
      <c r="N148">
        <v>0</v>
      </c>
      <c r="O148">
        <f t="shared" si="14"/>
        <v>1</v>
      </c>
      <c r="P148">
        <v>7.7957999999999998</v>
      </c>
      <c r="Q148" t="str">
        <f t="shared" si="10"/>
        <v>High</v>
      </c>
      <c r="R148" t="s">
        <v>1514</v>
      </c>
    </row>
    <row r="149" spans="1:18" x14ac:dyDescent="0.45">
      <c r="A149">
        <v>148</v>
      </c>
      <c r="B149">
        <v>0</v>
      </c>
      <c r="C149" t="str">
        <f t="shared" si="11"/>
        <v>Not Survived</v>
      </c>
      <c r="D149">
        <v>3</v>
      </c>
      <c r="E149" t="s">
        <v>882</v>
      </c>
      <c r="F149" t="s">
        <v>724</v>
      </c>
      <c r="G149" t="s">
        <v>137</v>
      </c>
      <c r="H149" t="s">
        <v>10</v>
      </c>
      <c r="I149" t="str">
        <f t="shared" si="12"/>
        <v>Female</v>
      </c>
      <c r="J149">
        <v>9</v>
      </c>
      <c r="K149" t="str">
        <f t="shared" si="13"/>
        <v>Child</v>
      </c>
      <c r="L149" t="str" cm="1">
        <f t="array" ref="L149">_xlfn.IFS(J149&lt;13,"Child",J149&lt;18,"Teen",J149&lt;60,"Adult",J149&gt;60,"Old Age")</f>
        <v>Child</v>
      </c>
      <c r="M149">
        <v>2</v>
      </c>
      <c r="N149">
        <v>2</v>
      </c>
      <c r="O149">
        <f t="shared" si="14"/>
        <v>5</v>
      </c>
      <c r="P149">
        <v>34.375</v>
      </c>
      <c r="Q149" t="str">
        <f t="shared" si="10"/>
        <v>High</v>
      </c>
      <c r="R149" t="s">
        <v>1514</v>
      </c>
    </row>
    <row r="150" spans="1:18" x14ac:dyDescent="0.45">
      <c r="A150">
        <v>149</v>
      </c>
      <c r="B150">
        <v>0</v>
      </c>
      <c r="C150" t="str">
        <f t="shared" si="11"/>
        <v>Not Survived</v>
      </c>
      <c r="D150">
        <v>2</v>
      </c>
      <c r="E150" t="s">
        <v>883</v>
      </c>
      <c r="F150" t="s">
        <v>722</v>
      </c>
      <c r="G150" t="s">
        <v>189</v>
      </c>
      <c r="H150" t="s">
        <v>9</v>
      </c>
      <c r="I150" t="str">
        <f t="shared" si="12"/>
        <v>Male</v>
      </c>
      <c r="J150">
        <v>36.5</v>
      </c>
      <c r="K150" t="str">
        <f t="shared" si="13"/>
        <v>Adult</v>
      </c>
      <c r="L150" t="str" cm="1">
        <f t="array" ref="L150">_xlfn.IFS(J150&lt;13,"Child",J150&lt;18,"Teen",J150&lt;60,"Adult",J150&gt;60,"Old Age")</f>
        <v>Adult</v>
      </c>
      <c r="M150">
        <v>0</v>
      </c>
      <c r="N150">
        <v>2</v>
      </c>
      <c r="O150">
        <f t="shared" si="14"/>
        <v>3</v>
      </c>
      <c r="P150">
        <v>26</v>
      </c>
      <c r="Q150" t="str">
        <f t="shared" si="10"/>
        <v>High</v>
      </c>
      <c r="R150" t="s">
        <v>1514</v>
      </c>
    </row>
    <row r="151" spans="1:18" x14ac:dyDescent="0.45">
      <c r="A151">
        <v>150</v>
      </c>
      <c r="B151">
        <v>0</v>
      </c>
      <c r="C151" t="str">
        <f t="shared" si="11"/>
        <v>Not Survived</v>
      </c>
      <c r="D151">
        <v>2</v>
      </c>
      <c r="E151" t="s">
        <v>884</v>
      </c>
      <c r="F151" t="s">
        <v>727</v>
      </c>
      <c r="G151" t="s">
        <v>190</v>
      </c>
      <c r="H151" t="s">
        <v>9</v>
      </c>
      <c r="I151" t="str">
        <f t="shared" si="12"/>
        <v>Male</v>
      </c>
      <c r="J151">
        <v>42</v>
      </c>
      <c r="K151" t="str">
        <f t="shared" si="13"/>
        <v>Adult</v>
      </c>
      <c r="L151" t="str" cm="1">
        <f t="array" ref="L151">_xlfn.IFS(J151&lt;13,"Child",J151&lt;18,"Teen",J151&lt;60,"Adult",J151&gt;60,"Old Age")</f>
        <v>Adult</v>
      </c>
      <c r="M151">
        <v>0</v>
      </c>
      <c r="N151">
        <v>0</v>
      </c>
      <c r="O151">
        <f t="shared" si="14"/>
        <v>1</v>
      </c>
      <c r="P151">
        <v>13</v>
      </c>
      <c r="Q151" t="str">
        <f t="shared" si="10"/>
        <v>High</v>
      </c>
      <c r="R151" t="s">
        <v>1514</v>
      </c>
    </row>
    <row r="152" spans="1:18" x14ac:dyDescent="0.45">
      <c r="A152">
        <v>151</v>
      </c>
      <c r="B152">
        <v>0</v>
      </c>
      <c r="C152" t="str">
        <f t="shared" si="11"/>
        <v>Not Survived</v>
      </c>
      <c r="D152">
        <v>2</v>
      </c>
      <c r="E152" t="s">
        <v>885</v>
      </c>
      <c r="F152" t="s">
        <v>727</v>
      </c>
      <c r="G152" t="s">
        <v>191</v>
      </c>
      <c r="H152" t="s">
        <v>9</v>
      </c>
      <c r="I152" t="str">
        <f t="shared" si="12"/>
        <v>Male</v>
      </c>
      <c r="J152">
        <v>51</v>
      </c>
      <c r="K152" t="str">
        <f t="shared" si="13"/>
        <v>Adult</v>
      </c>
      <c r="L152" t="str" cm="1">
        <f t="array" ref="L152">_xlfn.IFS(J152&lt;13,"Child",J152&lt;18,"Teen",J152&lt;60,"Adult",J152&gt;60,"Old Age")</f>
        <v>Adult</v>
      </c>
      <c r="M152">
        <v>0</v>
      </c>
      <c r="N152">
        <v>0</v>
      </c>
      <c r="O152">
        <f t="shared" si="14"/>
        <v>1</v>
      </c>
      <c r="P152">
        <v>12.525</v>
      </c>
      <c r="Q152" t="str">
        <f t="shared" si="10"/>
        <v>High</v>
      </c>
      <c r="R152" t="s">
        <v>1514</v>
      </c>
    </row>
    <row r="153" spans="1:18" x14ac:dyDescent="0.45">
      <c r="A153">
        <v>152</v>
      </c>
      <c r="B153">
        <v>1</v>
      </c>
      <c r="C153" t="str">
        <f t="shared" si="11"/>
        <v>Survived</v>
      </c>
      <c r="D153">
        <v>1</v>
      </c>
      <c r="E153" t="s">
        <v>886</v>
      </c>
      <c r="F153" t="s">
        <v>723</v>
      </c>
      <c r="G153" t="s">
        <v>192</v>
      </c>
      <c r="H153" t="s">
        <v>10</v>
      </c>
      <c r="I153" t="str">
        <f t="shared" si="12"/>
        <v>Female</v>
      </c>
      <c r="J153">
        <v>22</v>
      </c>
      <c r="K153" t="str">
        <f t="shared" si="13"/>
        <v>Adult</v>
      </c>
      <c r="L153" t="str" cm="1">
        <f t="array" ref="L153">_xlfn.IFS(J153&lt;13,"Child",J153&lt;18,"Teen",J153&lt;60,"Adult",J153&gt;60,"Old Age")</f>
        <v>Adult</v>
      </c>
      <c r="M153">
        <v>1</v>
      </c>
      <c r="N153">
        <v>0</v>
      </c>
      <c r="O153">
        <f t="shared" si="14"/>
        <v>2</v>
      </c>
      <c r="P153">
        <v>66.599999999999994</v>
      </c>
      <c r="Q153" t="str">
        <f t="shared" si="10"/>
        <v>High</v>
      </c>
      <c r="R153" t="s">
        <v>1514</v>
      </c>
    </row>
    <row r="154" spans="1:18" x14ac:dyDescent="0.45">
      <c r="A154">
        <v>153</v>
      </c>
      <c r="B154">
        <v>0</v>
      </c>
      <c r="C154" t="str">
        <f t="shared" si="11"/>
        <v>Not Survived</v>
      </c>
      <c r="D154">
        <v>3</v>
      </c>
      <c r="E154" t="s">
        <v>887</v>
      </c>
      <c r="F154" t="s">
        <v>722</v>
      </c>
      <c r="G154" t="s">
        <v>193</v>
      </c>
      <c r="H154" t="s">
        <v>9</v>
      </c>
      <c r="I154" t="str">
        <f t="shared" si="12"/>
        <v>Male</v>
      </c>
      <c r="J154">
        <v>55.5</v>
      </c>
      <c r="K154" t="str">
        <f t="shared" si="13"/>
        <v>Adult</v>
      </c>
      <c r="L154" t="str" cm="1">
        <f t="array" ref="L154">_xlfn.IFS(J154&lt;13,"Child",J154&lt;18,"Teen",J154&lt;60,"Adult",J154&gt;60,"Old Age")</f>
        <v>Adult</v>
      </c>
      <c r="M154">
        <v>0</v>
      </c>
      <c r="N154">
        <v>0</v>
      </c>
      <c r="O154">
        <f t="shared" si="14"/>
        <v>1</v>
      </c>
      <c r="P154" t="s">
        <v>12</v>
      </c>
      <c r="Q154" t="str">
        <f t="shared" si="10"/>
        <v>High</v>
      </c>
      <c r="R154" t="s">
        <v>1514</v>
      </c>
    </row>
    <row r="155" spans="1:18" x14ac:dyDescent="0.45">
      <c r="A155">
        <v>154</v>
      </c>
      <c r="B155">
        <v>0</v>
      </c>
      <c r="C155" t="str">
        <f t="shared" si="11"/>
        <v>Not Survived</v>
      </c>
      <c r="D155">
        <v>3</v>
      </c>
      <c r="E155" t="s">
        <v>888</v>
      </c>
      <c r="F155" t="s">
        <v>722</v>
      </c>
      <c r="G155" t="s">
        <v>194</v>
      </c>
      <c r="H155" t="s">
        <v>9</v>
      </c>
      <c r="I155" t="str">
        <f t="shared" si="12"/>
        <v>Male</v>
      </c>
      <c r="J155">
        <v>40.5</v>
      </c>
      <c r="K155" t="str">
        <f t="shared" si="13"/>
        <v>Adult</v>
      </c>
      <c r="L155" t="str" cm="1">
        <f t="array" ref="L155">_xlfn.IFS(J155&lt;13,"Child",J155&lt;18,"Teen",J155&lt;60,"Adult",J155&gt;60,"Old Age")</f>
        <v>Adult</v>
      </c>
      <c r="M155">
        <v>0</v>
      </c>
      <c r="N155">
        <v>2</v>
      </c>
      <c r="O155">
        <f t="shared" si="14"/>
        <v>3</v>
      </c>
      <c r="P155">
        <v>14.5</v>
      </c>
      <c r="Q155" t="str">
        <f t="shared" si="10"/>
        <v>High</v>
      </c>
      <c r="R155" t="s">
        <v>1514</v>
      </c>
    </row>
    <row r="156" spans="1:18" x14ac:dyDescent="0.45">
      <c r="A156">
        <v>155</v>
      </c>
      <c r="B156">
        <v>0</v>
      </c>
      <c r="C156" t="str">
        <f t="shared" si="11"/>
        <v>Not Survived</v>
      </c>
      <c r="D156">
        <v>3</v>
      </c>
      <c r="E156" t="s">
        <v>889</v>
      </c>
      <c r="F156" t="s">
        <v>722</v>
      </c>
      <c r="G156" t="s">
        <v>195</v>
      </c>
      <c r="H156" t="s">
        <v>9</v>
      </c>
      <c r="I156" t="str">
        <f t="shared" si="12"/>
        <v>Male</v>
      </c>
      <c r="J156">
        <v>28</v>
      </c>
      <c r="K156" t="str">
        <f t="shared" si="13"/>
        <v>Adult</v>
      </c>
      <c r="L156" t="str" cm="1">
        <f t="array" ref="L156">_xlfn.IFS(J156&lt;13,"Child",J156&lt;18,"Teen",J156&lt;60,"Adult",J156&gt;60,"Old Age")</f>
        <v>Adult</v>
      </c>
      <c r="M156">
        <v>0</v>
      </c>
      <c r="N156">
        <v>0</v>
      </c>
      <c r="O156">
        <f t="shared" si="14"/>
        <v>1</v>
      </c>
      <c r="P156">
        <v>7.3125</v>
      </c>
      <c r="Q156" t="str">
        <f t="shared" si="10"/>
        <v>High</v>
      </c>
      <c r="R156" t="s">
        <v>1514</v>
      </c>
    </row>
    <row r="157" spans="1:18" x14ac:dyDescent="0.45">
      <c r="A157">
        <v>156</v>
      </c>
      <c r="B157">
        <v>0</v>
      </c>
      <c r="C157" t="str">
        <f t="shared" si="11"/>
        <v>Not Survived</v>
      </c>
      <c r="D157">
        <v>1</v>
      </c>
      <c r="E157" t="s">
        <v>890</v>
      </c>
      <c r="F157" t="s">
        <v>722</v>
      </c>
      <c r="G157" t="s">
        <v>72</v>
      </c>
      <c r="H157" t="s">
        <v>9</v>
      </c>
      <c r="I157" t="str">
        <f t="shared" si="12"/>
        <v>Male</v>
      </c>
      <c r="J157">
        <v>51</v>
      </c>
      <c r="K157" t="str">
        <f t="shared" si="13"/>
        <v>Adult</v>
      </c>
      <c r="L157" t="str" cm="1">
        <f t="array" ref="L157">_xlfn.IFS(J157&lt;13,"Child",J157&lt;18,"Teen",J157&lt;60,"Adult",J157&gt;60,"Old Age")</f>
        <v>Adult</v>
      </c>
      <c r="M157">
        <v>0</v>
      </c>
      <c r="N157">
        <v>1</v>
      </c>
      <c r="O157">
        <f t="shared" si="14"/>
        <v>2</v>
      </c>
      <c r="P157">
        <v>61.379199999999997</v>
      </c>
      <c r="Q157" t="str">
        <f t="shared" si="10"/>
        <v>High</v>
      </c>
      <c r="R157" t="s">
        <v>1515</v>
      </c>
    </row>
    <row r="158" spans="1:18" x14ac:dyDescent="0.45">
      <c r="A158">
        <v>157</v>
      </c>
      <c r="B158">
        <v>1</v>
      </c>
      <c r="C158" t="str">
        <f t="shared" si="11"/>
        <v>Survived</v>
      </c>
      <c r="D158">
        <v>3</v>
      </c>
      <c r="E158" t="s">
        <v>891</v>
      </c>
      <c r="F158" t="s">
        <v>724</v>
      </c>
      <c r="G158" t="s">
        <v>196</v>
      </c>
      <c r="H158" t="s">
        <v>10</v>
      </c>
      <c r="I158" t="str">
        <f t="shared" si="12"/>
        <v>Female</v>
      </c>
      <c r="J158">
        <v>16</v>
      </c>
      <c r="K158" t="str">
        <f t="shared" si="13"/>
        <v>Teen</v>
      </c>
      <c r="L158" t="str" cm="1">
        <f t="array" ref="L158">_xlfn.IFS(J158&lt;13,"Child",J158&lt;18,"Teen",J158&lt;60,"Adult",J158&gt;60,"Old Age")</f>
        <v>Teen</v>
      </c>
      <c r="M158">
        <v>0</v>
      </c>
      <c r="N158">
        <v>0</v>
      </c>
      <c r="O158">
        <f t="shared" si="14"/>
        <v>1</v>
      </c>
      <c r="P158">
        <v>7.7332999999999998</v>
      </c>
      <c r="Q158" t="str">
        <f t="shared" si="10"/>
        <v>High</v>
      </c>
      <c r="R158" t="s">
        <v>1516</v>
      </c>
    </row>
    <row r="159" spans="1:18" x14ac:dyDescent="0.45">
      <c r="A159">
        <v>158</v>
      </c>
      <c r="B159">
        <v>0</v>
      </c>
      <c r="C159" t="str">
        <f t="shared" si="11"/>
        <v>Not Survived</v>
      </c>
      <c r="D159">
        <v>3</v>
      </c>
      <c r="E159" t="s">
        <v>892</v>
      </c>
      <c r="F159" t="s">
        <v>722</v>
      </c>
      <c r="G159" t="s">
        <v>197</v>
      </c>
      <c r="H159" t="s">
        <v>9</v>
      </c>
      <c r="I159" t="str">
        <f t="shared" si="12"/>
        <v>Male</v>
      </c>
      <c r="J159">
        <v>30</v>
      </c>
      <c r="K159" t="str">
        <f t="shared" si="13"/>
        <v>Adult</v>
      </c>
      <c r="L159" t="str" cm="1">
        <f t="array" ref="L159">_xlfn.IFS(J159&lt;13,"Child",J159&lt;18,"Teen",J159&lt;60,"Adult",J159&gt;60,"Old Age")</f>
        <v>Adult</v>
      </c>
      <c r="M159">
        <v>0</v>
      </c>
      <c r="N159">
        <v>0</v>
      </c>
      <c r="O159">
        <f t="shared" si="14"/>
        <v>1</v>
      </c>
      <c r="P159" t="s">
        <v>12</v>
      </c>
      <c r="Q159" t="str">
        <f t="shared" si="10"/>
        <v>High</v>
      </c>
      <c r="R159" t="s">
        <v>1514</v>
      </c>
    </row>
    <row r="160" spans="1:18" x14ac:dyDescent="0.45">
      <c r="A160">
        <v>159</v>
      </c>
      <c r="B160">
        <v>0</v>
      </c>
      <c r="C160" t="str">
        <f t="shared" si="11"/>
        <v>Not Survived</v>
      </c>
      <c r="D160">
        <v>3</v>
      </c>
      <c r="E160" t="s">
        <v>893</v>
      </c>
      <c r="F160" t="s">
        <v>722</v>
      </c>
      <c r="G160" t="s">
        <v>198</v>
      </c>
      <c r="H160" t="s">
        <v>9</v>
      </c>
      <c r="I160" t="str">
        <f t="shared" si="12"/>
        <v>Male</v>
      </c>
      <c r="J160">
        <v>28</v>
      </c>
      <c r="K160" t="str">
        <f t="shared" si="13"/>
        <v>Adult</v>
      </c>
      <c r="L160" t="str" cm="1">
        <f t="array" ref="L160">_xlfn.IFS(J160&lt;13,"Child",J160&lt;18,"Teen",J160&lt;60,"Adult",J160&gt;60,"Old Age")</f>
        <v>Adult</v>
      </c>
      <c r="M160">
        <v>0</v>
      </c>
      <c r="N160">
        <v>0</v>
      </c>
      <c r="O160">
        <f t="shared" si="14"/>
        <v>1</v>
      </c>
      <c r="P160">
        <v>8.6624999999999996</v>
      </c>
      <c r="Q160" t="str">
        <f t="shared" si="10"/>
        <v>High</v>
      </c>
      <c r="R160" t="s">
        <v>1514</v>
      </c>
    </row>
    <row r="161" spans="1:18" x14ac:dyDescent="0.45">
      <c r="A161">
        <v>160</v>
      </c>
      <c r="B161">
        <v>0</v>
      </c>
      <c r="C161" t="str">
        <f t="shared" si="11"/>
        <v>Not Survived</v>
      </c>
      <c r="D161">
        <v>3</v>
      </c>
      <c r="E161" t="s">
        <v>894</v>
      </c>
      <c r="F161" t="s">
        <v>725</v>
      </c>
      <c r="G161" t="s">
        <v>199</v>
      </c>
      <c r="H161" t="s">
        <v>9</v>
      </c>
      <c r="I161" t="str">
        <f t="shared" si="12"/>
        <v>Male</v>
      </c>
      <c r="J161">
        <v>28</v>
      </c>
      <c r="K161" t="str">
        <f t="shared" si="13"/>
        <v>Adult</v>
      </c>
      <c r="L161" t="str" cm="1">
        <f t="array" ref="L161">_xlfn.IFS(J161&lt;13,"Child",J161&lt;18,"Teen",J161&lt;60,"Adult",J161&gt;60,"Old Age")</f>
        <v>Adult</v>
      </c>
      <c r="M161">
        <v>8</v>
      </c>
      <c r="N161">
        <v>2</v>
      </c>
      <c r="O161">
        <f t="shared" si="14"/>
        <v>11</v>
      </c>
      <c r="P161">
        <v>69.55</v>
      </c>
      <c r="Q161" t="str">
        <f t="shared" si="10"/>
        <v>High</v>
      </c>
      <c r="R161" t="s">
        <v>1514</v>
      </c>
    </row>
    <row r="162" spans="1:18" x14ac:dyDescent="0.45">
      <c r="A162">
        <v>161</v>
      </c>
      <c r="B162">
        <v>0</v>
      </c>
      <c r="C162" t="str">
        <f t="shared" si="11"/>
        <v>Not Survived</v>
      </c>
      <c r="D162">
        <v>3</v>
      </c>
      <c r="E162" t="s">
        <v>895</v>
      </c>
      <c r="F162" t="s">
        <v>722</v>
      </c>
      <c r="G162" t="s">
        <v>200</v>
      </c>
      <c r="H162" t="s">
        <v>9</v>
      </c>
      <c r="I162" t="str">
        <f t="shared" si="12"/>
        <v>Male</v>
      </c>
      <c r="J162">
        <v>44</v>
      </c>
      <c r="K162" t="str">
        <f t="shared" si="13"/>
        <v>Adult</v>
      </c>
      <c r="L162" t="str" cm="1">
        <f t="array" ref="L162">_xlfn.IFS(J162&lt;13,"Child",J162&lt;18,"Teen",J162&lt;60,"Adult",J162&gt;60,"Old Age")</f>
        <v>Adult</v>
      </c>
      <c r="M162">
        <v>0</v>
      </c>
      <c r="N162">
        <v>1</v>
      </c>
      <c r="O162">
        <f t="shared" si="14"/>
        <v>2</v>
      </c>
      <c r="P162">
        <v>16.100000000000001</v>
      </c>
      <c r="Q162" t="str">
        <f t="shared" si="10"/>
        <v>High</v>
      </c>
      <c r="R162" t="s">
        <v>1514</v>
      </c>
    </row>
    <row r="163" spans="1:18" x14ac:dyDescent="0.45">
      <c r="A163">
        <v>162</v>
      </c>
      <c r="B163">
        <v>1</v>
      </c>
      <c r="C163" t="str">
        <f t="shared" si="11"/>
        <v>Survived</v>
      </c>
      <c r="D163">
        <v>2</v>
      </c>
      <c r="E163" t="s">
        <v>896</v>
      </c>
      <c r="F163" t="s">
        <v>723</v>
      </c>
      <c r="G163" t="s">
        <v>201</v>
      </c>
      <c r="H163" t="s">
        <v>10</v>
      </c>
      <c r="I163" t="str">
        <f t="shared" si="12"/>
        <v>Female</v>
      </c>
      <c r="J163">
        <v>40</v>
      </c>
      <c r="K163" t="str">
        <f t="shared" si="13"/>
        <v>Adult</v>
      </c>
      <c r="L163" t="str" cm="1">
        <f t="array" ref="L163">_xlfn.IFS(J163&lt;13,"Child",J163&lt;18,"Teen",J163&lt;60,"Adult",J163&gt;60,"Old Age")</f>
        <v>Adult</v>
      </c>
      <c r="M163">
        <v>0</v>
      </c>
      <c r="N163">
        <v>0</v>
      </c>
      <c r="O163">
        <f t="shared" si="14"/>
        <v>1</v>
      </c>
      <c r="P163">
        <v>15.75</v>
      </c>
      <c r="Q163" t="str">
        <f t="shared" si="10"/>
        <v>High</v>
      </c>
      <c r="R163" t="s">
        <v>1514</v>
      </c>
    </row>
    <row r="164" spans="1:18" x14ac:dyDescent="0.45">
      <c r="A164">
        <v>163</v>
      </c>
      <c r="B164">
        <v>0</v>
      </c>
      <c r="C164" t="str">
        <f t="shared" si="11"/>
        <v>Not Survived</v>
      </c>
      <c r="D164">
        <v>3</v>
      </c>
      <c r="E164" t="s">
        <v>897</v>
      </c>
      <c r="F164" t="s">
        <v>722</v>
      </c>
      <c r="G164" t="s">
        <v>202</v>
      </c>
      <c r="H164" t="s">
        <v>9</v>
      </c>
      <c r="I164" t="str">
        <f t="shared" si="12"/>
        <v>Male</v>
      </c>
      <c r="J164">
        <v>26</v>
      </c>
      <c r="K164" t="str">
        <f t="shared" si="13"/>
        <v>Adult</v>
      </c>
      <c r="L164" t="str" cm="1">
        <f t="array" ref="L164">_xlfn.IFS(J164&lt;13,"Child",J164&lt;18,"Teen",J164&lt;60,"Adult",J164&gt;60,"Old Age")</f>
        <v>Adult</v>
      </c>
      <c r="M164">
        <v>0</v>
      </c>
      <c r="N164">
        <v>0</v>
      </c>
      <c r="O164">
        <f t="shared" si="14"/>
        <v>1</v>
      </c>
      <c r="P164">
        <v>7.7750000000000004</v>
      </c>
      <c r="Q164" t="str">
        <f t="shared" si="10"/>
        <v>High</v>
      </c>
      <c r="R164" t="s">
        <v>1514</v>
      </c>
    </row>
    <row r="165" spans="1:18" x14ac:dyDescent="0.45">
      <c r="A165">
        <v>164</v>
      </c>
      <c r="B165">
        <v>0</v>
      </c>
      <c r="C165" t="str">
        <f t="shared" si="11"/>
        <v>Not Survived</v>
      </c>
      <c r="D165">
        <v>3</v>
      </c>
      <c r="E165" t="s">
        <v>898</v>
      </c>
      <c r="F165" t="s">
        <v>722</v>
      </c>
      <c r="G165" t="s">
        <v>203</v>
      </c>
      <c r="H165" t="s">
        <v>9</v>
      </c>
      <c r="I165" t="str">
        <f t="shared" si="12"/>
        <v>Male</v>
      </c>
      <c r="J165">
        <v>17</v>
      </c>
      <c r="K165" t="str">
        <f t="shared" si="13"/>
        <v>Teen</v>
      </c>
      <c r="L165" t="str" cm="1">
        <f t="array" ref="L165">_xlfn.IFS(J165&lt;13,"Child",J165&lt;18,"Teen",J165&lt;60,"Adult",J165&gt;60,"Old Age")</f>
        <v>Teen</v>
      </c>
      <c r="M165">
        <v>0</v>
      </c>
      <c r="N165">
        <v>0</v>
      </c>
      <c r="O165">
        <f t="shared" si="14"/>
        <v>1</v>
      </c>
      <c r="P165">
        <v>8.6624999999999996</v>
      </c>
      <c r="Q165" t="str">
        <f t="shared" si="10"/>
        <v>High</v>
      </c>
      <c r="R165" t="s">
        <v>1514</v>
      </c>
    </row>
    <row r="166" spans="1:18" x14ac:dyDescent="0.45">
      <c r="A166">
        <v>165</v>
      </c>
      <c r="B166">
        <v>0</v>
      </c>
      <c r="C166" t="str">
        <f t="shared" si="11"/>
        <v>Not Survived</v>
      </c>
      <c r="D166">
        <v>3</v>
      </c>
      <c r="E166" t="s">
        <v>899</v>
      </c>
      <c r="F166" t="s">
        <v>725</v>
      </c>
      <c r="G166" t="s">
        <v>103</v>
      </c>
      <c r="H166" t="s">
        <v>9</v>
      </c>
      <c r="I166" t="str">
        <f t="shared" si="12"/>
        <v>Male</v>
      </c>
      <c r="J166">
        <v>1</v>
      </c>
      <c r="K166" t="str">
        <f t="shared" si="13"/>
        <v>Child</v>
      </c>
      <c r="L166" t="str" cm="1">
        <f t="array" ref="L166">_xlfn.IFS(J166&lt;13,"Child",J166&lt;18,"Teen",J166&lt;60,"Adult",J166&gt;60,"Old Age")</f>
        <v>Child</v>
      </c>
      <c r="M166">
        <v>4</v>
      </c>
      <c r="N166">
        <v>1</v>
      </c>
      <c r="O166">
        <f t="shared" si="14"/>
        <v>6</v>
      </c>
      <c r="P166">
        <v>39.6875</v>
      </c>
      <c r="Q166" t="str">
        <f t="shared" si="10"/>
        <v>High</v>
      </c>
      <c r="R166" t="s">
        <v>1514</v>
      </c>
    </row>
    <row r="167" spans="1:18" x14ac:dyDescent="0.45">
      <c r="A167">
        <v>166</v>
      </c>
      <c r="B167">
        <v>1</v>
      </c>
      <c r="C167" t="str">
        <f t="shared" si="11"/>
        <v>Survived</v>
      </c>
      <c r="D167">
        <v>3</v>
      </c>
      <c r="E167" t="s">
        <v>900</v>
      </c>
      <c r="F167" t="s">
        <v>725</v>
      </c>
      <c r="G167" t="s">
        <v>204</v>
      </c>
      <c r="H167" t="s">
        <v>9</v>
      </c>
      <c r="I167" t="str">
        <f t="shared" si="12"/>
        <v>Male</v>
      </c>
      <c r="J167">
        <v>9</v>
      </c>
      <c r="K167" t="str">
        <f t="shared" si="13"/>
        <v>Child</v>
      </c>
      <c r="L167" t="str" cm="1">
        <f t="array" ref="L167">_xlfn.IFS(J167&lt;13,"Child",J167&lt;18,"Teen",J167&lt;60,"Adult",J167&gt;60,"Old Age")</f>
        <v>Child</v>
      </c>
      <c r="M167">
        <v>0</v>
      </c>
      <c r="N167">
        <v>2</v>
      </c>
      <c r="O167">
        <f t="shared" si="14"/>
        <v>3</v>
      </c>
      <c r="P167" t="s">
        <v>24</v>
      </c>
      <c r="Q167" t="str">
        <f t="shared" si="10"/>
        <v>High</v>
      </c>
      <c r="R167" t="s">
        <v>1514</v>
      </c>
    </row>
    <row r="168" spans="1:18" x14ac:dyDescent="0.45">
      <c r="A168">
        <v>167</v>
      </c>
      <c r="B168">
        <v>1</v>
      </c>
      <c r="C168" t="str">
        <f t="shared" si="11"/>
        <v>Survived</v>
      </c>
      <c r="D168">
        <v>1</v>
      </c>
      <c r="E168" t="s">
        <v>753</v>
      </c>
      <c r="F168" t="s">
        <v>723</v>
      </c>
      <c r="G168" t="s">
        <v>205</v>
      </c>
      <c r="H168" t="s">
        <v>10</v>
      </c>
      <c r="I168" t="str">
        <f t="shared" si="12"/>
        <v>Female</v>
      </c>
      <c r="J168">
        <v>28</v>
      </c>
      <c r="K168" t="str">
        <f t="shared" si="13"/>
        <v>Adult</v>
      </c>
      <c r="L168" t="str" cm="1">
        <f t="array" ref="L168">_xlfn.IFS(J168&lt;13,"Child",J168&lt;18,"Teen",J168&lt;60,"Adult",J168&gt;60,"Old Age")</f>
        <v>Adult</v>
      </c>
      <c r="M168">
        <v>0</v>
      </c>
      <c r="N168">
        <v>1</v>
      </c>
      <c r="O168">
        <f t="shared" si="14"/>
        <v>2</v>
      </c>
      <c r="P168">
        <v>55</v>
      </c>
      <c r="Q168" t="str">
        <f t="shared" si="10"/>
        <v>High</v>
      </c>
      <c r="R168" t="s">
        <v>1514</v>
      </c>
    </row>
    <row r="169" spans="1:18" x14ac:dyDescent="0.45">
      <c r="A169">
        <v>168</v>
      </c>
      <c r="B169">
        <v>0</v>
      </c>
      <c r="C169" t="str">
        <f t="shared" si="11"/>
        <v>Not Survived</v>
      </c>
      <c r="D169">
        <v>3</v>
      </c>
      <c r="E169" t="s">
        <v>901</v>
      </c>
      <c r="F169" t="s">
        <v>723</v>
      </c>
      <c r="G169" t="s">
        <v>116</v>
      </c>
      <c r="H169" t="s">
        <v>10</v>
      </c>
      <c r="I169" t="str">
        <f t="shared" si="12"/>
        <v>Female</v>
      </c>
      <c r="J169">
        <v>45</v>
      </c>
      <c r="K169" t="str">
        <f t="shared" si="13"/>
        <v>Adult</v>
      </c>
      <c r="L169" t="str" cm="1">
        <f t="array" ref="L169">_xlfn.IFS(J169&lt;13,"Child",J169&lt;18,"Teen",J169&lt;60,"Adult",J169&gt;60,"Old Age")</f>
        <v>Adult</v>
      </c>
      <c r="M169">
        <v>1</v>
      </c>
      <c r="N169">
        <v>4</v>
      </c>
      <c r="O169">
        <f t="shared" si="14"/>
        <v>6</v>
      </c>
      <c r="P169">
        <v>27.9</v>
      </c>
      <c r="Q169" t="str">
        <f t="shared" si="10"/>
        <v>High</v>
      </c>
      <c r="R169" t="s">
        <v>1514</v>
      </c>
    </row>
    <row r="170" spans="1:18" x14ac:dyDescent="0.45">
      <c r="A170">
        <v>169</v>
      </c>
      <c r="B170">
        <v>0</v>
      </c>
      <c r="C170" t="str">
        <f t="shared" si="11"/>
        <v>Not Survived</v>
      </c>
      <c r="D170">
        <v>1</v>
      </c>
      <c r="E170" t="s">
        <v>902</v>
      </c>
      <c r="F170" t="s">
        <v>722</v>
      </c>
      <c r="G170" t="s">
        <v>206</v>
      </c>
      <c r="H170" t="s">
        <v>9</v>
      </c>
      <c r="I170" t="str">
        <f t="shared" si="12"/>
        <v>Male</v>
      </c>
      <c r="J170">
        <v>28</v>
      </c>
      <c r="K170" t="str">
        <f t="shared" si="13"/>
        <v>Adult</v>
      </c>
      <c r="L170" t="str" cm="1">
        <f t="array" ref="L170">_xlfn.IFS(J170&lt;13,"Child",J170&lt;18,"Teen",J170&lt;60,"Adult",J170&gt;60,"Old Age")</f>
        <v>Adult</v>
      </c>
      <c r="M170">
        <v>0</v>
      </c>
      <c r="N170">
        <v>0</v>
      </c>
      <c r="O170">
        <f t="shared" si="14"/>
        <v>1</v>
      </c>
      <c r="P170">
        <v>25.925000000000001</v>
      </c>
      <c r="Q170" t="str">
        <f t="shared" si="10"/>
        <v>High</v>
      </c>
      <c r="R170" t="s">
        <v>1514</v>
      </c>
    </row>
    <row r="171" spans="1:18" x14ac:dyDescent="0.45">
      <c r="A171">
        <v>170</v>
      </c>
      <c r="B171">
        <v>0</v>
      </c>
      <c r="C171" t="str">
        <f t="shared" si="11"/>
        <v>Not Survived</v>
      </c>
      <c r="D171">
        <v>3</v>
      </c>
      <c r="E171" t="s">
        <v>811</v>
      </c>
      <c r="F171" t="s">
        <v>722</v>
      </c>
      <c r="G171" t="s">
        <v>207</v>
      </c>
      <c r="H171" t="s">
        <v>9</v>
      </c>
      <c r="I171" t="str">
        <f t="shared" si="12"/>
        <v>Male</v>
      </c>
      <c r="J171">
        <v>28</v>
      </c>
      <c r="K171" t="str">
        <f t="shared" si="13"/>
        <v>Adult</v>
      </c>
      <c r="L171" t="str" cm="1">
        <f t="array" ref="L171">_xlfn.IFS(J171&lt;13,"Child",J171&lt;18,"Teen",J171&lt;60,"Adult",J171&gt;60,"Old Age")</f>
        <v>Adult</v>
      </c>
      <c r="M171">
        <v>0</v>
      </c>
      <c r="N171">
        <v>0</v>
      </c>
      <c r="O171">
        <f t="shared" si="14"/>
        <v>1</v>
      </c>
      <c r="P171">
        <v>56.495800000000003</v>
      </c>
      <c r="Q171" t="str">
        <f t="shared" si="10"/>
        <v>High</v>
      </c>
      <c r="R171" t="s">
        <v>1514</v>
      </c>
    </row>
    <row r="172" spans="1:18" x14ac:dyDescent="0.45">
      <c r="A172">
        <v>171</v>
      </c>
      <c r="B172">
        <v>0</v>
      </c>
      <c r="C172" t="str">
        <f t="shared" si="11"/>
        <v>Not Survived</v>
      </c>
      <c r="D172">
        <v>1</v>
      </c>
      <c r="E172" t="s">
        <v>903</v>
      </c>
      <c r="F172" t="s">
        <v>722</v>
      </c>
      <c r="G172" t="s">
        <v>208</v>
      </c>
      <c r="H172" t="s">
        <v>9</v>
      </c>
      <c r="I172" t="str">
        <f t="shared" si="12"/>
        <v>Male</v>
      </c>
      <c r="J172">
        <v>61</v>
      </c>
      <c r="K172" t="str">
        <f t="shared" si="13"/>
        <v>Old Age</v>
      </c>
      <c r="L172" t="str" cm="1">
        <f t="array" ref="L172">_xlfn.IFS(J172&lt;13,"Child",J172&lt;18,"Teen",J172&lt;60,"Adult",J172&gt;60,"Old Age")</f>
        <v>Old Age</v>
      </c>
      <c r="M172">
        <v>0</v>
      </c>
      <c r="N172">
        <v>0</v>
      </c>
      <c r="O172">
        <f t="shared" si="14"/>
        <v>1</v>
      </c>
      <c r="P172">
        <v>33.5</v>
      </c>
      <c r="Q172" t="str">
        <f t="shared" si="10"/>
        <v>High</v>
      </c>
      <c r="R172" t="s">
        <v>1514</v>
      </c>
    </row>
    <row r="173" spans="1:18" x14ac:dyDescent="0.45">
      <c r="A173">
        <v>172</v>
      </c>
      <c r="B173">
        <v>0</v>
      </c>
      <c r="C173" t="str">
        <f t="shared" si="11"/>
        <v>Not Survived</v>
      </c>
      <c r="D173">
        <v>3</v>
      </c>
      <c r="E173" t="s">
        <v>904</v>
      </c>
      <c r="F173" t="s">
        <v>725</v>
      </c>
      <c r="G173" t="s">
        <v>71</v>
      </c>
      <c r="H173" t="s">
        <v>9</v>
      </c>
      <c r="I173" t="str">
        <f t="shared" si="12"/>
        <v>Male</v>
      </c>
      <c r="J173">
        <v>4</v>
      </c>
      <c r="K173" t="str">
        <f t="shared" si="13"/>
        <v>Child</v>
      </c>
      <c r="L173" t="str" cm="1">
        <f t="array" ref="L173">_xlfn.IFS(J173&lt;13,"Child",J173&lt;18,"Teen",J173&lt;60,"Adult",J173&gt;60,"Old Age")</f>
        <v>Child</v>
      </c>
      <c r="M173">
        <v>4</v>
      </c>
      <c r="N173">
        <v>1</v>
      </c>
      <c r="O173">
        <f t="shared" si="14"/>
        <v>6</v>
      </c>
      <c r="P173">
        <v>29.125</v>
      </c>
      <c r="Q173" t="str">
        <f t="shared" si="10"/>
        <v>High</v>
      </c>
      <c r="R173" t="s">
        <v>1516</v>
      </c>
    </row>
    <row r="174" spans="1:18" x14ac:dyDescent="0.45">
      <c r="A174">
        <v>173</v>
      </c>
      <c r="B174">
        <v>1</v>
      </c>
      <c r="C174" t="str">
        <f t="shared" si="11"/>
        <v>Survived</v>
      </c>
      <c r="D174">
        <v>3</v>
      </c>
      <c r="E174" t="s">
        <v>905</v>
      </c>
      <c r="F174" t="s">
        <v>724</v>
      </c>
      <c r="G174" t="s">
        <v>63</v>
      </c>
      <c r="H174" t="s">
        <v>10</v>
      </c>
      <c r="I174" t="str">
        <f t="shared" si="12"/>
        <v>Female</v>
      </c>
      <c r="J174">
        <v>1</v>
      </c>
      <c r="K174" t="str">
        <f t="shared" si="13"/>
        <v>Child</v>
      </c>
      <c r="L174" t="str" cm="1">
        <f t="array" ref="L174">_xlfn.IFS(J174&lt;13,"Child",J174&lt;18,"Teen",J174&lt;60,"Adult",J174&gt;60,"Old Age")</f>
        <v>Child</v>
      </c>
      <c r="M174">
        <v>1</v>
      </c>
      <c r="N174">
        <v>1</v>
      </c>
      <c r="O174">
        <f t="shared" si="14"/>
        <v>3</v>
      </c>
      <c r="P174">
        <v>11.1333</v>
      </c>
      <c r="Q174" t="str">
        <f t="shared" si="10"/>
        <v>High</v>
      </c>
      <c r="R174" t="s">
        <v>1514</v>
      </c>
    </row>
    <row r="175" spans="1:18" x14ac:dyDescent="0.45">
      <c r="A175">
        <v>174</v>
      </c>
      <c r="B175">
        <v>0</v>
      </c>
      <c r="C175" t="str">
        <f t="shared" si="11"/>
        <v>Not Survived</v>
      </c>
      <c r="D175">
        <v>3</v>
      </c>
      <c r="E175" t="s">
        <v>906</v>
      </c>
      <c r="F175" t="s">
        <v>722</v>
      </c>
      <c r="G175" t="s">
        <v>209</v>
      </c>
      <c r="H175" t="s">
        <v>9</v>
      </c>
      <c r="I175" t="str">
        <f t="shared" si="12"/>
        <v>Male</v>
      </c>
      <c r="J175">
        <v>21</v>
      </c>
      <c r="K175" t="str">
        <f t="shared" si="13"/>
        <v>Adult</v>
      </c>
      <c r="L175" t="str" cm="1">
        <f t="array" ref="L175">_xlfn.IFS(J175&lt;13,"Child",J175&lt;18,"Teen",J175&lt;60,"Adult",J175&gt;60,"Old Age")</f>
        <v>Adult</v>
      </c>
      <c r="M175">
        <v>0</v>
      </c>
      <c r="N175">
        <v>0</v>
      </c>
      <c r="O175">
        <f t="shared" si="14"/>
        <v>1</v>
      </c>
      <c r="P175">
        <v>7.9249999999999998</v>
      </c>
      <c r="Q175" t="str">
        <f t="shared" si="10"/>
        <v>High</v>
      </c>
      <c r="R175" t="s">
        <v>1514</v>
      </c>
    </row>
    <row r="176" spans="1:18" x14ac:dyDescent="0.45">
      <c r="A176">
        <v>175</v>
      </c>
      <c r="B176">
        <v>0</v>
      </c>
      <c r="C176" t="str">
        <f t="shared" si="11"/>
        <v>Not Survived</v>
      </c>
      <c r="D176">
        <v>1</v>
      </c>
      <c r="E176" t="s">
        <v>907</v>
      </c>
      <c r="F176" t="s">
        <v>722</v>
      </c>
      <c r="G176" t="s">
        <v>210</v>
      </c>
      <c r="H176" t="s">
        <v>9</v>
      </c>
      <c r="I176" t="str">
        <f t="shared" si="12"/>
        <v>Male</v>
      </c>
      <c r="J176">
        <v>56</v>
      </c>
      <c r="K176" t="str">
        <f t="shared" si="13"/>
        <v>Adult</v>
      </c>
      <c r="L176" t="str" cm="1">
        <f t="array" ref="L176">_xlfn.IFS(J176&lt;13,"Child",J176&lt;18,"Teen",J176&lt;60,"Adult",J176&gt;60,"Old Age")</f>
        <v>Adult</v>
      </c>
      <c r="M176">
        <v>0</v>
      </c>
      <c r="N176">
        <v>0</v>
      </c>
      <c r="O176">
        <f t="shared" si="14"/>
        <v>1</v>
      </c>
      <c r="P176" t="s">
        <v>25</v>
      </c>
      <c r="Q176" t="str">
        <f t="shared" si="10"/>
        <v>High</v>
      </c>
      <c r="R176" t="s">
        <v>1515</v>
      </c>
    </row>
    <row r="177" spans="1:18" x14ac:dyDescent="0.45">
      <c r="A177">
        <v>176</v>
      </c>
      <c r="B177">
        <v>0</v>
      </c>
      <c r="C177" t="str">
        <f t="shared" si="11"/>
        <v>Not Survived</v>
      </c>
      <c r="D177">
        <v>3</v>
      </c>
      <c r="E177" t="s">
        <v>908</v>
      </c>
      <c r="F177" t="s">
        <v>722</v>
      </c>
      <c r="G177" t="s">
        <v>211</v>
      </c>
      <c r="H177" t="s">
        <v>9</v>
      </c>
      <c r="I177" t="str">
        <f t="shared" si="12"/>
        <v>Male</v>
      </c>
      <c r="J177">
        <v>18</v>
      </c>
      <c r="K177" t="str">
        <f t="shared" si="13"/>
        <v>Adult</v>
      </c>
      <c r="L177" t="str" cm="1">
        <f t="array" ref="L177">_xlfn.IFS(J177&lt;13,"Child",J177&lt;18,"Teen",J177&lt;60,"Adult",J177&gt;60,"Old Age")</f>
        <v>Adult</v>
      </c>
      <c r="M177">
        <v>1</v>
      </c>
      <c r="N177">
        <v>1</v>
      </c>
      <c r="O177">
        <f t="shared" si="14"/>
        <v>3</v>
      </c>
      <c r="P177">
        <v>7.8541999999999996</v>
      </c>
      <c r="Q177" t="str">
        <f t="shared" si="10"/>
        <v>High</v>
      </c>
      <c r="R177" t="s">
        <v>1514</v>
      </c>
    </row>
    <row r="178" spans="1:18" x14ac:dyDescent="0.45">
      <c r="A178">
        <v>177</v>
      </c>
      <c r="B178">
        <v>0</v>
      </c>
      <c r="C178" t="str">
        <f t="shared" si="11"/>
        <v>Not Survived</v>
      </c>
      <c r="D178">
        <v>3</v>
      </c>
      <c r="E178" t="s">
        <v>909</v>
      </c>
      <c r="F178" t="s">
        <v>725</v>
      </c>
      <c r="G178" t="s">
        <v>212</v>
      </c>
      <c r="H178" t="s">
        <v>9</v>
      </c>
      <c r="I178" t="str">
        <f t="shared" si="12"/>
        <v>Male</v>
      </c>
      <c r="J178">
        <v>28</v>
      </c>
      <c r="K178" t="str">
        <f t="shared" si="13"/>
        <v>Adult</v>
      </c>
      <c r="L178" t="str" cm="1">
        <f t="array" ref="L178">_xlfn.IFS(J178&lt;13,"Child",J178&lt;18,"Teen",J178&lt;60,"Adult",J178&gt;60,"Old Age")</f>
        <v>Adult</v>
      </c>
      <c r="M178">
        <v>3</v>
      </c>
      <c r="N178">
        <v>1</v>
      </c>
      <c r="O178">
        <f t="shared" si="14"/>
        <v>5</v>
      </c>
      <c r="P178">
        <v>25.466699999999999</v>
      </c>
      <c r="Q178" t="str">
        <f t="shared" si="10"/>
        <v>High</v>
      </c>
      <c r="R178" t="s">
        <v>1514</v>
      </c>
    </row>
    <row r="179" spans="1:18" x14ac:dyDescent="0.45">
      <c r="A179">
        <v>178</v>
      </c>
      <c r="B179">
        <v>0</v>
      </c>
      <c r="C179" t="str">
        <f t="shared" si="11"/>
        <v>Not Survived</v>
      </c>
      <c r="D179">
        <v>1</v>
      </c>
      <c r="E179" t="s">
        <v>910</v>
      </c>
      <c r="F179" t="s">
        <v>724</v>
      </c>
      <c r="G179" t="s">
        <v>213</v>
      </c>
      <c r="H179" t="s">
        <v>10</v>
      </c>
      <c r="I179" t="str">
        <f t="shared" si="12"/>
        <v>Female</v>
      </c>
      <c r="J179">
        <v>50</v>
      </c>
      <c r="K179" t="str">
        <f t="shared" si="13"/>
        <v>Adult</v>
      </c>
      <c r="L179" t="str" cm="1">
        <f t="array" ref="L179">_xlfn.IFS(J179&lt;13,"Child",J179&lt;18,"Teen",J179&lt;60,"Adult",J179&gt;60,"Old Age")</f>
        <v>Adult</v>
      </c>
      <c r="M179">
        <v>0</v>
      </c>
      <c r="N179">
        <v>0</v>
      </c>
      <c r="O179">
        <f t="shared" si="14"/>
        <v>1</v>
      </c>
      <c r="P179">
        <v>28.712499999999999</v>
      </c>
      <c r="Q179" t="str">
        <f t="shared" si="10"/>
        <v>High</v>
      </c>
      <c r="R179" t="s">
        <v>1515</v>
      </c>
    </row>
    <row r="180" spans="1:18" x14ac:dyDescent="0.45">
      <c r="A180">
        <v>179</v>
      </c>
      <c r="B180">
        <v>0</v>
      </c>
      <c r="C180" t="str">
        <f t="shared" si="11"/>
        <v>Not Survived</v>
      </c>
      <c r="D180">
        <v>2</v>
      </c>
      <c r="E180" t="s">
        <v>911</v>
      </c>
      <c r="F180" t="s">
        <v>722</v>
      </c>
      <c r="G180" t="s">
        <v>214</v>
      </c>
      <c r="H180" t="s">
        <v>9</v>
      </c>
      <c r="I180" t="str">
        <f t="shared" si="12"/>
        <v>Male</v>
      </c>
      <c r="J180">
        <v>30</v>
      </c>
      <c r="K180" t="str">
        <f t="shared" si="13"/>
        <v>Adult</v>
      </c>
      <c r="L180" t="str" cm="1">
        <f t="array" ref="L180">_xlfn.IFS(J180&lt;13,"Child",J180&lt;18,"Teen",J180&lt;60,"Adult",J180&gt;60,"Old Age")</f>
        <v>Adult</v>
      </c>
      <c r="M180">
        <v>0</v>
      </c>
      <c r="N180">
        <v>0</v>
      </c>
      <c r="O180">
        <f t="shared" si="14"/>
        <v>1</v>
      </c>
      <c r="P180">
        <v>13</v>
      </c>
      <c r="Q180" t="str">
        <f t="shared" si="10"/>
        <v>High</v>
      </c>
      <c r="R180" t="s">
        <v>1514</v>
      </c>
    </row>
    <row r="181" spans="1:18" x14ac:dyDescent="0.45">
      <c r="A181">
        <v>180</v>
      </c>
      <c r="B181">
        <v>0</v>
      </c>
      <c r="C181" t="str">
        <f t="shared" si="11"/>
        <v>Not Survived</v>
      </c>
      <c r="D181">
        <v>3</v>
      </c>
      <c r="E181" t="s">
        <v>912</v>
      </c>
      <c r="F181" t="s">
        <v>722</v>
      </c>
      <c r="G181" t="s">
        <v>215</v>
      </c>
      <c r="H181" t="s">
        <v>9</v>
      </c>
      <c r="I181" t="str">
        <f t="shared" si="12"/>
        <v>Male</v>
      </c>
      <c r="J181">
        <v>36</v>
      </c>
      <c r="K181" t="str">
        <f t="shared" si="13"/>
        <v>Adult</v>
      </c>
      <c r="L181" t="str" cm="1">
        <f t="array" ref="L181">_xlfn.IFS(J181&lt;13,"Child",J181&lt;18,"Teen",J181&lt;60,"Adult",J181&gt;60,"Old Age")</f>
        <v>Adult</v>
      </c>
      <c r="M181">
        <v>0</v>
      </c>
      <c r="N181">
        <v>0</v>
      </c>
      <c r="O181">
        <f t="shared" si="14"/>
        <v>1</v>
      </c>
      <c r="P181">
        <v>14.4542</v>
      </c>
      <c r="Q181" t="str">
        <f t="shared" si="10"/>
        <v>High</v>
      </c>
      <c r="R181" t="s">
        <v>1514</v>
      </c>
    </row>
    <row r="182" spans="1:18" x14ac:dyDescent="0.45">
      <c r="A182">
        <v>181</v>
      </c>
      <c r="B182">
        <v>0</v>
      </c>
      <c r="C182" t="str">
        <f t="shared" si="11"/>
        <v>Not Survived</v>
      </c>
      <c r="D182">
        <v>3</v>
      </c>
      <c r="E182" t="s">
        <v>913</v>
      </c>
      <c r="F182" t="s">
        <v>724</v>
      </c>
      <c r="G182" t="s">
        <v>199</v>
      </c>
      <c r="H182" t="s">
        <v>10</v>
      </c>
      <c r="I182" t="str">
        <f t="shared" si="12"/>
        <v>Female</v>
      </c>
      <c r="J182">
        <v>28</v>
      </c>
      <c r="K182" t="str">
        <f t="shared" si="13"/>
        <v>Adult</v>
      </c>
      <c r="L182" t="str" cm="1">
        <f t="array" ref="L182">_xlfn.IFS(J182&lt;13,"Child",J182&lt;18,"Teen",J182&lt;60,"Adult",J182&gt;60,"Old Age")</f>
        <v>Adult</v>
      </c>
      <c r="M182">
        <v>8</v>
      </c>
      <c r="N182">
        <v>2</v>
      </c>
      <c r="O182">
        <f t="shared" si="14"/>
        <v>11</v>
      </c>
      <c r="P182">
        <v>69.55</v>
      </c>
      <c r="Q182" t="str">
        <f t="shared" si="10"/>
        <v>High</v>
      </c>
      <c r="R182" t="s">
        <v>1514</v>
      </c>
    </row>
    <row r="183" spans="1:18" x14ac:dyDescent="0.45">
      <c r="A183">
        <v>182</v>
      </c>
      <c r="B183">
        <v>0</v>
      </c>
      <c r="C183" t="str">
        <f t="shared" si="11"/>
        <v>Not Survived</v>
      </c>
      <c r="D183">
        <v>2</v>
      </c>
      <c r="E183" t="s">
        <v>914</v>
      </c>
      <c r="F183" t="s">
        <v>722</v>
      </c>
      <c r="G183" t="s">
        <v>216</v>
      </c>
      <c r="H183" t="s">
        <v>9</v>
      </c>
      <c r="I183" t="str">
        <f t="shared" si="12"/>
        <v>Male</v>
      </c>
      <c r="J183">
        <v>28</v>
      </c>
      <c r="K183" t="str">
        <f t="shared" si="13"/>
        <v>Adult</v>
      </c>
      <c r="L183" t="str" cm="1">
        <f t="array" ref="L183">_xlfn.IFS(J183&lt;13,"Child",J183&lt;18,"Teen",J183&lt;60,"Adult",J183&gt;60,"Old Age")</f>
        <v>Adult</v>
      </c>
      <c r="M183">
        <v>0</v>
      </c>
      <c r="N183">
        <v>0</v>
      </c>
      <c r="O183">
        <f t="shared" si="14"/>
        <v>1</v>
      </c>
      <c r="P183" t="s">
        <v>26</v>
      </c>
      <c r="Q183" t="str">
        <f t="shared" si="10"/>
        <v>High</v>
      </c>
      <c r="R183" t="s">
        <v>1515</v>
      </c>
    </row>
    <row r="184" spans="1:18" x14ac:dyDescent="0.45">
      <c r="A184">
        <v>183</v>
      </c>
      <c r="B184">
        <v>0</v>
      </c>
      <c r="C184" t="str">
        <f t="shared" si="11"/>
        <v>Not Survived</v>
      </c>
      <c r="D184">
        <v>3</v>
      </c>
      <c r="E184" t="s">
        <v>915</v>
      </c>
      <c r="F184" t="s">
        <v>725</v>
      </c>
      <c r="G184" t="s">
        <v>79</v>
      </c>
      <c r="H184" t="s">
        <v>9</v>
      </c>
      <c r="I184" t="str">
        <f t="shared" si="12"/>
        <v>Male</v>
      </c>
      <c r="J184">
        <v>9</v>
      </c>
      <c r="K184" t="str">
        <f t="shared" si="13"/>
        <v>Child</v>
      </c>
      <c r="L184" t="str" cm="1">
        <f t="array" ref="L184">_xlfn.IFS(J184&lt;13,"Child",J184&lt;18,"Teen",J184&lt;60,"Adult",J184&gt;60,"Old Age")</f>
        <v>Child</v>
      </c>
      <c r="M184">
        <v>4</v>
      </c>
      <c r="N184">
        <v>2</v>
      </c>
      <c r="O184">
        <f t="shared" si="14"/>
        <v>7</v>
      </c>
      <c r="P184">
        <v>31.387499999999999</v>
      </c>
      <c r="Q184" t="str">
        <f t="shared" si="10"/>
        <v>High</v>
      </c>
      <c r="R184" t="s">
        <v>1514</v>
      </c>
    </row>
    <row r="185" spans="1:18" x14ac:dyDescent="0.45">
      <c r="A185">
        <v>184</v>
      </c>
      <c r="B185">
        <v>1</v>
      </c>
      <c r="C185" t="str">
        <f t="shared" si="11"/>
        <v>Survived</v>
      </c>
      <c r="D185">
        <v>2</v>
      </c>
      <c r="E185" t="s">
        <v>916</v>
      </c>
      <c r="F185" t="s">
        <v>725</v>
      </c>
      <c r="G185" t="s">
        <v>217</v>
      </c>
      <c r="H185" t="s">
        <v>9</v>
      </c>
      <c r="I185" t="str">
        <f t="shared" si="12"/>
        <v>Male</v>
      </c>
      <c r="J185">
        <v>1</v>
      </c>
      <c r="K185" t="str">
        <f t="shared" si="13"/>
        <v>Child</v>
      </c>
      <c r="L185" t="str" cm="1">
        <f t="array" ref="L185">_xlfn.IFS(J185&lt;13,"Child",J185&lt;18,"Teen",J185&lt;60,"Adult",J185&gt;60,"Old Age")</f>
        <v>Child</v>
      </c>
      <c r="M185">
        <v>2</v>
      </c>
      <c r="N185">
        <v>1</v>
      </c>
      <c r="O185">
        <f t="shared" si="14"/>
        <v>4</v>
      </c>
      <c r="P185">
        <v>39</v>
      </c>
      <c r="Q185" t="str">
        <f t="shared" si="10"/>
        <v>High</v>
      </c>
      <c r="R185" t="s">
        <v>1514</v>
      </c>
    </row>
    <row r="186" spans="1:18" x14ac:dyDescent="0.45">
      <c r="A186">
        <v>185</v>
      </c>
      <c r="B186">
        <v>1</v>
      </c>
      <c r="C186" t="str">
        <f t="shared" si="11"/>
        <v>Survived</v>
      </c>
      <c r="D186">
        <v>3</v>
      </c>
      <c r="E186" t="s">
        <v>917</v>
      </c>
      <c r="F186" t="s">
        <v>724</v>
      </c>
      <c r="G186" t="s">
        <v>218</v>
      </c>
      <c r="H186" t="s">
        <v>10</v>
      </c>
      <c r="I186" t="str">
        <f t="shared" si="12"/>
        <v>Female</v>
      </c>
      <c r="J186">
        <v>4</v>
      </c>
      <c r="K186" t="str">
        <f t="shared" si="13"/>
        <v>Child</v>
      </c>
      <c r="L186" t="str" cm="1">
        <f t="array" ref="L186">_xlfn.IFS(J186&lt;13,"Child",J186&lt;18,"Teen",J186&lt;60,"Adult",J186&gt;60,"Old Age")</f>
        <v>Child</v>
      </c>
      <c r="M186">
        <v>0</v>
      </c>
      <c r="N186">
        <v>2</v>
      </c>
      <c r="O186">
        <f t="shared" si="14"/>
        <v>3</v>
      </c>
      <c r="P186" t="s">
        <v>27</v>
      </c>
      <c r="Q186" t="str">
        <f t="shared" si="10"/>
        <v>High</v>
      </c>
      <c r="R186" t="s">
        <v>1514</v>
      </c>
    </row>
    <row r="187" spans="1:18" x14ac:dyDescent="0.45">
      <c r="A187">
        <v>186</v>
      </c>
      <c r="B187">
        <v>0</v>
      </c>
      <c r="C187" t="str">
        <f t="shared" si="11"/>
        <v>Not Survived</v>
      </c>
      <c r="D187">
        <v>1</v>
      </c>
      <c r="E187" t="s">
        <v>918</v>
      </c>
      <c r="F187" t="s">
        <v>722</v>
      </c>
      <c r="G187" t="s">
        <v>219</v>
      </c>
      <c r="H187" t="s">
        <v>9</v>
      </c>
      <c r="I187" t="str">
        <f t="shared" si="12"/>
        <v>Male</v>
      </c>
      <c r="J187">
        <v>28</v>
      </c>
      <c r="K187" t="str">
        <f t="shared" si="13"/>
        <v>Adult</v>
      </c>
      <c r="L187" t="str" cm="1">
        <f t="array" ref="L187">_xlfn.IFS(J187&lt;13,"Child",J187&lt;18,"Teen",J187&lt;60,"Adult",J187&gt;60,"Old Age")</f>
        <v>Adult</v>
      </c>
      <c r="M187">
        <v>0</v>
      </c>
      <c r="N187">
        <v>0</v>
      </c>
      <c r="O187">
        <f t="shared" si="14"/>
        <v>1</v>
      </c>
      <c r="P187">
        <v>514.45420000000001</v>
      </c>
      <c r="Q187" t="str">
        <f t="shared" si="10"/>
        <v>High</v>
      </c>
      <c r="R187" t="s">
        <v>1514</v>
      </c>
    </row>
    <row r="188" spans="1:18" x14ac:dyDescent="0.45">
      <c r="A188">
        <v>187</v>
      </c>
      <c r="B188">
        <v>1</v>
      </c>
      <c r="C188" t="str">
        <f t="shared" si="11"/>
        <v>Survived</v>
      </c>
      <c r="D188">
        <v>3</v>
      </c>
      <c r="E188" t="s">
        <v>886</v>
      </c>
      <c r="F188" t="s">
        <v>723</v>
      </c>
      <c r="G188" t="s">
        <v>220</v>
      </c>
      <c r="H188" t="s">
        <v>10</v>
      </c>
      <c r="I188" t="str">
        <f t="shared" si="12"/>
        <v>Female</v>
      </c>
      <c r="J188">
        <v>28</v>
      </c>
      <c r="K188" t="str">
        <f t="shared" si="13"/>
        <v>Adult</v>
      </c>
      <c r="L188" t="str" cm="1">
        <f t="array" ref="L188">_xlfn.IFS(J188&lt;13,"Child",J188&lt;18,"Teen",J188&lt;60,"Adult",J188&gt;60,"Old Age")</f>
        <v>Adult</v>
      </c>
      <c r="M188">
        <v>1</v>
      </c>
      <c r="N188">
        <v>0</v>
      </c>
      <c r="O188">
        <f t="shared" si="14"/>
        <v>2</v>
      </c>
      <c r="P188">
        <v>15.5</v>
      </c>
      <c r="Q188" t="str">
        <f t="shared" si="10"/>
        <v>High</v>
      </c>
      <c r="R188" t="s">
        <v>1516</v>
      </c>
    </row>
    <row r="189" spans="1:18" x14ac:dyDescent="0.45">
      <c r="A189">
        <v>188</v>
      </c>
      <c r="B189">
        <v>1</v>
      </c>
      <c r="C189" t="str">
        <f t="shared" si="11"/>
        <v>Survived</v>
      </c>
      <c r="D189">
        <v>1</v>
      </c>
      <c r="E189" t="s">
        <v>919</v>
      </c>
      <c r="F189" t="s">
        <v>722</v>
      </c>
      <c r="G189" t="s">
        <v>221</v>
      </c>
      <c r="H189" t="s">
        <v>9</v>
      </c>
      <c r="I189" t="str">
        <f t="shared" si="12"/>
        <v>Male</v>
      </c>
      <c r="J189">
        <v>45</v>
      </c>
      <c r="K189" t="str">
        <f t="shared" si="13"/>
        <v>Adult</v>
      </c>
      <c r="L189" t="str" cm="1">
        <f t="array" ref="L189">_xlfn.IFS(J189&lt;13,"Child",J189&lt;18,"Teen",J189&lt;60,"Adult",J189&gt;60,"Old Age")</f>
        <v>Adult</v>
      </c>
      <c r="M189">
        <v>0</v>
      </c>
      <c r="N189">
        <v>0</v>
      </c>
      <c r="O189">
        <f t="shared" si="14"/>
        <v>1</v>
      </c>
      <c r="P189">
        <v>26.55</v>
      </c>
      <c r="Q189" t="str">
        <f t="shared" si="10"/>
        <v>High</v>
      </c>
      <c r="R189" t="s">
        <v>1514</v>
      </c>
    </row>
    <row r="190" spans="1:18" x14ac:dyDescent="0.45">
      <c r="A190">
        <v>189</v>
      </c>
      <c r="B190">
        <v>0</v>
      </c>
      <c r="C190" t="str">
        <f t="shared" si="11"/>
        <v>Not Survived</v>
      </c>
      <c r="D190">
        <v>3</v>
      </c>
      <c r="E190" t="s">
        <v>920</v>
      </c>
      <c r="F190" t="s">
        <v>722</v>
      </c>
      <c r="G190" t="s">
        <v>222</v>
      </c>
      <c r="H190" t="s">
        <v>9</v>
      </c>
      <c r="I190" t="str">
        <f t="shared" si="12"/>
        <v>Male</v>
      </c>
      <c r="J190">
        <v>40</v>
      </c>
      <c r="K190" t="str">
        <f t="shared" si="13"/>
        <v>Adult</v>
      </c>
      <c r="L190" t="str" cm="1">
        <f t="array" ref="L190">_xlfn.IFS(J190&lt;13,"Child",J190&lt;18,"Teen",J190&lt;60,"Adult",J190&gt;60,"Old Age")</f>
        <v>Adult</v>
      </c>
      <c r="M190">
        <v>1</v>
      </c>
      <c r="N190">
        <v>1</v>
      </c>
      <c r="O190">
        <f t="shared" si="14"/>
        <v>3</v>
      </c>
      <c r="P190">
        <v>15.5</v>
      </c>
      <c r="Q190" t="str">
        <f t="shared" si="10"/>
        <v>High</v>
      </c>
      <c r="R190" t="s">
        <v>1516</v>
      </c>
    </row>
    <row r="191" spans="1:18" x14ac:dyDescent="0.45">
      <c r="A191">
        <v>190</v>
      </c>
      <c r="B191">
        <v>0</v>
      </c>
      <c r="C191" t="str">
        <f t="shared" si="11"/>
        <v>Not Survived</v>
      </c>
      <c r="D191">
        <v>3</v>
      </c>
      <c r="E191" t="s">
        <v>921</v>
      </c>
      <c r="F191" t="s">
        <v>722</v>
      </c>
      <c r="G191" t="s">
        <v>223</v>
      </c>
      <c r="H191" t="s">
        <v>9</v>
      </c>
      <c r="I191" t="str">
        <f t="shared" si="12"/>
        <v>Male</v>
      </c>
      <c r="J191">
        <v>36</v>
      </c>
      <c r="K191" t="str">
        <f t="shared" si="13"/>
        <v>Adult</v>
      </c>
      <c r="L191" t="str" cm="1">
        <f t="array" ref="L191">_xlfn.IFS(J191&lt;13,"Child",J191&lt;18,"Teen",J191&lt;60,"Adult",J191&gt;60,"Old Age")</f>
        <v>Adult</v>
      </c>
      <c r="M191">
        <v>0</v>
      </c>
      <c r="N191">
        <v>0</v>
      </c>
      <c r="O191">
        <f t="shared" si="14"/>
        <v>1</v>
      </c>
      <c r="P191">
        <v>7.8958000000000004</v>
      </c>
      <c r="Q191" t="str">
        <f t="shared" si="10"/>
        <v>High</v>
      </c>
      <c r="R191" t="s">
        <v>1514</v>
      </c>
    </row>
    <row r="192" spans="1:18" x14ac:dyDescent="0.45">
      <c r="A192">
        <v>191</v>
      </c>
      <c r="B192">
        <v>1</v>
      </c>
      <c r="C192" t="str">
        <f t="shared" si="11"/>
        <v>Survived</v>
      </c>
      <c r="D192">
        <v>2</v>
      </c>
      <c r="E192" t="s">
        <v>753</v>
      </c>
      <c r="F192" t="s">
        <v>723</v>
      </c>
      <c r="G192" t="s">
        <v>224</v>
      </c>
      <c r="H192" t="s">
        <v>10</v>
      </c>
      <c r="I192" t="str">
        <f t="shared" si="12"/>
        <v>Female</v>
      </c>
      <c r="J192">
        <v>32</v>
      </c>
      <c r="K192" t="str">
        <f t="shared" si="13"/>
        <v>Adult</v>
      </c>
      <c r="L192" t="str" cm="1">
        <f t="array" ref="L192">_xlfn.IFS(J192&lt;13,"Child",J192&lt;18,"Teen",J192&lt;60,"Adult",J192&gt;60,"Old Age")</f>
        <v>Adult</v>
      </c>
      <c r="M192">
        <v>0</v>
      </c>
      <c r="N192">
        <v>0</v>
      </c>
      <c r="O192">
        <f t="shared" si="14"/>
        <v>1</v>
      </c>
      <c r="P192">
        <v>13</v>
      </c>
      <c r="Q192" t="str">
        <f t="shared" si="10"/>
        <v>High</v>
      </c>
      <c r="R192" t="s">
        <v>1514</v>
      </c>
    </row>
    <row r="193" spans="1:18" x14ac:dyDescent="0.45">
      <c r="A193">
        <v>192</v>
      </c>
      <c r="B193">
        <v>0</v>
      </c>
      <c r="C193" t="str">
        <f t="shared" si="11"/>
        <v>Not Survived</v>
      </c>
      <c r="D193">
        <v>2</v>
      </c>
      <c r="E193" t="s">
        <v>922</v>
      </c>
      <c r="F193" t="s">
        <v>722</v>
      </c>
      <c r="G193" t="s">
        <v>225</v>
      </c>
      <c r="H193" t="s">
        <v>9</v>
      </c>
      <c r="I193" t="str">
        <f t="shared" si="12"/>
        <v>Male</v>
      </c>
      <c r="J193">
        <v>19</v>
      </c>
      <c r="K193" t="str">
        <f t="shared" si="13"/>
        <v>Adult</v>
      </c>
      <c r="L193" t="str" cm="1">
        <f t="array" ref="L193">_xlfn.IFS(J193&lt;13,"Child",J193&lt;18,"Teen",J193&lt;60,"Adult",J193&gt;60,"Old Age")</f>
        <v>Adult</v>
      </c>
      <c r="M193">
        <v>0</v>
      </c>
      <c r="N193">
        <v>0</v>
      </c>
      <c r="O193">
        <f t="shared" si="14"/>
        <v>1</v>
      </c>
      <c r="P193">
        <v>13</v>
      </c>
      <c r="Q193" t="str">
        <f t="shared" si="10"/>
        <v>High</v>
      </c>
      <c r="R193" t="s">
        <v>1514</v>
      </c>
    </row>
    <row r="194" spans="1:18" x14ac:dyDescent="0.45">
      <c r="A194">
        <v>193</v>
      </c>
      <c r="B194">
        <v>1</v>
      </c>
      <c r="C194" t="str">
        <f t="shared" si="11"/>
        <v>Survived</v>
      </c>
      <c r="D194">
        <v>3</v>
      </c>
      <c r="E194" t="s">
        <v>923</v>
      </c>
      <c r="F194" t="s">
        <v>724</v>
      </c>
      <c r="G194" t="s">
        <v>226</v>
      </c>
      <c r="H194" t="s">
        <v>10</v>
      </c>
      <c r="I194" t="str">
        <f t="shared" si="12"/>
        <v>Female</v>
      </c>
      <c r="J194">
        <v>19</v>
      </c>
      <c r="K194" t="str">
        <f t="shared" si="13"/>
        <v>Adult</v>
      </c>
      <c r="L194" t="str" cm="1">
        <f t="array" ref="L194">_xlfn.IFS(J194&lt;13,"Child",J194&lt;18,"Teen",J194&lt;60,"Adult",J194&gt;60,"Old Age")</f>
        <v>Adult</v>
      </c>
      <c r="M194">
        <v>1</v>
      </c>
      <c r="N194">
        <v>0</v>
      </c>
      <c r="O194">
        <f t="shared" si="14"/>
        <v>2</v>
      </c>
      <c r="P194">
        <v>7.8541999999999996</v>
      </c>
      <c r="Q194" t="str">
        <f t="shared" ref="Q194:Q257" si="15">IF(A194&lt;=10,"Low",IF(A194&lt;=50,"Medium","High"))</f>
        <v>High</v>
      </c>
      <c r="R194" t="s">
        <v>1514</v>
      </c>
    </row>
    <row r="195" spans="1:18" x14ac:dyDescent="0.45">
      <c r="A195">
        <v>194</v>
      </c>
      <c r="B195">
        <v>1</v>
      </c>
      <c r="C195" t="str">
        <f t="shared" ref="C195:C258" si="16">IF(B195 = 0, "Not Survived","Survived")</f>
        <v>Survived</v>
      </c>
      <c r="D195">
        <v>2</v>
      </c>
      <c r="E195" t="s">
        <v>924</v>
      </c>
      <c r="F195" t="s">
        <v>725</v>
      </c>
      <c r="G195" t="s">
        <v>189</v>
      </c>
      <c r="H195" t="s">
        <v>9</v>
      </c>
      <c r="I195" t="str">
        <f t="shared" ref="I195:I258" si="17">PROPER(H195)</f>
        <v>Male</v>
      </c>
      <c r="J195">
        <v>3</v>
      </c>
      <c r="K195" t="str">
        <f t="shared" ref="K195:K258" si="18">IF(J195&lt;13,"Child",IF(J195&lt;18,"Teen",IF(J195&lt;60,"Adult","Old Age")))</f>
        <v>Child</v>
      </c>
      <c r="L195" t="str" cm="1">
        <f t="array" ref="L195">_xlfn.IFS(J195&lt;13,"Child",J195&lt;18,"Teen",J195&lt;60,"Adult",J195&gt;60,"Old Age")</f>
        <v>Child</v>
      </c>
      <c r="M195">
        <v>1</v>
      </c>
      <c r="N195">
        <v>1</v>
      </c>
      <c r="O195">
        <f t="shared" ref="O195:O258" si="19">M195+N195+1</f>
        <v>3</v>
      </c>
      <c r="P195">
        <v>26</v>
      </c>
      <c r="Q195" t="str">
        <f t="shared" si="15"/>
        <v>High</v>
      </c>
      <c r="R195" t="s">
        <v>1514</v>
      </c>
    </row>
    <row r="196" spans="1:18" x14ac:dyDescent="0.45">
      <c r="A196">
        <v>195</v>
      </c>
      <c r="B196">
        <v>1</v>
      </c>
      <c r="C196" t="str">
        <f t="shared" si="16"/>
        <v>Survived</v>
      </c>
      <c r="D196">
        <v>1</v>
      </c>
      <c r="E196" t="s">
        <v>925</v>
      </c>
      <c r="F196" t="s">
        <v>723</v>
      </c>
      <c r="G196" t="s">
        <v>227</v>
      </c>
      <c r="H196" t="s">
        <v>10</v>
      </c>
      <c r="I196" t="str">
        <f t="shared" si="17"/>
        <v>Female</v>
      </c>
      <c r="J196">
        <v>44</v>
      </c>
      <c r="K196" t="str">
        <f t="shared" si="18"/>
        <v>Adult</v>
      </c>
      <c r="L196" t="str" cm="1">
        <f t="array" ref="L196">_xlfn.IFS(J196&lt;13,"Child",J196&lt;18,"Teen",J196&lt;60,"Adult",J196&gt;60,"Old Age")</f>
        <v>Adult</v>
      </c>
      <c r="M196">
        <v>0</v>
      </c>
      <c r="N196">
        <v>0</v>
      </c>
      <c r="O196">
        <f t="shared" si="19"/>
        <v>1</v>
      </c>
      <c r="P196" t="s">
        <v>16</v>
      </c>
      <c r="Q196" t="str">
        <f t="shared" si="15"/>
        <v>High</v>
      </c>
      <c r="R196" t="s">
        <v>1515</v>
      </c>
    </row>
    <row r="197" spans="1:18" x14ac:dyDescent="0.45">
      <c r="A197">
        <v>196</v>
      </c>
      <c r="B197">
        <v>1</v>
      </c>
      <c r="C197" t="str">
        <f t="shared" si="16"/>
        <v>Survived</v>
      </c>
      <c r="D197">
        <v>1</v>
      </c>
      <c r="E197" t="s">
        <v>926</v>
      </c>
      <c r="F197" t="s">
        <v>724</v>
      </c>
      <c r="G197" t="s">
        <v>228</v>
      </c>
      <c r="H197" t="s">
        <v>10</v>
      </c>
      <c r="I197" t="str">
        <f t="shared" si="17"/>
        <v>Female</v>
      </c>
      <c r="J197">
        <v>58</v>
      </c>
      <c r="K197" t="str">
        <f t="shared" si="18"/>
        <v>Adult</v>
      </c>
      <c r="L197" t="str" cm="1">
        <f t="array" ref="L197">_xlfn.IFS(J197&lt;13,"Child",J197&lt;18,"Teen",J197&lt;60,"Adult",J197&gt;60,"Old Age")</f>
        <v>Adult</v>
      </c>
      <c r="M197">
        <v>0</v>
      </c>
      <c r="N197">
        <v>0</v>
      </c>
      <c r="O197">
        <f t="shared" si="19"/>
        <v>1</v>
      </c>
      <c r="P197" t="s">
        <v>17</v>
      </c>
      <c r="Q197" t="str">
        <f t="shared" si="15"/>
        <v>High</v>
      </c>
      <c r="R197" t="s">
        <v>1515</v>
      </c>
    </row>
    <row r="198" spans="1:18" x14ac:dyDescent="0.45">
      <c r="A198">
        <v>197</v>
      </c>
      <c r="B198">
        <v>0</v>
      </c>
      <c r="C198" t="str">
        <f t="shared" si="16"/>
        <v>Not Survived</v>
      </c>
      <c r="D198">
        <v>3</v>
      </c>
      <c r="E198" t="s">
        <v>927</v>
      </c>
      <c r="F198" t="s">
        <v>722</v>
      </c>
      <c r="G198" t="s">
        <v>229</v>
      </c>
      <c r="H198" t="s">
        <v>9</v>
      </c>
      <c r="I198" t="str">
        <f t="shared" si="17"/>
        <v>Male</v>
      </c>
      <c r="J198">
        <v>28</v>
      </c>
      <c r="K198" t="str">
        <f t="shared" si="18"/>
        <v>Adult</v>
      </c>
      <c r="L198" t="str" cm="1">
        <f t="array" ref="L198">_xlfn.IFS(J198&lt;13,"Child",J198&lt;18,"Teen",J198&lt;60,"Adult",J198&gt;60,"Old Age")</f>
        <v>Adult</v>
      </c>
      <c r="M198">
        <v>0</v>
      </c>
      <c r="N198">
        <v>0</v>
      </c>
      <c r="O198">
        <f t="shared" si="19"/>
        <v>1</v>
      </c>
      <c r="P198">
        <v>7.75</v>
      </c>
      <c r="Q198" t="str">
        <f t="shared" si="15"/>
        <v>High</v>
      </c>
      <c r="R198" t="s">
        <v>1516</v>
      </c>
    </row>
    <row r="199" spans="1:18" x14ac:dyDescent="0.45">
      <c r="A199">
        <v>198</v>
      </c>
      <c r="B199">
        <v>0</v>
      </c>
      <c r="C199" t="str">
        <f t="shared" si="16"/>
        <v>Not Survived</v>
      </c>
      <c r="D199">
        <v>3</v>
      </c>
      <c r="E199" t="s">
        <v>928</v>
      </c>
      <c r="F199" t="s">
        <v>722</v>
      </c>
      <c r="G199" t="s">
        <v>195</v>
      </c>
      <c r="H199" t="s">
        <v>9</v>
      </c>
      <c r="I199" t="str">
        <f t="shared" si="17"/>
        <v>Male</v>
      </c>
      <c r="J199">
        <v>42</v>
      </c>
      <c r="K199" t="str">
        <f t="shared" si="18"/>
        <v>Adult</v>
      </c>
      <c r="L199" t="str" cm="1">
        <f t="array" ref="L199">_xlfn.IFS(J199&lt;13,"Child",J199&lt;18,"Teen",J199&lt;60,"Adult",J199&gt;60,"Old Age")</f>
        <v>Adult</v>
      </c>
      <c r="M199">
        <v>0</v>
      </c>
      <c r="N199">
        <v>1</v>
      </c>
      <c r="O199">
        <f t="shared" si="19"/>
        <v>2</v>
      </c>
      <c r="P199" t="s">
        <v>28</v>
      </c>
      <c r="Q199" t="str">
        <f t="shared" si="15"/>
        <v>High</v>
      </c>
      <c r="R199" t="s">
        <v>1514</v>
      </c>
    </row>
    <row r="200" spans="1:18" x14ac:dyDescent="0.45">
      <c r="A200">
        <v>199</v>
      </c>
      <c r="B200">
        <v>1</v>
      </c>
      <c r="C200" t="str">
        <f t="shared" si="16"/>
        <v>Survived</v>
      </c>
      <c r="D200">
        <v>3</v>
      </c>
      <c r="E200" t="s">
        <v>929</v>
      </c>
      <c r="F200" t="s">
        <v>724</v>
      </c>
      <c r="G200" t="s">
        <v>230</v>
      </c>
      <c r="H200" t="s">
        <v>10</v>
      </c>
      <c r="I200" t="str">
        <f t="shared" si="17"/>
        <v>Female</v>
      </c>
      <c r="J200">
        <v>28</v>
      </c>
      <c r="K200" t="str">
        <f t="shared" si="18"/>
        <v>Adult</v>
      </c>
      <c r="L200" t="str" cm="1">
        <f t="array" ref="L200">_xlfn.IFS(J200&lt;13,"Child",J200&lt;18,"Teen",J200&lt;60,"Adult",J200&gt;60,"Old Age")</f>
        <v>Adult</v>
      </c>
      <c r="M200">
        <v>0</v>
      </c>
      <c r="N200">
        <v>0</v>
      </c>
      <c r="O200">
        <f t="shared" si="19"/>
        <v>1</v>
      </c>
      <c r="P200">
        <v>7.75</v>
      </c>
      <c r="Q200" t="str">
        <f t="shared" si="15"/>
        <v>High</v>
      </c>
      <c r="R200" t="s">
        <v>1516</v>
      </c>
    </row>
    <row r="201" spans="1:18" x14ac:dyDescent="0.45">
      <c r="A201">
        <v>200</v>
      </c>
      <c r="B201">
        <v>0</v>
      </c>
      <c r="C201" t="str">
        <f t="shared" si="16"/>
        <v>Not Survived</v>
      </c>
      <c r="D201">
        <v>2</v>
      </c>
      <c r="E201" t="s">
        <v>930</v>
      </c>
      <c r="F201" t="s">
        <v>724</v>
      </c>
      <c r="G201" t="s">
        <v>231</v>
      </c>
      <c r="H201" t="s">
        <v>10</v>
      </c>
      <c r="I201" t="str">
        <f t="shared" si="17"/>
        <v>Female</v>
      </c>
      <c r="J201">
        <v>24</v>
      </c>
      <c r="K201" t="str">
        <f t="shared" si="18"/>
        <v>Adult</v>
      </c>
      <c r="L201" t="str" cm="1">
        <f t="array" ref="L201">_xlfn.IFS(J201&lt;13,"Child",J201&lt;18,"Teen",J201&lt;60,"Adult",J201&gt;60,"Old Age")</f>
        <v>Adult</v>
      </c>
      <c r="M201">
        <v>0</v>
      </c>
      <c r="N201">
        <v>0</v>
      </c>
      <c r="O201">
        <f t="shared" si="19"/>
        <v>1</v>
      </c>
      <c r="P201">
        <v>13</v>
      </c>
      <c r="Q201" t="str">
        <f t="shared" si="15"/>
        <v>High</v>
      </c>
      <c r="R201" t="s">
        <v>1514</v>
      </c>
    </row>
    <row r="202" spans="1:18" x14ac:dyDescent="0.45">
      <c r="A202">
        <v>201</v>
      </c>
      <c r="B202">
        <v>0</v>
      </c>
      <c r="C202" t="str">
        <f t="shared" si="16"/>
        <v>Not Survived</v>
      </c>
      <c r="D202">
        <v>3</v>
      </c>
      <c r="E202" t="s">
        <v>931</v>
      </c>
      <c r="F202" t="s">
        <v>722</v>
      </c>
      <c r="G202" t="s">
        <v>232</v>
      </c>
      <c r="H202" t="s">
        <v>9</v>
      </c>
      <c r="I202" t="str">
        <f t="shared" si="17"/>
        <v>Male</v>
      </c>
      <c r="J202">
        <v>28</v>
      </c>
      <c r="K202" t="str">
        <f t="shared" si="18"/>
        <v>Adult</v>
      </c>
      <c r="L202" t="str" cm="1">
        <f t="array" ref="L202">_xlfn.IFS(J202&lt;13,"Child",J202&lt;18,"Teen",J202&lt;60,"Adult",J202&gt;60,"Old Age")</f>
        <v>Adult</v>
      </c>
      <c r="M202">
        <v>0</v>
      </c>
      <c r="N202">
        <v>0</v>
      </c>
      <c r="O202">
        <f t="shared" si="19"/>
        <v>1</v>
      </c>
      <c r="P202">
        <v>9.5</v>
      </c>
      <c r="Q202" t="str">
        <f t="shared" si="15"/>
        <v>High</v>
      </c>
      <c r="R202" t="s">
        <v>1514</v>
      </c>
    </row>
    <row r="203" spans="1:18" x14ac:dyDescent="0.45">
      <c r="A203">
        <v>202</v>
      </c>
      <c r="B203">
        <v>0</v>
      </c>
      <c r="C203" t="str">
        <f t="shared" si="16"/>
        <v>Not Survived</v>
      </c>
      <c r="D203">
        <v>3</v>
      </c>
      <c r="E203" t="s">
        <v>932</v>
      </c>
      <c r="F203" t="s">
        <v>722</v>
      </c>
      <c r="G203" t="s">
        <v>199</v>
      </c>
      <c r="H203" t="s">
        <v>9</v>
      </c>
      <c r="I203" t="str">
        <f t="shared" si="17"/>
        <v>Male</v>
      </c>
      <c r="J203">
        <v>28</v>
      </c>
      <c r="K203" t="str">
        <f t="shared" si="18"/>
        <v>Adult</v>
      </c>
      <c r="L203" t="str" cm="1">
        <f t="array" ref="L203">_xlfn.IFS(J203&lt;13,"Child",J203&lt;18,"Teen",J203&lt;60,"Adult",J203&gt;60,"Old Age")</f>
        <v>Adult</v>
      </c>
      <c r="M203">
        <v>8</v>
      </c>
      <c r="N203">
        <v>2</v>
      </c>
      <c r="O203">
        <f t="shared" si="19"/>
        <v>11</v>
      </c>
      <c r="P203">
        <v>69.55</v>
      </c>
      <c r="Q203" t="str">
        <f t="shared" si="15"/>
        <v>High</v>
      </c>
      <c r="R203" t="s">
        <v>1514</v>
      </c>
    </row>
    <row r="204" spans="1:18" x14ac:dyDescent="0.45">
      <c r="A204">
        <v>203</v>
      </c>
      <c r="B204">
        <v>0</v>
      </c>
      <c r="C204" t="str">
        <f t="shared" si="16"/>
        <v>Not Survived</v>
      </c>
      <c r="D204">
        <v>3</v>
      </c>
      <c r="E204" t="s">
        <v>933</v>
      </c>
      <c r="F204" t="s">
        <v>722</v>
      </c>
      <c r="G204" t="s">
        <v>233</v>
      </c>
      <c r="H204" t="s">
        <v>9</v>
      </c>
      <c r="I204" t="str">
        <f t="shared" si="17"/>
        <v>Male</v>
      </c>
      <c r="J204">
        <v>34</v>
      </c>
      <c r="K204" t="str">
        <f t="shared" si="18"/>
        <v>Adult</v>
      </c>
      <c r="L204" t="str" cm="1">
        <f t="array" ref="L204">_xlfn.IFS(J204&lt;13,"Child",J204&lt;18,"Teen",J204&lt;60,"Adult",J204&gt;60,"Old Age")</f>
        <v>Adult</v>
      </c>
      <c r="M204">
        <v>0</v>
      </c>
      <c r="N204">
        <v>0</v>
      </c>
      <c r="O204">
        <f t="shared" si="19"/>
        <v>1</v>
      </c>
      <c r="P204">
        <v>6.4958</v>
      </c>
      <c r="Q204" t="str">
        <f t="shared" si="15"/>
        <v>High</v>
      </c>
      <c r="R204" t="s">
        <v>1514</v>
      </c>
    </row>
    <row r="205" spans="1:18" x14ac:dyDescent="0.45">
      <c r="A205">
        <v>204</v>
      </c>
      <c r="B205">
        <v>0</v>
      </c>
      <c r="C205" t="str">
        <f t="shared" si="16"/>
        <v>Not Survived</v>
      </c>
      <c r="D205">
        <v>3</v>
      </c>
      <c r="E205" t="s">
        <v>934</v>
      </c>
      <c r="F205" t="s">
        <v>722</v>
      </c>
      <c r="G205" t="s">
        <v>234</v>
      </c>
      <c r="H205" t="s">
        <v>9</v>
      </c>
      <c r="I205" t="str">
        <f t="shared" si="17"/>
        <v>Male</v>
      </c>
      <c r="J205">
        <v>45.5</v>
      </c>
      <c r="K205" t="str">
        <f t="shared" si="18"/>
        <v>Adult</v>
      </c>
      <c r="L205" t="str" cm="1">
        <f t="array" ref="L205">_xlfn.IFS(J205&lt;13,"Child",J205&lt;18,"Teen",J205&lt;60,"Adult",J205&gt;60,"Old Age")</f>
        <v>Adult</v>
      </c>
      <c r="M205">
        <v>0</v>
      </c>
      <c r="N205">
        <v>0</v>
      </c>
      <c r="O205">
        <f t="shared" si="19"/>
        <v>1</v>
      </c>
      <c r="P205">
        <v>7.2249999999999996</v>
      </c>
      <c r="Q205" t="str">
        <f t="shared" si="15"/>
        <v>High</v>
      </c>
      <c r="R205" t="s">
        <v>1515</v>
      </c>
    </row>
    <row r="206" spans="1:18" x14ac:dyDescent="0.45">
      <c r="A206">
        <v>205</v>
      </c>
      <c r="B206">
        <v>1</v>
      </c>
      <c r="C206" t="str">
        <f t="shared" si="16"/>
        <v>Survived</v>
      </c>
      <c r="D206">
        <v>3</v>
      </c>
      <c r="E206" t="s">
        <v>935</v>
      </c>
      <c r="F206" t="s">
        <v>722</v>
      </c>
      <c r="G206" t="s">
        <v>235</v>
      </c>
      <c r="H206" t="s">
        <v>9</v>
      </c>
      <c r="I206" t="str">
        <f t="shared" si="17"/>
        <v>Male</v>
      </c>
      <c r="J206">
        <v>18</v>
      </c>
      <c r="K206" t="str">
        <f t="shared" si="18"/>
        <v>Adult</v>
      </c>
      <c r="L206" t="str" cm="1">
        <f t="array" ref="L206">_xlfn.IFS(J206&lt;13,"Child",J206&lt;18,"Teen",J206&lt;60,"Adult",J206&gt;60,"Old Age")</f>
        <v>Adult</v>
      </c>
      <c r="M206">
        <v>0</v>
      </c>
      <c r="N206">
        <v>0</v>
      </c>
      <c r="O206">
        <f t="shared" si="19"/>
        <v>1</v>
      </c>
      <c r="P206" t="s">
        <v>12</v>
      </c>
      <c r="Q206" t="str">
        <f t="shared" si="15"/>
        <v>High</v>
      </c>
      <c r="R206" t="s">
        <v>1514</v>
      </c>
    </row>
    <row r="207" spans="1:18" x14ac:dyDescent="0.45">
      <c r="A207">
        <v>206</v>
      </c>
      <c r="B207">
        <v>0</v>
      </c>
      <c r="C207" t="str">
        <f t="shared" si="16"/>
        <v>Not Survived</v>
      </c>
      <c r="D207">
        <v>3</v>
      </c>
      <c r="E207" t="s">
        <v>936</v>
      </c>
      <c r="F207" t="s">
        <v>724</v>
      </c>
      <c r="G207" t="s">
        <v>236</v>
      </c>
      <c r="H207" t="s">
        <v>10</v>
      </c>
      <c r="I207" t="str">
        <f t="shared" si="17"/>
        <v>Female</v>
      </c>
      <c r="J207">
        <v>2</v>
      </c>
      <c r="K207" t="str">
        <f t="shared" si="18"/>
        <v>Child</v>
      </c>
      <c r="L207" t="str" cm="1">
        <f t="array" ref="L207">_xlfn.IFS(J207&lt;13,"Child",J207&lt;18,"Teen",J207&lt;60,"Adult",J207&gt;60,"Old Age")</f>
        <v>Child</v>
      </c>
      <c r="M207">
        <v>0</v>
      </c>
      <c r="N207">
        <v>1</v>
      </c>
      <c r="O207">
        <f t="shared" si="19"/>
        <v>2</v>
      </c>
      <c r="P207" t="s">
        <v>29</v>
      </c>
      <c r="Q207" t="str">
        <f t="shared" si="15"/>
        <v>High</v>
      </c>
      <c r="R207" t="s">
        <v>1514</v>
      </c>
    </row>
    <row r="208" spans="1:18" x14ac:dyDescent="0.45">
      <c r="A208">
        <v>207</v>
      </c>
      <c r="B208">
        <v>0</v>
      </c>
      <c r="C208" t="str">
        <f t="shared" si="16"/>
        <v>Not Survived</v>
      </c>
      <c r="D208">
        <v>3</v>
      </c>
      <c r="E208" t="s">
        <v>937</v>
      </c>
      <c r="F208" t="s">
        <v>722</v>
      </c>
      <c r="G208" t="s">
        <v>136</v>
      </c>
      <c r="H208" t="s">
        <v>9</v>
      </c>
      <c r="I208" t="str">
        <f t="shared" si="17"/>
        <v>Male</v>
      </c>
      <c r="J208">
        <v>32</v>
      </c>
      <c r="K208" t="str">
        <f t="shared" si="18"/>
        <v>Adult</v>
      </c>
      <c r="L208" t="str" cm="1">
        <f t="array" ref="L208">_xlfn.IFS(J208&lt;13,"Child",J208&lt;18,"Teen",J208&lt;60,"Adult",J208&gt;60,"Old Age")</f>
        <v>Adult</v>
      </c>
      <c r="M208">
        <v>1</v>
      </c>
      <c r="N208">
        <v>0</v>
      </c>
      <c r="O208">
        <f t="shared" si="19"/>
        <v>2</v>
      </c>
      <c r="P208">
        <v>15.85</v>
      </c>
      <c r="Q208" t="str">
        <f t="shared" si="15"/>
        <v>High</v>
      </c>
      <c r="R208" t="s">
        <v>1514</v>
      </c>
    </row>
    <row r="209" spans="1:18" x14ac:dyDescent="0.45">
      <c r="A209">
        <v>208</v>
      </c>
      <c r="B209">
        <v>1</v>
      </c>
      <c r="C209" t="str">
        <f t="shared" si="16"/>
        <v>Survived</v>
      </c>
      <c r="D209">
        <v>3</v>
      </c>
      <c r="E209" t="s">
        <v>938</v>
      </c>
      <c r="F209" t="s">
        <v>722</v>
      </c>
      <c r="G209" t="s">
        <v>237</v>
      </c>
      <c r="H209" t="s">
        <v>9</v>
      </c>
      <c r="I209" t="str">
        <f t="shared" si="17"/>
        <v>Male</v>
      </c>
      <c r="J209">
        <v>26</v>
      </c>
      <c r="K209" t="str">
        <f t="shared" si="18"/>
        <v>Adult</v>
      </c>
      <c r="L209" t="str" cm="1">
        <f t="array" ref="L209">_xlfn.IFS(J209&lt;13,"Child",J209&lt;18,"Teen",J209&lt;60,"Adult",J209&gt;60,"Old Age")</f>
        <v>Adult</v>
      </c>
      <c r="M209">
        <v>0</v>
      </c>
      <c r="N209">
        <v>0</v>
      </c>
      <c r="O209">
        <f t="shared" si="19"/>
        <v>1</v>
      </c>
      <c r="P209">
        <v>18.787500000000001</v>
      </c>
      <c r="Q209" t="str">
        <f t="shared" si="15"/>
        <v>High</v>
      </c>
      <c r="R209" t="s">
        <v>1515</v>
      </c>
    </row>
    <row r="210" spans="1:18" x14ac:dyDescent="0.45">
      <c r="A210">
        <v>209</v>
      </c>
      <c r="B210">
        <v>1</v>
      </c>
      <c r="C210" t="str">
        <f t="shared" si="16"/>
        <v>Survived</v>
      </c>
      <c r="D210">
        <v>3</v>
      </c>
      <c r="E210" t="s">
        <v>939</v>
      </c>
      <c r="F210" t="s">
        <v>724</v>
      </c>
      <c r="G210" t="s">
        <v>238</v>
      </c>
      <c r="H210" t="s">
        <v>10</v>
      </c>
      <c r="I210" t="str">
        <f t="shared" si="17"/>
        <v>Female</v>
      </c>
      <c r="J210">
        <v>16</v>
      </c>
      <c r="K210" t="str">
        <f t="shared" si="18"/>
        <v>Teen</v>
      </c>
      <c r="L210" t="str" cm="1">
        <f t="array" ref="L210">_xlfn.IFS(J210&lt;13,"Child",J210&lt;18,"Teen",J210&lt;60,"Adult",J210&gt;60,"Old Age")</f>
        <v>Teen</v>
      </c>
      <c r="M210">
        <v>0</v>
      </c>
      <c r="N210">
        <v>0</v>
      </c>
      <c r="O210">
        <f t="shared" si="19"/>
        <v>1</v>
      </c>
      <c r="P210">
        <v>7.75</v>
      </c>
      <c r="Q210" t="str">
        <f t="shared" si="15"/>
        <v>High</v>
      </c>
      <c r="R210" t="s">
        <v>1516</v>
      </c>
    </row>
    <row r="211" spans="1:18" x14ac:dyDescent="0.45">
      <c r="A211">
        <v>210</v>
      </c>
      <c r="B211">
        <v>1</v>
      </c>
      <c r="C211" t="str">
        <f t="shared" si="16"/>
        <v>Survived</v>
      </c>
      <c r="D211">
        <v>1</v>
      </c>
      <c r="E211" t="s">
        <v>940</v>
      </c>
      <c r="F211" t="s">
        <v>722</v>
      </c>
      <c r="G211" t="s">
        <v>239</v>
      </c>
      <c r="H211" t="s">
        <v>9</v>
      </c>
      <c r="I211" t="str">
        <f t="shared" si="17"/>
        <v>Male</v>
      </c>
      <c r="J211">
        <v>40</v>
      </c>
      <c r="K211" t="str">
        <f t="shared" si="18"/>
        <v>Adult</v>
      </c>
      <c r="L211" t="str" cm="1">
        <f t="array" ref="L211">_xlfn.IFS(J211&lt;13,"Child",J211&lt;18,"Teen",J211&lt;60,"Adult",J211&gt;60,"Old Age")</f>
        <v>Adult</v>
      </c>
      <c r="M211">
        <v>0</v>
      </c>
      <c r="N211">
        <v>0</v>
      </c>
      <c r="O211">
        <f t="shared" si="19"/>
        <v>1</v>
      </c>
      <c r="P211">
        <v>31</v>
      </c>
      <c r="Q211" t="str">
        <f t="shared" si="15"/>
        <v>High</v>
      </c>
      <c r="R211" t="s">
        <v>1515</v>
      </c>
    </row>
    <row r="212" spans="1:18" x14ac:dyDescent="0.45">
      <c r="A212">
        <v>211</v>
      </c>
      <c r="B212">
        <v>0</v>
      </c>
      <c r="C212" t="str">
        <f t="shared" si="16"/>
        <v>Not Survived</v>
      </c>
      <c r="D212">
        <v>3</v>
      </c>
      <c r="E212" t="s">
        <v>941</v>
      </c>
      <c r="F212" t="s">
        <v>722</v>
      </c>
      <c r="G212" t="s">
        <v>240</v>
      </c>
      <c r="H212" t="s">
        <v>9</v>
      </c>
      <c r="I212" t="str">
        <f t="shared" si="17"/>
        <v>Male</v>
      </c>
      <c r="J212">
        <v>24</v>
      </c>
      <c r="K212" t="str">
        <f t="shared" si="18"/>
        <v>Adult</v>
      </c>
      <c r="L212" t="str" cm="1">
        <f t="array" ref="L212">_xlfn.IFS(J212&lt;13,"Child",J212&lt;18,"Teen",J212&lt;60,"Adult",J212&gt;60,"Old Age")</f>
        <v>Adult</v>
      </c>
      <c r="M212">
        <v>0</v>
      </c>
      <c r="N212">
        <v>0</v>
      </c>
      <c r="O212">
        <f t="shared" si="19"/>
        <v>1</v>
      </c>
      <c r="P212" t="s">
        <v>22</v>
      </c>
      <c r="Q212" t="str">
        <f t="shared" si="15"/>
        <v>High</v>
      </c>
      <c r="R212" t="s">
        <v>1514</v>
      </c>
    </row>
    <row r="213" spans="1:18" x14ac:dyDescent="0.45">
      <c r="A213">
        <v>212</v>
      </c>
      <c r="B213">
        <v>1</v>
      </c>
      <c r="C213" t="str">
        <f t="shared" si="16"/>
        <v>Survived</v>
      </c>
      <c r="D213">
        <v>2</v>
      </c>
      <c r="E213" t="s">
        <v>942</v>
      </c>
      <c r="F213" t="s">
        <v>724</v>
      </c>
      <c r="G213" t="s">
        <v>241</v>
      </c>
      <c r="H213" t="s">
        <v>10</v>
      </c>
      <c r="I213" t="str">
        <f t="shared" si="17"/>
        <v>Female</v>
      </c>
      <c r="J213">
        <v>35</v>
      </c>
      <c r="K213" t="str">
        <f t="shared" si="18"/>
        <v>Adult</v>
      </c>
      <c r="L213" t="str" cm="1">
        <f t="array" ref="L213">_xlfn.IFS(J213&lt;13,"Child",J213&lt;18,"Teen",J213&lt;60,"Adult",J213&gt;60,"Old Age")</f>
        <v>Adult</v>
      </c>
      <c r="M213">
        <v>0</v>
      </c>
      <c r="N213">
        <v>0</v>
      </c>
      <c r="O213">
        <f t="shared" si="19"/>
        <v>1</v>
      </c>
      <c r="P213">
        <v>21</v>
      </c>
      <c r="Q213" t="str">
        <f t="shared" si="15"/>
        <v>High</v>
      </c>
      <c r="R213" t="s">
        <v>1514</v>
      </c>
    </row>
    <row r="214" spans="1:18" x14ac:dyDescent="0.45">
      <c r="A214">
        <v>213</v>
      </c>
      <c r="B214">
        <v>0</v>
      </c>
      <c r="C214" t="str">
        <f t="shared" si="16"/>
        <v>Not Survived</v>
      </c>
      <c r="D214">
        <v>3</v>
      </c>
      <c r="E214" t="s">
        <v>943</v>
      </c>
      <c r="F214" t="s">
        <v>722</v>
      </c>
      <c r="G214" t="s">
        <v>242</v>
      </c>
      <c r="H214" t="s">
        <v>9</v>
      </c>
      <c r="I214" t="str">
        <f t="shared" si="17"/>
        <v>Male</v>
      </c>
      <c r="J214">
        <v>22</v>
      </c>
      <c r="K214" t="str">
        <f t="shared" si="18"/>
        <v>Adult</v>
      </c>
      <c r="L214" t="str" cm="1">
        <f t="array" ref="L214">_xlfn.IFS(J214&lt;13,"Child",J214&lt;18,"Teen",J214&lt;60,"Adult",J214&gt;60,"Old Age")</f>
        <v>Adult</v>
      </c>
      <c r="M214">
        <v>0</v>
      </c>
      <c r="N214">
        <v>0</v>
      </c>
      <c r="O214">
        <f t="shared" si="19"/>
        <v>1</v>
      </c>
      <c r="P214">
        <v>7.25</v>
      </c>
      <c r="Q214" t="str">
        <f t="shared" si="15"/>
        <v>High</v>
      </c>
      <c r="R214" t="s">
        <v>1514</v>
      </c>
    </row>
    <row r="215" spans="1:18" x14ac:dyDescent="0.45">
      <c r="A215">
        <v>214</v>
      </c>
      <c r="B215">
        <v>0</v>
      </c>
      <c r="C215" t="str">
        <f t="shared" si="16"/>
        <v>Not Survived</v>
      </c>
      <c r="D215">
        <v>2</v>
      </c>
      <c r="E215" t="s">
        <v>944</v>
      </c>
      <c r="F215" t="s">
        <v>722</v>
      </c>
      <c r="G215" t="s">
        <v>243</v>
      </c>
      <c r="H215" t="s">
        <v>9</v>
      </c>
      <c r="I215" t="str">
        <f t="shared" si="17"/>
        <v>Male</v>
      </c>
      <c r="J215">
        <v>30</v>
      </c>
      <c r="K215" t="str">
        <f t="shared" si="18"/>
        <v>Adult</v>
      </c>
      <c r="L215" t="str" cm="1">
        <f t="array" ref="L215">_xlfn.IFS(J215&lt;13,"Child",J215&lt;18,"Teen",J215&lt;60,"Adult",J215&gt;60,"Old Age")</f>
        <v>Adult</v>
      </c>
      <c r="M215">
        <v>0</v>
      </c>
      <c r="N215">
        <v>0</v>
      </c>
      <c r="O215">
        <f t="shared" si="19"/>
        <v>1</v>
      </c>
      <c r="P215">
        <v>13</v>
      </c>
      <c r="Q215" t="str">
        <f t="shared" si="15"/>
        <v>High</v>
      </c>
      <c r="R215" t="s">
        <v>1514</v>
      </c>
    </row>
    <row r="216" spans="1:18" x14ac:dyDescent="0.45">
      <c r="A216">
        <v>215</v>
      </c>
      <c r="B216">
        <v>0</v>
      </c>
      <c r="C216" t="str">
        <f t="shared" si="16"/>
        <v>Not Survived</v>
      </c>
      <c r="D216">
        <v>3</v>
      </c>
      <c r="E216" t="s">
        <v>945</v>
      </c>
      <c r="F216" t="s">
        <v>722</v>
      </c>
      <c r="G216" t="s">
        <v>244</v>
      </c>
      <c r="H216" t="s">
        <v>9</v>
      </c>
      <c r="I216" t="str">
        <f t="shared" si="17"/>
        <v>Male</v>
      </c>
      <c r="J216">
        <v>28</v>
      </c>
      <c r="K216" t="str">
        <f t="shared" si="18"/>
        <v>Adult</v>
      </c>
      <c r="L216" t="str" cm="1">
        <f t="array" ref="L216">_xlfn.IFS(J216&lt;13,"Child",J216&lt;18,"Teen",J216&lt;60,"Adult",J216&gt;60,"Old Age")</f>
        <v>Adult</v>
      </c>
      <c r="M216">
        <v>1</v>
      </c>
      <c r="N216">
        <v>0</v>
      </c>
      <c r="O216">
        <f t="shared" si="19"/>
        <v>2</v>
      </c>
      <c r="P216">
        <v>7.75</v>
      </c>
      <c r="Q216" t="str">
        <f t="shared" si="15"/>
        <v>High</v>
      </c>
      <c r="R216" t="s">
        <v>1516</v>
      </c>
    </row>
    <row r="217" spans="1:18" x14ac:dyDescent="0.45">
      <c r="A217">
        <v>216</v>
      </c>
      <c r="B217">
        <v>1</v>
      </c>
      <c r="C217" t="str">
        <f t="shared" si="16"/>
        <v>Survived</v>
      </c>
      <c r="D217">
        <v>1</v>
      </c>
      <c r="E217" t="s">
        <v>946</v>
      </c>
      <c r="F217" t="s">
        <v>724</v>
      </c>
      <c r="G217" t="s">
        <v>245</v>
      </c>
      <c r="H217" t="s">
        <v>10</v>
      </c>
      <c r="I217" t="str">
        <f t="shared" si="17"/>
        <v>Female</v>
      </c>
      <c r="J217">
        <v>31</v>
      </c>
      <c r="K217" t="str">
        <f t="shared" si="18"/>
        <v>Adult</v>
      </c>
      <c r="L217" t="str" cm="1">
        <f t="array" ref="L217">_xlfn.IFS(J217&lt;13,"Child",J217&lt;18,"Teen",J217&lt;60,"Adult",J217&gt;60,"Old Age")</f>
        <v>Adult</v>
      </c>
      <c r="M217">
        <v>1</v>
      </c>
      <c r="N217">
        <v>0</v>
      </c>
      <c r="O217">
        <f t="shared" si="19"/>
        <v>2</v>
      </c>
      <c r="P217">
        <v>113.27500000000001</v>
      </c>
      <c r="Q217" t="str">
        <f t="shared" si="15"/>
        <v>High</v>
      </c>
      <c r="R217" t="s">
        <v>1515</v>
      </c>
    </row>
    <row r="218" spans="1:18" x14ac:dyDescent="0.45">
      <c r="A218">
        <v>217</v>
      </c>
      <c r="B218">
        <v>1</v>
      </c>
      <c r="C218" t="str">
        <f t="shared" si="16"/>
        <v>Survived</v>
      </c>
      <c r="D218">
        <v>3</v>
      </c>
      <c r="E218" t="s">
        <v>947</v>
      </c>
      <c r="F218" t="s">
        <v>724</v>
      </c>
      <c r="G218" t="s">
        <v>246</v>
      </c>
      <c r="H218" t="s">
        <v>10</v>
      </c>
      <c r="I218" t="str">
        <f t="shared" si="17"/>
        <v>Female</v>
      </c>
      <c r="J218">
        <v>27</v>
      </c>
      <c r="K218" t="str">
        <f t="shared" si="18"/>
        <v>Adult</v>
      </c>
      <c r="L218" t="str" cm="1">
        <f t="array" ref="L218">_xlfn.IFS(J218&lt;13,"Child",J218&lt;18,"Teen",J218&lt;60,"Adult",J218&gt;60,"Old Age")</f>
        <v>Adult</v>
      </c>
      <c r="M218">
        <v>0</v>
      </c>
      <c r="N218">
        <v>0</v>
      </c>
      <c r="O218">
        <f t="shared" si="19"/>
        <v>1</v>
      </c>
      <c r="P218">
        <v>7.9249999999999998</v>
      </c>
      <c r="Q218" t="str">
        <f t="shared" si="15"/>
        <v>High</v>
      </c>
      <c r="R218" t="s">
        <v>1514</v>
      </c>
    </row>
    <row r="219" spans="1:18" x14ac:dyDescent="0.45">
      <c r="A219">
        <v>218</v>
      </c>
      <c r="B219">
        <v>0</v>
      </c>
      <c r="C219" t="str">
        <f t="shared" si="16"/>
        <v>Not Survived</v>
      </c>
      <c r="D219">
        <v>2</v>
      </c>
      <c r="E219" t="s">
        <v>948</v>
      </c>
      <c r="F219" t="s">
        <v>722</v>
      </c>
      <c r="G219" t="s">
        <v>247</v>
      </c>
      <c r="H219" t="s">
        <v>9</v>
      </c>
      <c r="I219" t="str">
        <f t="shared" si="17"/>
        <v>Male</v>
      </c>
      <c r="J219">
        <v>42</v>
      </c>
      <c r="K219" t="str">
        <f t="shared" si="18"/>
        <v>Adult</v>
      </c>
      <c r="L219" t="str" cm="1">
        <f t="array" ref="L219">_xlfn.IFS(J219&lt;13,"Child",J219&lt;18,"Teen",J219&lt;60,"Adult",J219&gt;60,"Old Age")</f>
        <v>Adult</v>
      </c>
      <c r="M219">
        <v>1</v>
      </c>
      <c r="N219">
        <v>0</v>
      </c>
      <c r="O219">
        <f t="shared" si="19"/>
        <v>2</v>
      </c>
      <c r="P219">
        <v>27</v>
      </c>
      <c r="Q219" t="str">
        <f t="shared" si="15"/>
        <v>High</v>
      </c>
      <c r="R219" t="s">
        <v>1514</v>
      </c>
    </row>
    <row r="220" spans="1:18" x14ac:dyDescent="0.45">
      <c r="A220">
        <v>219</v>
      </c>
      <c r="B220">
        <v>1</v>
      </c>
      <c r="C220" t="str">
        <f t="shared" si="16"/>
        <v>Survived</v>
      </c>
      <c r="D220">
        <v>1</v>
      </c>
      <c r="E220" t="s">
        <v>949</v>
      </c>
      <c r="F220" t="s">
        <v>724</v>
      </c>
      <c r="G220" t="s">
        <v>248</v>
      </c>
      <c r="H220" t="s">
        <v>10</v>
      </c>
      <c r="I220" t="str">
        <f t="shared" si="17"/>
        <v>Female</v>
      </c>
      <c r="J220">
        <v>32</v>
      </c>
      <c r="K220" t="str">
        <f t="shared" si="18"/>
        <v>Adult</v>
      </c>
      <c r="L220" t="str" cm="1">
        <f t="array" ref="L220">_xlfn.IFS(J220&lt;13,"Child",J220&lt;18,"Teen",J220&lt;60,"Adult",J220&gt;60,"Old Age")</f>
        <v>Adult</v>
      </c>
      <c r="M220">
        <v>0</v>
      </c>
      <c r="N220">
        <v>0</v>
      </c>
      <c r="O220">
        <f t="shared" si="19"/>
        <v>1</v>
      </c>
      <c r="P220">
        <v>76.291700000000006</v>
      </c>
      <c r="Q220" t="str">
        <f t="shared" si="15"/>
        <v>High</v>
      </c>
      <c r="R220" t="s">
        <v>1515</v>
      </c>
    </row>
    <row r="221" spans="1:18" x14ac:dyDescent="0.45">
      <c r="A221">
        <v>220</v>
      </c>
      <c r="B221">
        <v>0</v>
      </c>
      <c r="C221" t="str">
        <f t="shared" si="16"/>
        <v>Not Survived</v>
      </c>
      <c r="D221">
        <v>2</v>
      </c>
      <c r="E221" t="s">
        <v>950</v>
      </c>
      <c r="F221" t="s">
        <v>722</v>
      </c>
      <c r="G221" t="s">
        <v>115</v>
      </c>
      <c r="H221" t="s">
        <v>9</v>
      </c>
      <c r="I221" t="str">
        <f t="shared" si="17"/>
        <v>Male</v>
      </c>
      <c r="J221">
        <v>30</v>
      </c>
      <c r="K221" t="str">
        <f t="shared" si="18"/>
        <v>Adult</v>
      </c>
      <c r="L221" t="str" cm="1">
        <f t="array" ref="L221">_xlfn.IFS(J221&lt;13,"Child",J221&lt;18,"Teen",J221&lt;60,"Adult",J221&gt;60,"Old Age")</f>
        <v>Adult</v>
      </c>
      <c r="M221">
        <v>0</v>
      </c>
      <c r="N221">
        <v>0</v>
      </c>
      <c r="O221">
        <f t="shared" si="19"/>
        <v>1</v>
      </c>
      <c r="P221" t="s">
        <v>18</v>
      </c>
      <c r="Q221" t="str">
        <f t="shared" si="15"/>
        <v>High</v>
      </c>
      <c r="R221" t="s">
        <v>1514</v>
      </c>
    </row>
    <row r="222" spans="1:18" x14ac:dyDescent="0.45">
      <c r="A222">
        <v>221</v>
      </c>
      <c r="B222">
        <v>1</v>
      </c>
      <c r="C222" t="str">
        <f t="shared" si="16"/>
        <v>Survived</v>
      </c>
      <c r="D222">
        <v>3</v>
      </c>
      <c r="E222" t="s">
        <v>951</v>
      </c>
      <c r="F222" t="s">
        <v>722</v>
      </c>
      <c r="G222" t="s">
        <v>249</v>
      </c>
      <c r="H222" t="s">
        <v>9</v>
      </c>
      <c r="I222" t="str">
        <f t="shared" si="17"/>
        <v>Male</v>
      </c>
      <c r="J222">
        <v>16</v>
      </c>
      <c r="K222" t="str">
        <f t="shared" si="18"/>
        <v>Teen</v>
      </c>
      <c r="L222" t="str" cm="1">
        <f t="array" ref="L222">_xlfn.IFS(J222&lt;13,"Child",J222&lt;18,"Teen",J222&lt;60,"Adult",J222&gt;60,"Old Age")</f>
        <v>Teen</v>
      </c>
      <c r="M222">
        <v>0</v>
      </c>
      <c r="N222">
        <v>0</v>
      </c>
      <c r="O222">
        <f t="shared" si="19"/>
        <v>1</v>
      </c>
      <c r="P222" t="s">
        <v>12</v>
      </c>
      <c r="Q222" t="str">
        <f t="shared" si="15"/>
        <v>High</v>
      </c>
      <c r="R222" t="s">
        <v>1514</v>
      </c>
    </row>
    <row r="223" spans="1:18" x14ac:dyDescent="0.45">
      <c r="A223">
        <v>222</v>
      </c>
      <c r="B223">
        <v>0</v>
      </c>
      <c r="C223" t="str">
        <f t="shared" si="16"/>
        <v>Not Survived</v>
      </c>
      <c r="D223">
        <v>2</v>
      </c>
      <c r="E223" t="s">
        <v>952</v>
      </c>
      <c r="F223" t="s">
        <v>722</v>
      </c>
      <c r="G223" t="s">
        <v>250</v>
      </c>
      <c r="H223" t="s">
        <v>9</v>
      </c>
      <c r="I223" t="str">
        <f t="shared" si="17"/>
        <v>Male</v>
      </c>
      <c r="J223">
        <v>27</v>
      </c>
      <c r="K223" t="str">
        <f t="shared" si="18"/>
        <v>Adult</v>
      </c>
      <c r="L223" t="str" cm="1">
        <f t="array" ref="L223">_xlfn.IFS(J223&lt;13,"Child",J223&lt;18,"Teen",J223&lt;60,"Adult",J223&gt;60,"Old Age")</f>
        <v>Adult</v>
      </c>
      <c r="M223">
        <v>0</v>
      </c>
      <c r="N223">
        <v>0</v>
      </c>
      <c r="O223">
        <f t="shared" si="19"/>
        <v>1</v>
      </c>
      <c r="P223">
        <v>13</v>
      </c>
      <c r="Q223" t="str">
        <f t="shared" si="15"/>
        <v>High</v>
      </c>
      <c r="R223" t="s">
        <v>1514</v>
      </c>
    </row>
    <row r="224" spans="1:18" x14ac:dyDescent="0.45">
      <c r="A224">
        <v>223</v>
      </c>
      <c r="B224">
        <v>0</v>
      </c>
      <c r="C224" t="str">
        <f t="shared" si="16"/>
        <v>Not Survived</v>
      </c>
      <c r="D224">
        <v>3</v>
      </c>
      <c r="E224" t="s">
        <v>953</v>
      </c>
      <c r="F224" t="s">
        <v>722</v>
      </c>
      <c r="G224" t="s">
        <v>251</v>
      </c>
      <c r="H224" t="s">
        <v>9</v>
      </c>
      <c r="I224" t="str">
        <f t="shared" si="17"/>
        <v>Male</v>
      </c>
      <c r="J224">
        <v>51</v>
      </c>
      <c r="K224" t="str">
        <f t="shared" si="18"/>
        <v>Adult</v>
      </c>
      <c r="L224" t="str" cm="1">
        <f t="array" ref="L224">_xlfn.IFS(J224&lt;13,"Child",J224&lt;18,"Teen",J224&lt;60,"Adult",J224&gt;60,"Old Age")</f>
        <v>Adult</v>
      </c>
      <c r="M224">
        <v>0</v>
      </c>
      <c r="N224">
        <v>0</v>
      </c>
      <c r="O224">
        <f t="shared" si="19"/>
        <v>1</v>
      </c>
      <c r="P224" t="s">
        <v>12</v>
      </c>
      <c r="Q224" t="str">
        <f t="shared" si="15"/>
        <v>High</v>
      </c>
      <c r="R224" t="s">
        <v>1514</v>
      </c>
    </row>
    <row r="225" spans="1:18" x14ac:dyDescent="0.45">
      <c r="A225">
        <v>224</v>
      </c>
      <c r="B225">
        <v>0</v>
      </c>
      <c r="C225" t="str">
        <f t="shared" si="16"/>
        <v>Not Survived</v>
      </c>
      <c r="D225">
        <v>3</v>
      </c>
      <c r="E225" t="s">
        <v>954</v>
      </c>
      <c r="F225" t="s">
        <v>722</v>
      </c>
      <c r="G225" t="s">
        <v>252</v>
      </c>
      <c r="H225" t="s">
        <v>9</v>
      </c>
      <c r="I225" t="str">
        <f t="shared" si="17"/>
        <v>Male</v>
      </c>
      <c r="J225">
        <v>28</v>
      </c>
      <c r="K225" t="str">
        <f t="shared" si="18"/>
        <v>Adult</v>
      </c>
      <c r="L225" t="str" cm="1">
        <f t="array" ref="L225">_xlfn.IFS(J225&lt;13,"Child",J225&lt;18,"Teen",J225&lt;60,"Adult",J225&gt;60,"Old Age")</f>
        <v>Adult</v>
      </c>
      <c r="M225">
        <v>0</v>
      </c>
      <c r="N225">
        <v>0</v>
      </c>
      <c r="O225">
        <f t="shared" si="19"/>
        <v>1</v>
      </c>
      <c r="P225">
        <v>7.8958000000000004</v>
      </c>
      <c r="Q225" t="str">
        <f t="shared" si="15"/>
        <v>High</v>
      </c>
      <c r="R225" t="s">
        <v>1514</v>
      </c>
    </row>
    <row r="226" spans="1:18" x14ac:dyDescent="0.45">
      <c r="A226">
        <v>225</v>
      </c>
      <c r="B226">
        <v>1</v>
      </c>
      <c r="C226" t="str">
        <f t="shared" si="16"/>
        <v>Survived</v>
      </c>
      <c r="D226">
        <v>1</v>
      </c>
      <c r="E226" t="s">
        <v>955</v>
      </c>
      <c r="F226" t="s">
        <v>722</v>
      </c>
      <c r="G226" t="s">
        <v>253</v>
      </c>
      <c r="H226" t="s">
        <v>9</v>
      </c>
      <c r="I226" t="str">
        <f t="shared" si="17"/>
        <v>Male</v>
      </c>
      <c r="J226">
        <v>38</v>
      </c>
      <c r="K226" t="str">
        <f t="shared" si="18"/>
        <v>Adult</v>
      </c>
      <c r="L226" t="str" cm="1">
        <f t="array" ref="L226">_xlfn.IFS(J226&lt;13,"Child",J226&lt;18,"Teen",J226&lt;60,"Adult",J226&gt;60,"Old Age")</f>
        <v>Adult</v>
      </c>
      <c r="M226">
        <v>1</v>
      </c>
      <c r="N226">
        <v>0</v>
      </c>
      <c r="O226">
        <f t="shared" si="19"/>
        <v>2</v>
      </c>
      <c r="P226">
        <v>914.45420000000001</v>
      </c>
      <c r="Q226" t="str">
        <f t="shared" si="15"/>
        <v>High</v>
      </c>
      <c r="R226" t="s">
        <v>1514</v>
      </c>
    </row>
    <row r="227" spans="1:18" x14ac:dyDescent="0.45">
      <c r="A227">
        <v>226</v>
      </c>
      <c r="B227">
        <v>0</v>
      </c>
      <c r="C227" t="str">
        <f t="shared" si="16"/>
        <v>Not Survived</v>
      </c>
      <c r="D227">
        <v>3</v>
      </c>
      <c r="E227" t="s">
        <v>956</v>
      </c>
      <c r="F227" t="s">
        <v>722</v>
      </c>
      <c r="G227" t="s">
        <v>254</v>
      </c>
      <c r="H227" t="s">
        <v>9</v>
      </c>
      <c r="I227" t="str">
        <f t="shared" si="17"/>
        <v>Male</v>
      </c>
      <c r="J227">
        <v>22</v>
      </c>
      <c r="K227" t="str">
        <f t="shared" si="18"/>
        <v>Adult</v>
      </c>
      <c r="L227" t="str" cm="1">
        <f t="array" ref="L227">_xlfn.IFS(J227&lt;13,"Child",J227&lt;18,"Teen",J227&lt;60,"Adult",J227&gt;60,"Old Age")</f>
        <v>Adult</v>
      </c>
      <c r="M227">
        <v>0</v>
      </c>
      <c r="N227">
        <v>0</v>
      </c>
      <c r="O227">
        <f t="shared" si="19"/>
        <v>1</v>
      </c>
      <c r="P227">
        <v>9.35</v>
      </c>
      <c r="Q227" t="str">
        <f t="shared" si="15"/>
        <v>High</v>
      </c>
      <c r="R227" t="s">
        <v>1514</v>
      </c>
    </row>
    <row r="228" spans="1:18" x14ac:dyDescent="0.45">
      <c r="A228">
        <v>227</v>
      </c>
      <c r="B228">
        <v>1</v>
      </c>
      <c r="C228" t="str">
        <f t="shared" si="16"/>
        <v>Survived</v>
      </c>
      <c r="D228">
        <v>2</v>
      </c>
      <c r="E228" t="s">
        <v>783</v>
      </c>
      <c r="F228" t="s">
        <v>722</v>
      </c>
      <c r="G228" t="s">
        <v>255</v>
      </c>
      <c r="H228" t="s">
        <v>9</v>
      </c>
      <c r="I228" t="str">
        <f t="shared" si="17"/>
        <v>Male</v>
      </c>
      <c r="J228">
        <v>19</v>
      </c>
      <c r="K228" t="str">
        <f t="shared" si="18"/>
        <v>Adult</v>
      </c>
      <c r="L228" t="str" cm="1">
        <f t="array" ref="L228">_xlfn.IFS(J228&lt;13,"Child",J228&lt;18,"Teen",J228&lt;60,"Adult",J228&gt;60,"Old Age")</f>
        <v>Adult</v>
      </c>
      <c r="M228">
        <v>0</v>
      </c>
      <c r="N228">
        <v>0</v>
      </c>
      <c r="O228">
        <f t="shared" si="19"/>
        <v>1</v>
      </c>
      <c r="P228" t="s">
        <v>18</v>
      </c>
      <c r="Q228" t="str">
        <f t="shared" si="15"/>
        <v>High</v>
      </c>
      <c r="R228" t="s">
        <v>1514</v>
      </c>
    </row>
    <row r="229" spans="1:18" x14ac:dyDescent="0.45">
      <c r="A229">
        <v>228</v>
      </c>
      <c r="B229">
        <v>0</v>
      </c>
      <c r="C229" t="str">
        <f t="shared" si="16"/>
        <v>Not Survived</v>
      </c>
      <c r="D229">
        <v>3</v>
      </c>
      <c r="E229" t="s">
        <v>957</v>
      </c>
      <c r="F229" t="s">
        <v>722</v>
      </c>
      <c r="G229" t="s">
        <v>256</v>
      </c>
      <c r="H229" t="s">
        <v>9</v>
      </c>
      <c r="I229" t="str">
        <f t="shared" si="17"/>
        <v>Male</v>
      </c>
      <c r="J229">
        <v>20.5</v>
      </c>
      <c r="K229" t="str">
        <f t="shared" si="18"/>
        <v>Adult</v>
      </c>
      <c r="L229" t="str" cm="1">
        <f t="array" ref="L229">_xlfn.IFS(J229&lt;13,"Child",J229&lt;18,"Teen",J229&lt;60,"Adult",J229&gt;60,"Old Age")</f>
        <v>Adult</v>
      </c>
      <c r="M229">
        <v>0</v>
      </c>
      <c r="N229">
        <v>0</v>
      </c>
      <c r="O229">
        <f t="shared" si="19"/>
        <v>1</v>
      </c>
      <c r="P229">
        <v>7.25</v>
      </c>
      <c r="Q229" t="str">
        <f t="shared" si="15"/>
        <v>High</v>
      </c>
      <c r="R229" t="s">
        <v>1514</v>
      </c>
    </row>
    <row r="230" spans="1:18" x14ac:dyDescent="0.45">
      <c r="A230">
        <v>229</v>
      </c>
      <c r="B230">
        <v>0</v>
      </c>
      <c r="C230" t="str">
        <f t="shared" si="16"/>
        <v>Not Survived</v>
      </c>
      <c r="D230">
        <v>2</v>
      </c>
      <c r="E230" t="s">
        <v>958</v>
      </c>
      <c r="F230" t="s">
        <v>722</v>
      </c>
      <c r="G230" t="s">
        <v>257</v>
      </c>
      <c r="H230" t="s">
        <v>9</v>
      </c>
      <c r="I230" t="str">
        <f t="shared" si="17"/>
        <v>Male</v>
      </c>
      <c r="J230">
        <v>18</v>
      </c>
      <c r="K230" t="str">
        <f t="shared" si="18"/>
        <v>Adult</v>
      </c>
      <c r="L230" t="str" cm="1">
        <f t="array" ref="L230">_xlfn.IFS(J230&lt;13,"Child",J230&lt;18,"Teen",J230&lt;60,"Adult",J230&gt;60,"Old Age")</f>
        <v>Adult</v>
      </c>
      <c r="M230">
        <v>0</v>
      </c>
      <c r="N230">
        <v>0</v>
      </c>
      <c r="O230">
        <f t="shared" si="19"/>
        <v>1</v>
      </c>
      <c r="P230">
        <v>13</v>
      </c>
      <c r="Q230" t="str">
        <f t="shared" si="15"/>
        <v>High</v>
      </c>
      <c r="R230" t="s">
        <v>1514</v>
      </c>
    </row>
    <row r="231" spans="1:18" x14ac:dyDescent="0.45">
      <c r="A231">
        <v>230</v>
      </c>
      <c r="B231">
        <v>0</v>
      </c>
      <c r="C231" t="str">
        <f t="shared" si="16"/>
        <v>Not Survived</v>
      </c>
      <c r="D231">
        <v>3</v>
      </c>
      <c r="E231" t="s">
        <v>959</v>
      </c>
      <c r="F231" t="s">
        <v>724</v>
      </c>
      <c r="G231" t="s">
        <v>212</v>
      </c>
      <c r="H231" t="s">
        <v>10</v>
      </c>
      <c r="I231" t="str">
        <f t="shared" si="17"/>
        <v>Female</v>
      </c>
      <c r="J231">
        <v>28</v>
      </c>
      <c r="K231" t="str">
        <f t="shared" si="18"/>
        <v>Adult</v>
      </c>
      <c r="L231" t="str" cm="1">
        <f t="array" ref="L231">_xlfn.IFS(J231&lt;13,"Child",J231&lt;18,"Teen",J231&lt;60,"Adult",J231&gt;60,"Old Age")</f>
        <v>Adult</v>
      </c>
      <c r="M231">
        <v>3</v>
      </c>
      <c r="N231">
        <v>1</v>
      </c>
      <c r="O231">
        <f t="shared" si="19"/>
        <v>5</v>
      </c>
      <c r="P231">
        <v>25.466699999999999</v>
      </c>
      <c r="Q231" t="str">
        <f t="shared" si="15"/>
        <v>High</v>
      </c>
      <c r="R231" t="s">
        <v>1514</v>
      </c>
    </row>
    <row r="232" spans="1:18" x14ac:dyDescent="0.45">
      <c r="A232">
        <v>231</v>
      </c>
      <c r="B232">
        <v>1</v>
      </c>
      <c r="C232" t="str">
        <f t="shared" si="16"/>
        <v>Survived</v>
      </c>
      <c r="D232">
        <v>1</v>
      </c>
      <c r="E232" t="s">
        <v>960</v>
      </c>
      <c r="F232" t="s">
        <v>723</v>
      </c>
      <c r="G232" t="s">
        <v>115</v>
      </c>
      <c r="H232" t="s">
        <v>10</v>
      </c>
      <c r="I232" t="str">
        <f t="shared" si="17"/>
        <v>Female</v>
      </c>
      <c r="J232">
        <v>35</v>
      </c>
      <c r="K232" t="str">
        <f t="shared" si="18"/>
        <v>Adult</v>
      </c>
      <c r="L232" t="str" cm="1">
        <f t="array" ref="L232">_xlfn.IFS(J232&lt;13,"Child",J232&lt;18,"Teen",J232&lt;60,"Adult",J232&gt;60,"Old Age")</f>
        <v>Adult</v>
      </c>
      <c r="M232">
        <v>1</v>
      </c>
      <c r="N232">
        <v>0</v>
      </c>
      <c r="O232">
        <f t="shared" si="19"/>
        <v>2</v>
      </c>
      <c r="P232">
        <v>83.474999999999994</v>
      </c>
      <c r="Q232" t="str">
        <f t="shared" si="15"/>
        <v>High</v>
      </c>
      <c r="R232" t="s">
        <v>1514</v>
      </c>
    </row>
    <row r="233" spans="1:18" x14ac:dyDescent="0.45">
      <c r="A233">
        <v>232</v>
      </c>
      <c r="B233">
        <v>0</v>
      </c>
      <c r="C233" t="str">
        <f t="shared" si="16"/>
        <v>Not Survived</v>
      </c>
      <c r="D233">
        <v>3</v>
      </c>
      <c r="E233" t="s">
        <v>961</v>
      </c>
      <c r="F233" t="s">
        <v>722</v>
      </c>
      <c r="G233" t="s">
        <v>258</v>
      </c>
      <c r="H233" t="s">
        <v>9</v>
      </c>
      <c r="I233" t="str">
        <f t="shared" si="17"/>
        <v>Male</v>
      </c>
      <c r="J233">
        <v>29</v>
      </c>
      <c r="K233" t="str">
        <f t="shared" si="18"/>
        <v>Adult</v>
      </c>
      <c r="L233" t="str" cm="1">
        <f t="array" ref="L233">_xlfn.IFS(J233&lt;13,"Child",J233&lt;18,"Teen",J233&lt;60,"Adult",J233&gt;60,"Old Age")</f>
        <v>Adult</v>
      </c>
      <c r="M233">
        <v>0</v>
      </c>
      <c r="N233">
        <v>0</v>
      </c>
      <c r="O233">
        <f t="shared" si="19"/>
        <v>1</v>
      </c>
      <c r="P233">
        <v>7.7750000000000004</v>
      </c>
      <c r="Q233" t="str">
        <f t="shared" si="15"/>
        <v>High</v>
      </c>
      <c r="R233" t="s">
        <v>1514</v>
      </c>
    </row>
    <row r="234" spans="1:18" x14ac:dyDescent="0.45">
      <c r="A234">
        <v>233</v>
      </c>
      <c r="B234">
        <v>0</v>
      </c>
      <c r="C234" t="str">
        <f t="shared" si="16"/>
        <v>Not Survived</v>
      </c>
      <c r="D234">
        <v>2</v>
      </c>
      <c r="E234" t="s">
        <v>962</v>
      </c>
      <c r="F234" t="s">
        <v>722</v>
      </c>
      <c r="G234" t="s">
        <v>259</v>
      </c>
      <c r="H234" t="s">
        <v>9</v>
      </c>
      <c r="I234" t="str">
        <f t="shared" si="17"/>
        <v>Male</v>
      </c>
      <c r="J234">
        <v>59</v>
      </c>
      <c r="K234" t="str">
        <f t="shared" si="18"/>
        <v>Adult</v>
      </c>
      <c r="L234" t="str" cm="1">
        <f t="array" ref="L234">_xlfn.IFS(J234&lt;13,"Child",J234&lt;18,"Teen",J234&lt;60,"Adult",J234&gt;60,"Old Age")</f>
        <v>Adult</v>
      </c>
      <c r="M234">
        <v>0</v>
      </c>
      <c r="N234">
        <v>0</v>
      </c>
      <c r="O234">
        <f t="shared" si="19"/>
        <v>1</v>
      </c>
      <c r="P234">
        <v>13.5</v>
      </c>
      <c r="Q234" t="str">
        <f t="shared" si="15"/>
        <v>High</v>
      </c>
      <c r="R234" t="s">
        <v>1514</v>
      </c>
    </row>
    <row r="235" spans="1:18" x14ac:dyDescent="0.45">
      <c r="A235">
        <v>234</v>
      </c>
      <c r="B235">
        <v>1</v>
      </c>
      <c r="C235" t="str">
        <f t="shared" si="16"/>
        <v>Survived</v>
      </c>
      <c r="D235">
        <v>3</v>
      </c>
      <c r="E235" t="s">
        <v>963</v>
      </c>
      <c r="F235" t="s">
        <v>724</v>
      </c>
      <c r="G235" t="s">
        <v>79</v>
      </c>
      <c r="H235" t="s">
        <v>10</v>
      </c>
      <c r="I235" t="str">
        <f t="shared" si="17"/>
        <v>Female</v>
      </c>
      <c r="J235">
        <v>5</v>
      </c>
      <c r="K235" t="str">
        <f t="shared" si="18"/>
        <v>Child</v>
      </c>
      <c r="L235" t="str" cm="1">
        <f t="array" ref="L235">_xlfn.IFS(J235&lt;13,"Child",J235&lt;18,"Teen",J235&lt;60,"Adult",J235&gt;60,"Old Age")</f>
        <v>Child</v>
      </c>
      <c r="M235">
        <v>4</v>
      </c>
      <c r="N235">
        <v>2</v>
      </c>
      <c r="O235">
        <f t="shared" si="19"/>
        <v>7</v>
      </c>
      <c r="P235">
        <v>31.387499999999999</v>
      </c>
      <c r="Q235" t="str">
        <f t="shared" si="15"/>
        <v>High</v>
      </c>
      <c r="R235" t="s">
        <v>1514</v>
      </c>
    </row>
    <row r="236" spans="1:18" x14ac:dyDescent="0.45">
      <c r="A236">
        <v>235</v>
      </c>
      <c r="B236">
        <v>0</v>
      </c>
      <c r="C236" t="str">
        <f t="shared" si="16"/>
        <v>Not Survived</v>
      </c>
      <c r="D236">
        <v>2</v>
      </c>
      <c r="E236" t="s">
        <v>964</v>
      </c>
      <c r="F236" t="s">
        <v>722</v>
      </c>
      <c r="G236" t="s">
        <v>260</v>
      </c>
      <c r="H236" t="s">
        <v>9</v>
      </c>
      <c r="I236" t="str">
        <f t="shared" si="17"/>
        <v>Male</v>
      </c>
      <c r="J236">
        <v>24</v>
      </c>
      <c r="K236" t="str">
        <f t="shared" si="18"/>
        <v>Adult</v>
      </c>
      <c r="L236" t="str" cm="1">
        <f t="array" ref="L236">_xlfn.IFS(J236&lt;13,"Child",J236&lt;18,"Teen",J236&lt;60,"Adult",J236&gt;60,"Old Age")</f>
        <v>Adult</v>
      </c>
      <c r="M236">
        <v>0</v>
      </c>
      <c r="N236">
        <v>0</v>
      </c>
      <c r="O236">
        <f t="shared" si="19"/>
        <v>1</v>
      </c>
      <c r="P236" t="s">
        <v>18</v>
      </c>
      <c r="Q236" t="str">
        <f t="shared" si="15"/>
        <v>High</v>
      </c>
      <c r="R236" t="s">
        <v>1514</v>
      </c>
    </row>
    <row r="237" spans="1:18" x14ac:dyDescent="0.45">
      <c r="A237">
        <v>236</v>
      </c>
      <c r="B237">
        <v>0</v>
      </c>
      <c r="C237" t="str">
        <f t="shared" si="16"/>
        <v>Not Survived</v>
      </c>
      <c r="D237">
        <v>3</v>
      </c>
      <c r="E237" t="s">
        <v>965</v>
      </c>
      <c r="F237" t="s">
        <v>724</v>
      </c>
      <c r="G237" t="s">
        <v>261</v>
      </c>
      <c r="H237" t="s">
        <v>10</v>
      </c>
      <c r="I237" t="str">
        <f t="shared" si="17"/>
        <v>Female</v>
      </c>
      <c r="J237">
        <v>28</v>
      </c>
      <c r="K237" t="str">
        <f t="shared" si="18"/>
        <v>Adult</v>
      </c>
      <c r="L237" t="str" cm="1">
        <f t="array" ref="L237">_xlfn.IFS(J237&lt;13,"Child",J237&lt;18,"Teen",J237&lt;60,"Adult",J237&gt;60,"Old Age")</f>
        <v>Adult</v>
      </c>
      <c r="M237">
        <v>0</v>
      </c>
      <c r="N237">
        <v>0</v>
      </c>
      <c r="O237">
        <f t="shared" si="19"/>
        <v>1</v>
      </c>
      <c r="P237">
        <v>7.55</v>
      </c>
      <c r="Q237" t="str">
        <f t="shared" si="15"/>
        <v>High</v>
      </c>
      <c r="R237" t="s">
        <v>1514</v>
      </c>
    </row>
    <row r="238" spans="1:18" x14ac:dyDescent="0.45">
      <c r="A238">
        <v>237</v>
      </c>
      <c r="B238">
        <v>0</v>
      </c>
      <c r="C238" t="str">
        <f t="shared" si="16"/>
        <v>Not Survived</v>
      </c>
      <c r="D238">
        <v>2</v>
      </c>
      <c r="E238" t="s">
        <v>966</v>
      </c>
      <c r="F238" t="s">
        <v>722</v>
      </c>
      <c r="G238" t="s">
        <v>262</v>
      </c>
      <c r="H238" t="s">
        <v>9</v>
      </c>
      <c r="I238" t="str">
        <f t="shared" si="17"/>
        <v>Male</v>
      </c>
      <c r="J238">
        <v>44</v>
      </c>
      <c r="K238" t="str">
        <f t="shared" si="18"/>
        <v>Adult</v>
      </c>
      <c r="L238" t="str" cm="1">
        <f t="array" ref="L238">_xlfn.IFS(J238&lt;13,"Child",J238&lt;18,"Teen",J238&lt;60,"Adult",J238&gt;60,"Old Age")</f>
        <v>Adult</v>
      </c>
      <c r="M238">
        <v>1</v>
      </c>
      <c r="N238">
        <v>0</v>
      </c>
      <c r="O238">
        <f t="shared" si="19"/>
        <v>2</v>
      </c>
      <c r="P238">
        <v>26</v>
      </c>
      <c r="Q238" t="str">
        <f t="shared" si="15"/>
        <v>High</v>
      </c>
      <c r="R238" t="s">
        <v>1514</v>
      </c>
    </row>
    <row r="239" spans="1:18" x14ac:dyDescent="0.45">
      <c r="A239">
        <v>238</v>
      </c>
      <c r="B239">
        <v>1</v>
      </c>
      <c r="C239" t="str">
        <f t="shared" si="16"/>
        <v>Survived</v>
      </c>
      <c r="D239">
        <v>2</v>
      </c>
      <c r="E239" t="s">
        <v>967</v>
      </c>
      <c r="F239" t="s">
        <v>724</v>
      </c>
      <c r="G239" t="s">
        <v>263</v>
      </c>
      <c r="H239" t="s">
        <v>10</v>
      </c>
      <c r="I239" t="str">
        <f t="shared" si="17"/>
        <v>Female</v>
      </c>
      <c r="J239">
        <v>8</v>
      </c>
      <c r="K239" t="str">
        <f t="shared" si="18"/>
        <v>Child</v>
      </c>
      <c r="L239" t="str" cm="1">
        <f t="array" ref="L239">_xlfn.IFS(J239&lt;13,"Child",J239&lt;18,"Teen",J239&lt;60,"Adult",J239&gt;60,"Old Age")</f>
        <v>Child</v>
      </c>
      <c r="M239">
        <v>0</v>
      </c>
      <c r="N239">
        <v>2</v>
      </c>
      <c r="O239">
        <f t="shared" si="19"/>
        <v>3</v>
      </c>
      <c r="P239">
        <v>26.25</v>
      </c>
      <c r="Q239" t="str">
        <f t="shared" si="15"/>
        <v>High</v>
      </c>
      <c r="R239" t="s">
        <v>1514</v>
      </c>
    </row>
    <row r="240" spans="1:18" x14ac:dyDescent="0.45">
      <c r="A240">
        <v>239</v>
      </c>
      <c r="B240">
        <v>0</v>
      </c>
      <c r="C240" t="str">
        <f t="shared" si="16"/>
        <v>Not Survived</v>
      </c>
      <c r="D240">
        <v>2</v>
      </c>
      <c r="E240" t="s">
        <v>968</v>
      </c>
      <c r="F240" t="s">
        <v>722</v>
      </c>
      <c r="G240" t="s">
        <v>264</v>
      </c>
      <c r="H240" t="s">
        <v>9</v>
      </c>
      <c r="I240" t="str">
        <f t="shared" si="17"/>
        <v>Male</v>
      </c>
      <c r="J240">
        <v>19</v>
      </c>
      <c r="K240" t="str">
        <f t="shared" si="18"/>
        <v>Adult</v>
      </c>
      <c r="L240" t="str" cm="1">
        <f t="array" ref="L240">_xlfn.IFS(J240&lt;13,"Child",J240&lt;18,"Teen",J240&lt;60,"Adult",J240&gt;60,"Old Age")</f>
        <v>Adult</v>
      </c>
      <c r="M240">
        <v>0</v>
      </c>
      <c r="N240">
        <v>0</v>
      </c>
      <c r="O240">
        <f t="shared" si="19"/>
        <v>1</v>
      </c>
      <c r="P240" t="s">
        <v>18</v>
      </c>
      <c r="Q240" t="str">
        <f t="shared" si="15"/>
        <v>High</v>
      </c>
      <c r="R240" t="s">
        <v>1514</v>
      </c>
    </row>
    <row r="241" spans="1:18" x14ac:dyDescent="0.45">
      <c r="A241">
        <v>240</v>
      </c>
      <c r="B241">
        <v>0</v>
      </c>
      <c r="C241" t="str">
        <f t="shared" si="16"/>
        <v>Not Survived</v>
      </c>
      <c r="D241">
        <v>2</v>
      </c>
      <c r="E241" t="s">
        <v>953</v>
      </c>
      <c r="F241" t="s">
        <v>722</v>
      </c>
      <c r="G241" t="s">
        <v>265</v>
      </c>
      <c r="H241" t="s">
        <v>9</v>
      </c>
      <c r="I241" t="str">
        <f t="shared" si="17"/>
        <v>Male</v>
      </c>
      <c r="J241">
        <v>33</v>
      </c>
      <c r="K241" t="str">
        <f t="shared" si="18"/>
        <v>Adult</v>
      </c>
      <c r="L241" t="str" cm="1">
        <f t="array" ref="L241">_xlfn.IFS(J241&lt;13,"Child",J241&lt;18,"Teen",J241&lt;60,"Adult",J241&gt;60,"Old Age")</f>
        <v>Adult</v>
      </c>
      <c r="M241">
        <v>0</v>
      </c>
      <c r="N241">
        <v>0</v>
      </c>
      <c r="O241">
        <f t="shared" si="19"/>
        <v>1</v>
      </c>
      <c r="P241">
        <v>12.275</v>
      </c>
      <c r="Q241" t="str">
        <f t="shared" si="15"/>
        <v>High</v>
      </c>
      <c r="R241" t="s">
        <v>1514</v>
      </c>
    </row>
    <row r="242" spans="1:18" x14ac:dyDescent="0.45">
      <c r="A242">
        <v>241</v>
      </c>
      <c r="B242">
        <v>0</v>
      </c>
      <c r="C242" t="str">
        <f t="shared" si="16"/>
        <v>Not Survived</v>
      </c>
      <c r="D242">
        <v>3</v>
      </c>
      <c r="E242" t="s">
        <v>969</v>
      </c>
      <c r="F242" t="s">
        <v>724</v>
      </c>
      <c r="G242" t="s">
        <v>160</v>
      </c>
      <c r="H242" t="s">
        <v>10</v>
      </c>
      <c r="I242" t="str">
        <f t="shared" si="17"/>
        <v>Female</v>
      </c>
      <c r="J242">
        <v>28</v>
      </c>
      <c r="K242" t="str">
        <f t="shared" si="18"/>
        <v>Adult</v>
      </c>
      <c r="L242" t="str" cm="1">
        <f t="array" ref="L242">_xlfn.IFS(J242&lt;13,"Child",J242&lt;18,"Teen",J242&lt;60,"Adult",J242&gt;60,"Old Age")</f>
        <v>Adult</v>
      </c>
      <c r="M242">
        <v>1</v>
      </c>
      <c r="N242">
        <v>0</v>
      </c>
      <c r="O242">
        <f t="shared" si="19"/>
        <v>2</v>
      </c>
      <c r="P242">
        <v>14.4542</v>
      </c>
      <c r="Q242" t="str">
        <f t="shared" si="15"/>
        <v>High</v>
      </c>
      <c r="R242" t="s">
        <v>1515</v>
      </c>
    </row>
    <row r="243" spans="1:18" x14ac:dyDescent="0.45">
      <c r="A243">
        <v>242</v>
      </c>
      <c r="B243">
        <v>1</v>
      </c>
      <c r="C243" t="str">
        <f t="shared" si="16"/>
        <v>Survived</v>
      </c>
      <c r="D243">
        <v>3</v>
      </c>
      <c r="E243" t="s">
        <v>970</v>
      </c>
      <c r="F243" t="s">
        <v>724</v>
      </c>
      <c r="G243" t="s">
        <v>266</v>
      </c>
      <c r="H243" t="s">
        <v>10</v>
      </c>
      <c r="I243" t="str">
        <f t="shared" si="17"/>
        <v>Female</v>
      </c>
      <c r="J243">
        <v>28</v>
      </c>
      <c r="K243" t="str">
        <f t="shared" si="18"/>
        <v>Adult</v>
      </c>
      <c r="L243" t="str" cm="1">
        <f t="array" ref="L243">_xlfn.IFS(J243&lt;13,"Child",J243&lt;18,"Teen",J243&lt;60,"Adult",J243&gt;60,"Old Age")</f>
        <v>Adult</v>
      </c>
      <c r="M243">
        <v>1</v>
      </c>
      <c r="N243">
        <v>0</v>
      </c>
      <c r="O243">
        <f t="shared" si="19"/>
        <v>2</v>
      </c>
      <c r="P243">
        <v>15.5</v>
      </c>
      <c r="Q243" t="str">
        <f t="shared" si="15"/>
        <v>High</v>
      </c>
      <c r="R243" t="s">
        <v>1516</v>
      </c>
    </row>
    <row r="244" spans="1:18" x14ac:dyDescent="0.45">
      <c r="A244">
        <v>243</v>
      </c>
      <c r="B244">
        <v>0</v>
      </c>
      <c r="C244" t="str">
        <f t="shared" si="16"/>
        <v>Not Survived</v>
      </c>
      <c r="D244">
        <v>2</v>
      </c>
      <c r="E244" t="s">
        <v>971</v>
      </c>
      <c r="F244" t="s">
        <v>722</v>
      </c>
      <c r="G244" t="s">
        <v>267</v>
      </c>
      <c r="H244" t="s">
        <v>9</v>
      </c>
      <c r="I244" t="str">
        <f t="shared" si="17"/>
        <v>Male</v>
      </c>
      <c r="J244">
        <v>29</v>
      </c>
      <c r="K244" t="str">
        <f t="shared" si="18"/>
        <v>Adult</v>
      </c>
      <c r="L244" t="str" cm="1">
        <f t="array" ref="L244">_xlfn.IFS(J244&lt;13,"Child",J244&lt;18,"Teen",J244&lt;60,"Adult",J244&gt;60,"Old Age")</f>
        <v>Adult</v>
      </c>
      <c r="M244">
        <v>0</v>
      </c>
      <c r="N244">
        <v>0</v>
      </c>
      <c r="O244">
        <f t="shared" si="19"/>
        <v>1</v>
      </c>
      <c r="P244" t="s">
        <v>18</v>
      </c>
      <c r="Q244" t="str">
        <f t="shared" si="15"/>
        <v>High</v>
      </c>
      <c r="R244" t="s">
        <v>1514</v>
      </c>
    </row>
    <row r="245" spans="1:18" x14ac:dyDescent="0.45">
      <c r="A245">
        <v>244</v>
      </c>
      <c r="B245">
        <v>0</v>
      </c>
      <c r="C245" t="str">
        <f t="shared" si="16"/>
        <v>Not Survived</v>
      </c>
      <c r="D245">
        <v>3</v>
      </c>
      <c r="E245" t="s">
        <v>972</v>
      </c>
      <c r="F245" t="s">
        <v>722</v>
      </c>
      <c r="G245" t="s">
        <v>268</v>
      </c>
      <c r="H245" t="s">
        <v>9</v>
      </c>
      <c r="I245" t="str">
        <f t="shared" si="17"/>
        <v>Male</v>
      </c>
      <c r="J245">
        <v>22</v>
      </c>
      <c r="K245" t="str">
        <f t="shared" si="18"/>
        <v>Adult</v>
      </c>
      <c r="L245" t="str" cm="1">
        <f t="array" ref="L245">_xlfn.IFS(J245&lt;13,"Child",J245&lt;18,"Teen",J245&lt;60,"Adult",J245&gt;60,"Old Age")</f>
        <v>Adult</v>
      </c>
      <c r="M245">
        <v>0</v>
      </c>
      <c r="N245">
        <v>0</v>
      </c>
      <c r="O245">
        <f t="shared" si="19"/>
        <v>1</v>
      </c>
      <c r="P245">
        <v>7.125</v>
      </c>
      <c r="Q245" t="str">
        <f t="shared" si="15"/>
        <v>High</v>
      </c>
      <c r="R245" t="s">
        <v>1514</v>
      </c>
    </row>
    <row r="246" spans="1:18" x14ac:dyDescent="0.45">
      <c r="A246">
        <v>245</v>
      </c>
      <c r="B246">
        <v>0</v>
      </c>
      <c r="C246" t="str">
        <f t="shared" si="16"/>
        <v>Not Survived</v>
      </c>
      <c r="D246">
        <v>3</v>
      </c>
      <c r="E246" t="s">
        <v>973</v>
      </c>
      <c r="F246" t="s">
        <v>722</v>
      </c>
      <c r="G246" t="s">
        <v>163</v>
      </c>
      <c r="H246" t="s">
        <v>9</v>
      </c>
      <c r="I246" t="str">
        <f t="shared" si="17"/>
        <v>Male</v>
      </c>
      <c r="J246">
        <v>30</v>
      </c>
      <c r="K246" t="str">
        <f t="shared" si="18"/>
        <v>Adult</v>
      </c>
      <c r="L246" t="str" cm="1">
        <f t="array" ref="L246">_xlfn.IFS(J246&lt;13,"Child",J246&lt;18,"Teen",J246&lt;60,"Adult",J246&gt;60,"Old Age")</f>
        <v>Adult</v>
      </c>
      <c r="M246">
        <v>0</v>
      </c>
      <c r="N246">
        <v>0</v>
      </c>
      <c r="O246">
        <f t="shared" si="19"/>
        <v>1</v>
      </c>
      <c r="P246">
        <v>7.2249999999999996</v>
      </c>
      <c r="Q246" t="str">
        <f t="shared" si="15"/>
        <v>High</v>
      </c>
      <c r="R246" t="s">
        <v>1515</v>
      </c>
    </row>
    <row r="247" spans="1:18" x14ac:dyDescent="0.45">
      <c r="A247">
        <v>246</v>
      </c>
      <c r="B247">
        <v>0</v>
      </c>
      <c r="C247" t="str">
        <f t="shared" si="16"/>
        <v>Not Survived</v>
      </c>
      <c r="D247">
        <v>1</v>
      </c>
      <c r="E247" t="s">
        <v>974</v>
      </c>
      <c r="F247" t="s">
        <v>728</v>
      </c>
      <c r="G247" t="s">
        <v>269</v>
      </c>
      <c r="H247" t="s">
        <v>9</v>
      </c>
      <c r="I247" t="str">
        <f t="shared" si="17"/>
        <v>Male</v>
      </c>
      <c r="J247">
        <v>44</v>
      </c>
      <c r="K247" t="str">
        <f t="shared" si="18"/>
        <v>Adult</v>
      </c>
      <c r="L247" t="str" cm="1">
        <f t="array" ref="L247">_xlfn.IFS(J247&lt;13,"Child",J247&lt;18,"Teen",J247&lt;60,"Adult",J247&gt;60,"Old Age")</f>
        <v>Adult</v>
      </c>
      <c r="M247">
        <v>2</v>
      </c>
      <c r="N247">
        <v>0</v>
      </c>
      <c r="O247">
        <f t="shared" si="19"/>
        <v>3</v>
      </c>
      <c r="P247">
        <v>914.45420000000001</v>
      </c>
      <c r="Q247" t="str">
        <f t="shared" si="15"/>
        <v>High</v>
      </c>
      <c r="R247" t="s">
        <v>1516</v>
      </c>
    </row>
    <row r="248" spans="1:18" x14ac:dyDescent="0.45">
      <c r="A248">
        <v>247</v>
      </c>
      <c r="B248">
        <v>0</v>
      </c>
      <c r="C248" t="str">
        <f t="shared" si="16"/>
        <v>Not Survived</v>
      </c>
      <c r="D248">
        <v>3</v>
      </c>
      <c r="E248" t="s">
        <v>975</v>
      </c>
      <c r="F248" t="s">
        <v>724</v>
      </c>
      <c r="G248" t="s">
        <v>270</v>
      </c>
      <c r="H248" t="s">
        <v>10</v>
      </c>
      <c r="I248" t="str">
        <f t="shared" si="17"/>
        <v>Female</v>
      </c>
      <c r="J248">
        <v>25</v>
      </c>
      <c r="K248" t="str">
        <f t="shared" si="18"/>
        <v>Adult</v>
      </c>
      <c r="L248" t="str" cm="1">
        <f t="array" ref="L248">_xlfn.IFS(J248&lt;13,"Child",J248&lt;18,"Teen",J248&lt;60,"Adult",J248&gt;60,"Old Age")</f>
        <v>Adult</v>
      </c>
      <c r="M248">
        <v>0</v>
      </c>
      <c r="N248">
        <v>0</v>
      </c>
      <c r="O248">
        <f t="shared" si="19"/>
        <v>1</v>
      </c>
      <c r="P248">
        <v>7.7750000000000004</v>
      </c>
      <c r="Q248" t="str">
        <f t="shared" si="15"/>
        <v>High</v>
      </c>
      <c r="R248" t="s">
        <v>1514</v>
      </c>
    </row>
    <row r="249" spans="1:18" x14ac:dyDescent="0.45">
      <c r="A249">
        <v>248</v>
      </c>
      <c r="B249">
        <v>1</v>
      </c>
      <c r="C249" t="str">
        <f t="shared" si="16"/>
        <v>Survived</v>
      </c>
      <c r="D249">
        <v>2</v>
      </c>
      <c r="E249" t="s">
        <v>901</v>
      </c>
      <c r="F249" t="s">
        <v>723</v>
      </c>
      <c r="G249" t="s">
        <v>271</v>
      </c>
      <c r="H249" t="s">
        <v>10</v>
      </c>
      <c r="I249" t="str">
        <f t="shared" si="17"/>
        <v>Female</v>
      </c>
      <c r="J249">
        <v>24</v>
      </c>
      <c r="K249" t="str">
        <f t="shared" si="18"/>
        <v>Adult</v>
      </c>
      <c r="L249" t="str" cm="1">
        <f t="array" ref="L249">_xlfn.IFS(J249&lt;13,"Child",J249&lt;18,"Teen",J249&lt;60,"Adult",J249&gt;60,"Old Age")</f>
        <v>Adult</v>
      </c>
      <c r="M249">
        <v>0</v>
      </c>
      <c r="N249">
        <v>2</v>
      </c>
      <c r="O249">
        <f t="shared" si="19"/>
        <v>3</v>
      </c>
      <c r="P249">
        <v>14.5</v>
      </c>
      <c r="Q249" t="str">
        <f t="shared" si="15"/>
        <v>High</v>
      </c>
      <c r="R249" t="s">
        <v>1514</v>
      </c>
    </row>
    <row r="250" spans="1:18" x14ac:dyDescent="0.45">
      <c r="A250">
        <v>249</v>
      </c>
      <c r="B250">
        <v>1</v>
      </c>
      <c r="C250" t="str">
        <f t="shared" si="16"/>
        <v>Survived</v>
      </c>
      <c r="D250">
        <v>1</v>
      </c>
      <c r="E250" t="s">
        <v>976</v>
      </c>
      <c r="F250" t="s">
        <v>722</v>
      </c>
      <c r="G250" t="s">
        <v>272</v>
      </c>
      <c r="H250" t="s">
        <v>9</v>
      </c>
      <c r="I250" t="str">
        <f t="shared" si="17"/>
        <v>Male</v>
      </c>
      <c r="J250">
        <v>37</v>
      </c>
      <c r="K250" t="str">
        <f t="shared" si="18"/>
        <v>Adult</v>
      </c>
      <c r="L250" t="str" cm="1">
        <f t="array" ref="L250">_xlfn.IFS(J250&lt;13,"Child",J250&lt;18,"Teen",J250&lt;60,"Adult",J250&gt;60,"Old Age")</f>
        <v>Adult</v>
      </c>
      <c r="M250">
        <v>1</v>
      </c>
      <c r="N250">
        <v>1</v>
      </c>
      <c r="O250">
        <f t="shared" si="19"/>
        <v>3</v>
      </c>
      <c r="P250">
        <v>52.554200000000002</v>
      </c>
      <c r="Q250" t="str">
        <f t="shared" si="15"/>
        <v>High</v>
      </c>
      <c r="R250" t="s">
        <v>1514</v>
      </c>
    </row>
    <row r="251" spans="1:18" x14ac:dyDescent="0.45">
      <c r="A251">
        <v>250</v>
      </c>
      <c r="B251">
        <v>0</v>
      </c>
      <c r="C251" t="str">
        <f t="shared" si="16"/>
        <v>Not Survived</v>
      </c>
      <c r="D251">
        <v>2</v>
      </c>
      <c r="E251" t="s">
        <v>977</v>
      </c>
      <c r="F251" t="s">
        <v>727</v>
      </c>
      <c r="G251" t="s">
        <v>273</v>
      </c>
      <c r="H251" t="s">
        <v>9</v>
      </c>
      <c r="I251" t="str">
        <f t="shared" si="17"/>
        <v>Male</v>
      </c>
      <c r="J251">
        <v>54</v>
      </c>
      <c r="K251" t="str">
        <f t="shared" si="18"/>
        <v>Adult</v>
      </c>
      <c r="L251" t="str" cm="1">
        <f t="array" ref="L251">_xlfn.IFS(J251&lt;13,"Child",J251&lt;18,"Teen",J251&lt;60,"Adult",J251&gt;60,"Old Age")</f>
        <v>Adult</v>
      </c>
      <c r="M251">
        <v>1</v>
      </c>
      <c r="N251">
        <v>0</v>
      </c>
      <c r="O251">
        <f t="shared" si="19"/>
        <v>2</v>
      </c>
      <c r="P251">
        <v>26</v>
      </c>
      <c r="Q251" t="str">
        <f t="shared" si="15"/>
        <v>High</v>
      </c>
      <c r="R251" t="s">
        <v>1514</v>
      </c>
    </row>
    <row r="252" spans="1:18" x14ac:dyDescent="0.45">
      <c r="A252">
        <v>251</v>
      </c>
      <c r="B252">
        <v>0</v>
      </c>
      <c r="C252" t="str">
        <f t="shared" si="16"/>
        <v>Not Survived</v>
      </c>
      <c r="D252">
        <v>3</v>
      </c>
      <c r="E252" t="s">
        <v>978</v>
      </c>
      <c r="F252" t="s">
        <v>722</v>
      </c>
      <c r="G252" t="s">
        <v>274</v>
      </c>
      <c r="H252" t="s">
        <v>9</v>
      </c>
      <c r="I252" t="str">
        <f t="shared" si="17"/>
        <v>Male</v>
      </c>
      <c r="J252">
        <v>28</v>
      </c>
      <c r="K252" t="str">
        <f t="shared" si="18"/>
        <v>Adult</v>
      </c>
      <c r="L252" t="str" cm="1">
        <f t="array" ref="L252">_xlfn.IFS(J252&lt;13,"Child",J252&lt;18,"Teen",J252&lt;60,"Adult",J252&gt;60,"Old Age")</f>
        <v>Adult</v>
      </c>
      <c r="M252">
        <v>0</v>
      </c>
      <c r="N252">
        <v>0</v>
      </c>
      <c r="O252">
        <f t="shared" si="19"/>
        <v>1</v>
      </c>
      <c r="P252">
        <v>7.25</v>
      </c>
      <c r="Q252" t="str">
        <f t="shared" si="15"/>
        <v>High</v>
      </c>
      <c r="R252" t="s">
        <v>1514</v>
      </c>
    </row>
    <row r="253" spans="1:18" x14ac:dyDescent="0.45">
      <c r="A253">
        <v>252</v>
      </c>
      <c r="B253">
        <v>0</v>
      </c>
      <c r="C253" t="str">
        <f t="shared" si="16"/>
        <v>Not Survived</v>
      </c>
      <c r="D253">
        <v>3</v>
      </c>
      <c r="E253" t="s">
        <v>979</v>
      </c>
      <c r="F253" t="s">
        <v>723</v>
      </c>
      <c r="G253" t="s">
        <v>236</v>
      </c>
      <c r="H253" t="s">
        <v>10</v>
      </c>
      <c r="I253" t="str">
        <f t="shared" si="17"/>
        <v>Female</v>
      </c>
      <c r="J253">
        <v>29</v>
      </c>
      <c r="K253" t="str">
        <f t="shared" si="18"/>
        <v>Adult</v>
      </c>
      <c r="L253" t="str" cm="1">
        <f t="array" ref="L253">_xlfn.IFS(J253&lt;13,"Child",J253&lt;18,"Teen",J253&lt;60,"Adult",J253&gt;60,"Old Age")</f>
        <v>Adult</v>
      </c>
      <c r="M253">
        <v>1</v>
      </c>
      <c r="N253">
        <v>1</v>
      </c>
      <c r="O253">
        <f t="shared" si="19"/>
        <v>3</v>
      </c>
      <c r="P253" t="s">
        <v>29</v>
      </c>
      <c r="Q253" t="str">
        <f t="shared" si="15"/>
        <v>High</v>
      </c>
      <c r="R253" t="s">
        <v>1514</v>
      </c>
    </row>
    <row r="254" spans="1:18" x14ac:dyDescent="0.45">
      <c r="A254">
        <v>253</v>
      </c>
      <c r="B254">
        <v>0</v>
      </c>
      <c r="C254" t="str">
        <f t="shared" si="16"/>
        <v>Not Survived</v>
      </c>
      <c r="D254">
        <v>1</v>
      </c>
      <c r="E254" t="s">
        <v>980</v>
      </c>
      <c r="F254" t="s">
        <v>722</v>
      </c>
      <c r="G254" t="s">
        <v>275</v>
      </c>
      <c r="H254" t="s">
        <v>9</v>
      </c>
      <c r="I254" t="str">
        <f t="shared" si="17"/>
        <v>Male</v>
      </c>
      <c r="J254">
        <v>62</v>
      </c>
      <c r="K254" t="str">
        <f t="shared" si="18"/>
        <v>Old Age</v>
      </c>
      <c r="L254" t="str" cm="1">
        <f t="array" ref="L254">_xlfn.IFS(J254&lt;13,"Child",J254&lt;18,"Teen",J254&lt;60,"Adult",J254&gt;60,"Old Age")</f>
        <v>Old Age</v>
      </c>
      <c r="M254">
        <v>0</v>
      </c>
      <c r="N254">
        <v>0</v>
      </c>
      <c r="O254">
        <f t="shared" si="19"/>
        <v>1</v>
      </c>
      <c r="P254">
        <v>26.55</v>
      </c>
      <c r="Q254" t="str">
        <f t="shared" si="15"/>
        <v>High</v>
      </c>
      <c r="R254" t="s">
        <v>1514</v>
      </c>
    </row>
    <row r="255" spans="1:18" x14ac:dyDescent="0.45">
      <c r="A255">
        <v>254</v>
      </c>
      <c r="B255">
        <v>0</v>
      </c>
      <c r="C255" t="str">
        <f t="shared" si="16"/>
        <v>Not Survived</v>
      </c>
      <c r="D255">
        <v>3</v>
      </c>
      <c r="E255" t="s">
        <v>981</v>
      </c>
      <c r="F255" t="s">
        <v>722</v>
      </c>
      <c r="G255" t="s">
        <v>276</v>
      </c>
      <c r="H255" t="s">
        <v>9</v>
      </c>
      <c r="I255" t="str">
        <f t="shared" si="17"/>
        <v>Male</v>
      </c>
      <c r="J255">
        <v>30</v>
      </c>
      <c r="K255" t="str">
        <f t="shared" si="18"/>
        <v>Adult</v>
      </c>
      <c r="L255" t="str" cm="1">
        <f t="array" ref="L255">_xlfn.IFS(J255&lt;13,"Child",J255&lt;18,"Teen",J255&lt;60,"Adult",J255&gt;60,"Old Age")</f>
        <v>Adult</v>
      </c>
      <c r="M255">
        <v>1</v>
      </c>
      <c r="N255">
        <v>0</v>
      </c>
      <c r="O255">
        <f t="shared" si="19"/>
        <v>2</v>
      </c>
      <c r="P255">
        <v>16.100000000000001</v>
      </c>
      <c r="Q255" t="str">
        <f t="shared" si="15"/>
        <v>High</v>
      </c>
      <c r="R255" t="s">
        <v>1514</v>
      </c>
    </row>
    <row r="256" spans="1:18" x14ac:dyDescent="0.45">
      <c r="A256">
        <v>255</v>
      </c>
      <c r="B256">
        <v>0</v>
      </c>
      <c r="C256" t="str">
        <f t="shared" si="16"/>
        <v>Not Survived</v>
      </c>
      <c r="D256">
        <v>3</v>
      </c>
      <c r="E256" t="s">
        <v>982</v>
      </c>
      <c r="F256" t="s">
        <v>723</v>
      </c>
      <c r="G256" t="s">
        <v>277</v>
      </c>
      <c r="H256" t="s">
        <v>10</v>
      </c>
      <c r="I256" t="str">
        <f t="shared" si="17"/>
        <v>Female</v>
      </c>
      <c r="J256">
        <v>41</v>
      </c>
      <c r="K256" t="str">
        <f t="shared" si="18"/>
        <v>Adult</v>
      </c>
      <c r="L256" t="str" cm="1">
        <f t="array" ref="L256">_xlfn.IFS(J256&lt;13,"Child",J256&lt;18,"Teen",J256&lt;60,"Adult",J256&gt;60,"Old Age")</f>
        <v>Adult</v>
      </c>
      <c r="M256">
        <v>0</v>
      </c>
      <c r="N256">
        <v>2</v>
      </c>
      <c r="O256">
        <f t="shared" si="19"/>
        <v>3</v>
      </c>
      <c r="P256" t="s">
        <v>30</v>
      </c>
      <c r="Q256" t="str">
        <f t="shared" si="15"/>
        <v>High</v>
      </c>
      <c r="R256" t="s">
        <v>1514</v>
      </c>
    </row>
    <row r="257" spans="1:18" x14ac:dyDescent="0.45">
      <c r="A257">
        <v>256</v>
      </c>
      <c r="B257">
        <v>1</v>
      </c>
      <c r="C257" t="str">
        <f t="shared" si="16"/>
        <v>Survived</v>
      </c>
      <c r="D257">
        <v>3</v>
      </c>
      <c r="E257" t="s">
        <v>983</v>
      </c>
      <c r="F257" t="s">
        <v>723</v>
      </c>
      <c r="G257" t="s">
        <v>278</v>
      </c>
      <c r="H257" t="s">
        <v>10</v>
      </c>
      <c r="I257" t="str">
        <f t="shared" si="17"/>
        <v>Female</v>
      </c>
      <c r="J257">
        <v>29</v>
      </c>
      <c r="K257" t="str">
        <f t="shared" si="18"/>
        <v>Adult</v>
      </c>
      <c r="L257" t="str" cm="1">
        <f t="array" ref="L257">_xlfn.IFS(J257&lt;13,"Child",J257&lt;18,"Teen",J257&lt;60,"Adult",J257&gt;60,"Old Age")</f>
        <v>Adult</v>
      </c>
      <c r="M257">
        <v>0</v>
      </c>
      <c r="N257">
        <v>2</v>
      </c>
      <c r="O257">
        <f t="shared" si="19"/>
        <v>3</v>
      </c>
      <c r="P257">
        <v>15.245799999999999</v>
      </c>
      <c r="Q257" t="str">
        <f t="shared" si="15"/>
        <v>High</v>
      </c>
      <c r="R257" t="s">
        <v>1515</v>
      </c>
    </row>
    <row r="258" spans="1:18" x14ac:dyDescent="0.45">
      <c r="A258">
        <v>257</v>
      </c>
      <c r="B258">
        <v>1</v>
      </c>
      <c r="C258" t="str">
        <f t="shared" si="16"/>
        <v>Survived</v>
      </c>
      <c r="D258">
        <v>1</v>
      </c>
      <c r="E258" t="s">
        <v>984</v>
      </c>
      <c r="F258" t="s">
        <v>723</v>
      </c>
      <c r="G258" t="s">
        <v>279</v>
      </c>
      <c r="H258" t="s">
        <v>10</v>
      </c>
      <c r="I258" t="str">
        <f t="shared" si="17"/>
        <v>Female</v>
      </c>
      <c r="J258">
        <v>28</v>
      </c>
      <c r="K258" t="str">
        <f t="shared" si="18"/>
        <v>Adult</v>
      </c>
      <c r="L258" t="str" cm="1">
        <f t="array" ref="L258">_xlfn.IFS(J258&lt;13,"Child",J258&lt;18,"Teen",J258&lt;60,"Adult",J258&gt;60,"Old Age")</f>
        <v>Adult</v>
      </c>
      <c r="M258">
        <v>0</v>
      </c>
      <c r="N258">
        <v>0</v>
      </c>
      <c r="O258">
        <f t="shared" si="19"/>
        <v>1</v>
      </c>
      <c r="P258">
        <v>79.2</v>
      </c>
      <c r="Q258" t="str">
        <f t="shared" ref="Q258:Q321" si="20">IF(A258&lt;=10,"Low",IF(A258&lt;=50,"Medium","High"))</f>
        <v>High</v>
      </c>
      <c r="R258" t="s">
        <v>1515</v>
      </c>
    </row>
    <row r="259" spans="1:18" x14ac:dyDescent="0.45">
      <c r="A259">
        <v>258</v>
      </c>
      <c r="B259">
        <v>1</v>
      </c>
      <c r="C259" t="str">
        <f t="shared" ref="C259:C322" si="21">IF(B259 = 0, "Not Survived","Survived")</f>
        <v>Survived</v>
      </c>
      <c r="D259">
        <v>1</v>
      </c>
      <c r="E259" t="s">
        <v>985</v>
      </c>
      <c r="F259" t="s">
        <v>724</v>
      </c>
      <c r="G259" t="s">
        <v>280</v>
      </c>
      <c r="H259" t="s">
        <v>10</v>
      </c>
      <c r="I259" t="str">
        <f t="shared" ref="I259:I322" si="22">PROPER(H259)</f>
        <v>Female</v>
      </c>
      <c r="J259">
        <v>30</v>
      </c>
      <c r="K259" t="str">
        <f t="shared" ref="K259:K322" si="23">IF(J259&lt;13,"Child",IF(J259&lt;18,"Teen",IF(J259&lt;60,"Adult","Old Age")))</f>
        <v>Adult</v>
      </c>
      <c r="L259" t="str" cm="1">
        <f t="array" ref="L259">_xlfn.IFS(J259&lt;13,"Child",J259&lt;18,"Teen",J259&lt;60,"Adult",J259&gt;60,"Old Age")</f>
        <v>Adult</v>
      </c>
      <c r="M259">
        <v>0</v>
      </c>
      <c r="N259">
        <v>0</v>
      </c>
      <c r="O259">
        <f t="shared" ref="O259:O322" si="24">M259+N259+1</f>
        <v>1</v>
      </c>
      <c r="P259">
        <v>86.5</v>
      </c>
      <c r="Q259" t="str">
        <f t="shared" si="20"/>
        <v>High</v>
      </c>
      <c r="R259" t="s">
        <v>1514</v>
      </c>
    </row>
    <row r="260" spans="1:18" x14ac:dyDescent="0.45">
      <c r="A260">
        <v>259</v>
      </c>
      <c r="B260">
        <v>1</v>
      </c>
      <c r="C260" t="str">
        <f t="shared" si="21"/>
        <v>Survived</v>
      </c>
      <c r="D260">
        <v>1</v>
      </c>
      <c r="E260" t="s">
        <v>863</v>
      </c>
      <c r="F260" t="s">
        <v>724</v>
      </c>
      <c r="G260" t="s">
        <v>281</v>
      </c>
      <c r="H260" t="s">
        <v>10</v>
      </c>
      <c r="I260" t="str">
        <f t="shared" si="22"/>
        <v>Female</v>
      </c>
      <c r="J260">
        <v>35</v>
      </c>
      <c r="K260" t="str">
        <f t="shared" si="23"/>
        <v>Adult</v>
      </c>
      <c r="L260" t="str" cm="1">
        <f t="array" ref="L260">_xlfn.IFS(J260&lt;13,"Child",J260&lt;18,"Teen",J260&lt;60,"Adult",J260&gt;60,"Old Age")</f>
        <v>Adult</v>
      </c>
      <c r="M260">
        <v>0</v>
      </c>
      <c r="N260">
        <v>0</v>
      </c>
      <c r="O260">
        <f t="shared" si="24"/>
        <v>1</v>
      </c>
      <c r="P260">
        <v>512.32920000000001</v>
      </c>
      <c r="Q260" t="str">
        <f t="shared" si="20"/>
        <v>High</v>
      </c>
      <c r="R260" t="s">
        <v>1515</v>
      </c>
    </row>
    <row r="261" spans="1:18" x14ac:dyDescent="0.45">
      <c r="A261">
        <v>260</v>
      </c>
      <c r="B261">
        <v>1</v>
      </c>
      <c r="C261" t="str">
        <f t="shared" si="21"/>
        <v>Survived</v>
      </c>
      <c r="D261">
        <v>2</v>
      </c>
      <c r="E261" t="s">
        <v>753</v>
      </c>
      <c r="F261" t="s">
        <v>723</v>
      </c>
      <c r="G261" t="s">
        <v>282</v>
      </c>
      <c r="H261" t="s">
        <v>10</v>
      </c>
      <c r="I261" t="str">
        <f t="shared" si="22"/>
        <v>Female</v>
      </c>
      <c r="J261">
        <v>50</v>
      </c>
      <c r="K261" t="str">
        <f t="shared" si="23"/>
        <v>Adult</v>
      </c>
      <c r="L261" t="str" cm="1">
        <f t="array" ref="L261">_xlfn.IFS(J261&lt;13,"Child",J261&lt;18,"Teen",J261&lt;60,"Adult",J261&gt;60,"Old Age")</f>
        <v>Adult</v>
      </c>
      <c r="M261">
        <v>0</v>
      </c>
      <c r="N261">
        <v>1</v>
      </c>
      <c r="O261">
        <f t="shared" si="24"/>
        <v>2</v>
      </c>
      <c r="P261">
        <v>26</v>
      </c>
      <c r="Q261" t="str">
        <f t="shared" si="20"/>
        <v>High</v>
      </c>
      <c r="R261" t="s">
        <v>1514</v>
      </c>
    </row>
    <row r="262" spans="1:18" x14ac:dyDescent="0.45">
      <c r="A262">
        <v>261</v>
      </c>
      <c r="B262">
        <v>0</v>
      </c>
      <c r="C262" t="str">
        <f t="shared" si="21"/>
        <v>Not Survived</v>
      </c>
      <c r="D262">
        <v>3</v>
      </c>
      <c r="E262" t="s">
        <v>986</v>
      </c>
      <c r="F262" t="s">
        <v>722</v>
      </c>
      <c r="G262" t="s">
        <v>210</v>
      </c>
      <c r="H262" t="s">
        <v>9</v>
      </c>
      <c r="I262" t="str">
        <f t="shared" si="22"/>
        <v>Male</v>
      </c>
      <c r="J262">
        <v>28</v>
      </c>
      <c r="K262" t="str">
        <f t="shared" si="23"/>
        <v>Adult</v>
      </c>
      <c r="L262" t="str" cm="1">
        <f t="array" ref="L262">_xlfn.IFS(J262&lt;13,"Child",J262&lt;18,"Teen",J262&lt;60,"Adult",J262&gt;60,"Old Age")</f>
        <v>Adult</v>
      </c>
      <c r="M262">
        <v>0</v>
      </c>
      <c r="N262">
        <v>0</v>
      </c>
      <c r="O262">
        <f t="shared" si="24"/>
        <v>1</v>
      </c>
      <c r="P262">
        <v>7.75</v>
      </c>
      <c r="Q262" t="str">
        <f t="shared" si="20"/>
        <v>High</v>
      </c>
      <c r="R262" t="s">
        <v>1516</v>
      </c>
    </row>
    <row r="263" spans="1:18" x14ac:dyDescent="0.45">
      <c r="A263">
        <v>262</v>
      </c>
      <c r="B263">
        <v>1</v>
      </c>
      <c r="C263" t="str">
        <f t="shared" si="21"/>
        <v>Survived</v>
      </c>
      <c r="D263">
        <v>3</v>
      </c>
      <c r="E263" t="s">
        <v>987</v>
      </c>
      <c r="F263" t="s">
        <v>725</v>
      </c>
      <c r="G263" t="s">
        <v>79</v>
      </c>
      <c r="H263" t="s">
        <v>9</v>
      </c>
      <c r="I263" t="str">
        <f t="shared" si="22"/>
        <v>Male</v>
      </c>
      <c r="J263">
        <v>3</v>
      </c>
      <c r="K263" t="str">
        <f t="shared" si="23"/>
        <v>Child</v>
      </c>
      <c r="L263" t="str" cm="1">
        <f t="array" ref="L263">_xlfn.IFS(J263&lt;13,"Child",J263&lt;18,"Teen",J263&lt;60,"Adult",J263&gt;60,"Old Age")</f>
        <v>Child</v>
      </c>
      <c r="M263">
        <v>4</v>
      </c>
      <c r="N263">
        <v>2</v>
      </c>
      <c r="O263">
        <f t="shared" si="24"/>
        <v>7</v>
      </c>
      <c r="P263">
        <v>31.387499999999999</v>
      </c>
      <c r="Q263" t="str">
        <f t="shared" si="20"/>
        <v>High</v>
      </c>
      <c r="R263" t="s">
        <v>1514</v>
      </c>
    </row>
    <row r="264" spans="1:18" x14ac:dyDescent="0.45">
      <c r="A264">
        <v>263</v>
      </c>
      <c r="B264">
        <v>0</v>
      </c>
      <c r="C264" t="str">
        <f t="shared" si="21"/>
        <v>Not Survived</v>
      </c>
      <c r="D264">
        <v>1</v>
      </c>
      <c r="E264" t="s">
        <v>826</v>
      </c>
      <c r="F264" t="s">
        <v>722</v>
      </c>
      <c r="G264" t="s">
        <v>283</v>
      </c>
      <c r="H264" t="s">
        <v>9</v>
      </c>
      <c r="I264" t="str">
        <f t="shared" si="22"/>
        <v>Male</v>
      </c>
      <c r="J264">
        <v>52</v>
      </c>
      <c r="K264" t="str">
        <f t="shared" si="23"/>
        <v>Adult</v>
      </c>
      <c r="L264" t="str" cm="1">
        <f t="array" ref="L264">_xlfn.IFS(J264&lt;13,"Child",J264&lt;18,"Teen",J264&lt;60,"Adult",J264&gt;60,"Old Age")</f>
        <v>Adult</v>
      </c>
      <c r="M264">
        <v>1</v>
      </c>
      <c r="N264">
        <v>1</v>
      </c>
      <c r="O264">
        <f t="shared" si="24"/>
        <v>3</v>
      </c>
      <c r="P264">
        <v>79.650000000000006</v>
      </c>
      <c r="Q264" t="str">
        <f t="shared" si="20"/>
        <v>High</v>
      </c>
      <c r="R264" t="s">
        <v>1514</v>
      </c>
    </row>
    <row r="265" spans="1:18" x14ac:dyDescent="0.45">
      <c r="A265">
        <v>264</v>
      </c>
      <c r="B265">
        <v>0</v>
      </c>
      <c r="C265" t="str">
        <f t="shared" si="21"/>
        <v>Not Survived</v>
      </c>
      <c r="D265">
        <v>1</v>
      </c>
      <c r="E265" t="s">
        <v>922</v>
      </c>
      <c r="F265" t="s">
        <v>722</v>
      </c>
      <c r="G265" t="s">
        <v>284</v>
      </c>
      <c r="H265" t="s">
        <v>9</v>
      </c>
      <c r="I265" t="str">
        <f t="shared" si="22"/>
        <v>Male</v>
      </c>
      <c r="J265">
        <v>40</v>
      </c>
      <c r="K265" t="str">
        <f t="shared" si="23"/>
        <v>Adult</v>
      </c>
      <c r="L265" t="str" cm="1">
        <f t="array" ref="L265">_xlfn.IFS(J265&lt;13,"Child",J265&lt;18,"Teen",J265&lt;60,"Adult",J265&gt;60,"Old Age")</f>
        <v>Adult</v>
      </c>
      <c r="M265">
        <v>0</v>
      </c>
      <c r="N265">
        <v>0</v>
      </c>
      <c r="O265">
        <f t="shared" si="24"/>
        <v>1</v>
      </c>
      <c r="P265">
        <v>14.4542</v>
      </c>
      <c r="Q265" t="str">
        <f t="shared" si="20"/>
        <v>High</v>
      </c>
      <c r="R265" t="s">
        <v>1514</v>
      </c>
    </row>
    <row r="266" spans="1:18" x14ac:dyDescent="0.45">
      <c r="A266">
        <v>265</v>
      </c>
      <c r="B266">
        <v>0</v>
      </c>
      <c r="C266" t="str">
        <f t="shared" si="21"/>
        <v>Not Survived</v>
      </c>
      <c r="D266">
        <v>3</v>
      </c>
      <c r="E266" t="s">
        <v>988</v>
      </c>
      <c r="F266" t="s">
        <v>724</v>
      </c>
      <c r="G266" t="s">
        <v>285</v>
      </c>
      <c r="H266" t="s">
        <v>10</v>
      </c>
      <c r="I266" t="str">
        <f t="shared" si="22"/>
        <v>Female</v>
      </c>
      <c r="J266">
        <v>28</v>
      </c>
      <c r="K266" t="str">
        <f t="shared" si="23"/>
        <v>Adult</v>
      </c>
      <c r="L266" t="str" cm="1">
        <f t="array" ref="L266">_xlfn.IFS(J266&lt;13,"Child",J266&lt;18,"Teen",J266&lt;60,"Adult",J266&gt;60,"Old Age")</f>
        <v>Adult</v>
      </c>
      <c r="M266">
        <v>0</v>
      </c>
      <c r="N266">
        <v>0</v>
      </c>
      <c r="O266">
        <f t="shared" si="24"/>
        <v>1</v>
      </c>
      <c r="P266">
        <v>7.75</v>
      </c>
      <c r="Q266" t="str">
        <f t="shared" si="20"/>
        <v>High</v>
      </c>
      <c r="R266" t="s">
        <v>1516</v>
      </c>
    </row>
    <row r="267" spans="1:18" x14ac:dyDescent="0.45">
      <c r="A267">
        <v>266</v>
      </c>
      <c r="B267">
        <v>0</v>
      </c>
      <c r="C267" t="str">
        <f t="shared" si="21"/>
        <v>Not Survived</v>
      </c>
      <c r="D267">
        <v>2</v>
      </c>
      <c r="E267" t="s">
        <v>989</v>
      </c>
      <c r="F267" t="s">
        <v>722</v>
      </c>
      <c r="G267" t="s">
        <v>286</v>
      </c>
      <c r="H267" t="s">
        <v>9</v>
      </c>
      <c r="I267" t="str">
        <f t="shared" si="22"/>
        <v>Male</v>
      </c>
      <c r="J267">
        <v>36</v>
      </c>
      <c r="K267" t="str">
        <f t="shared" si="23"/>
        <v>Adult</v>
      </c>
      <c r="L267" t="str" cm="1">
        <f t="array" ref="L267">_xlfn.IFS(J267&lt;13,"Child",J267&lt;18,"Teen",J267&lt;60,"Adult",J267&gt;60,"Old Age")</f>
        <v>Adult</v>
      </c>
      <c r="M267">
        <v>0</v>
      </c>
      <c r="N267">
        <v>0</v>
      </c>
      <c r="O267">
        <f t="shared" si="24"/>
        <v>1</v>
      </c>
      <c r="P267" t="s">
        <v>18</v>
      </c>
      <c r="Q267" t="str">
        <f t="shared" si="20"/>
        <v>High</v>
      </c>
      <c r="R267" t="s">
        <v>1514</v>
      </c>
    </row>
    <row r="268" spans="1:18" x14ac:dyDescent="0.45">
      <c r="A268">
        <v>267</v>
      </c>
      <c r="B268">
        <v>0</v>
      </c>
      <c r="C268" t="str">
        <f t="shared" si="21"/>
        <v>Not Survived</v>
      </c>
      <c r="D268">
        <v>3</v>
      </c>
      <c r="E268" t="s">
        <v>990</v>
      </c>
      <c r="F268" t="s">
        <v>722</v>
      </c>
      <c r="G268" t="s">
        <v>103</v>
      </c>
      <c r="H268" t="s">
        <v>9</v>
      </c>
      <c r="I268" t="str">
        <f t="shared" si="22"/>
        <v>Male</v>
      </c>
      <c r="J268">
        <v>16</v>
      </c>
      <c r="K268" t="str">
        <f t="shared" si="23"/>
        <v>Teen</v>
      </c>
      <c r="L268" t="str" cm="1">
        <f t="array" ref="L268">_xlfn.IFS(J268&lt;13,"Child",J268&lt;18,"Teen",J268&lt;60,"Adult",J268&gt;60,"Old Age")</f>
        <v>Teen</v>
      </c>
      <c r="M268">
        <v>4</v>
      </c>
      <c r="N268">
        <v>1</v>
      </c>
      <c r="O268">
        <f t="shared" si="24"/>
        <v>6</v>
      </c>
      <c r="P268">
        <v>39.6875</v>
      </c>
      <c r="Q268" t="str">
        <f t="shared" si="20"/>
        <v>High</v>
      </c>
      <c r="R268" t="s">
        <v>1514</v>
      </c>
    </row>
    <row r="269" spans="1:18" x14ac:dyDescent="0.45">
      <c r="A269">
        <v>268</v>
      </c>
      <c r="B269">
        <v>1</v>
      </c>
      <c r="C269" t="str">
        <f t="shared" si="21"/>
        <v>Survived</v>
      </c>
      <c r="D269">
        <v>3</v>
      </c>
      <c r="E269" t="s">
        <v>991</v>
      </c>
      <c r="F269" t="s">
        <v>722</v>
      </c>
      <c r="G269" t="s">
        <v>287</v>
      </c>
      <c r="H269" t="s">
        <v>9</v>
      </c>
      <c r="I269" t="str">
        <f t="shared" si="22"/>
        <v>Male</v>
      </c>
      <c r="J269">
        <v>25</v>
      </c>
      <c r="K269" t="str">
        <f t="shared" si="23"/>
        <v>Adult</v>
      </c>
      <c r="L269" t="str" cm="1">
        <f t="array" ref="L269">_xlfn.IFS(J269&lt;13,"Child",J269&lt;18,"Teen",J269&lt;60,"Adult",J269&gt;60,"Old Age")</f>
        <v>Adult</v>
      </c>
      <c r="M269">
        <v>1</v>
      </c>
      <c r="N269">
        <v>0</v>
      </c>
      <c r="O269">
        <f t="shared" si="24"/>
        <v>2</v>
      </c>
      <c r="P269">
        <v>7.7750000000000004</v>
      </c>
      <c r="Q269" t="str">
        <f t="shared" si="20"/>
        <v>High</v>
      </c>
      <c r="R269" t="s">
        <v>1514</v>
      </c>
    </row>
    <row r="270" spans="1:18" x14ac:dyDescent="0.45">
      <c r="A270">
        <v>269</v>
      </c>
      <c r="B270">
        <v>1</v>
      </c>
      <c r="C270" t="str">
        <f t="shared" si="21"/>
        <v>Survived</v>
      </c>
      <c r="D270">
        <v>1</v>
      </c>
      <c r="E270" t="s">
        <v>992</v>
      </c>
      <c r="F270" t="s">
        <v>723</v>
      </c>
      <c r="G270" t="s">
        <v>288</v>
      </c>
      <c r="H270" t="s">
        <v>10</v>
      </c>
      <c r="I270" t="str">
        <f t="shared" si="22"/>
        <v>Female</v>
      </c>
      <c r="J270">
        <v>58</v>
      </c>
      <c r="K270" t="str">
        <f t="shared" si="23"/>
        <v>Adult</v>
      </c>
      <c r="L270" t="str" cm="1">
        <f t="array" ref="L270">_xlfn.IFS(J270&lt;13,"Child",J270&lt;18,"Teen",J270&lt;60,"Adult",J270&gt;60,"Old Age")</f>
        <v>Adult</v>
      </c>
      <c r="M270">
        <v>0</v>
      </c>
      <c r="N270">
        <v>1</v>
      </c>
      <c r="O270">
        <f t="shared" si="24"/>
        <v>2</v>
      </c>
      <c r="P270">
        <v>153.46250000000001</v>
      </c>
      <c r="Q270" t="str">
        <f t="shared" si="20"/>
        <v>High</v>
      </c>
      <c r="R270" t="s">
        <v>1514</v>
      </c>
    </row>
    <row r="271" spans="1:18" x14ac:dyDescent="0.45">
      <c r="A271">
        <v>270</v>
      </c>
      <c r="B271">
        <v>1</v>
      </c>
      <c r="C271" t="str">
        <f t="shared" si="21"/>
        <v>Survived</v>
      </c>
      <c r="D271">
        <v>1</v>
      </c>
      <c r="E271" t="s">
        <v>993</v>
      </c>
      <c r="F271" t="s">
        <v>724</v>
      </c>
      <c r="G271" t="s">
        <v>289</v>
      </c>
      <c r="H271" t="s">
        <v>10</v>
      </c>
      <c r="I271" t="str">
        <f t="shared" si="22"/>
        <v>Female</v>
      </c>
      <c r="J271">
        <v>35</v>
      </c>
      <c r="K271" t="str">
        <f t="shared" si="23"/>
        <v>Adult</v>
      </c>
      <c r="L271" t="str" cm="1">
        <f t="array" ref="L271">_xlfn.IFS(J271&lt;13,"Child",J271&lt;18,"Teen",J271&lt;60,"Adult",J271&gt;60,"Old Age")</f>
        <v>Adult</v>
      </c>
      <c r="M271">
        <v>0</v>
      </c>
      <c r="N271">
        <v>0</v>
      </c>
      <c r="O271">
        <f t="shared" si="24"/>
        <v>1</v>
      </c>
      <c r="P271">
        <v>135.63329999999999</v>
      </c>
      <c r="Q271" t="str">
        <f t="shared" si="20"/>
        <v>High</v>
      </c>
      <c r="R271" t="s">
        <v>1514</v>
      </c>
    </row>
    <row r="272" spans="1:18" x14ac:dyDescent="0.45">
      <c r="A272">
        <v>271</v>
      </c>
      <c r="B272">
        <v>0</v>
      </c>
      <c r="C272" t="str">
        <f t="shared" si="21"/>
        <v>Not Survived</v>
      </c>
      <c r="D272">
        <v>1</v>
      </c>
      <c r="E272" t="s">
        <v>994</v>
      </c>
      <c r="F272" t="s">
        <v>722</v>
      </c>
      <c r="G272" t="s">
        <v>290</v>
      </c>
      <c r="H272" t="s">
        <v>9</v>
      </c>
      <c r="I272" t="str">
        <f t="shared" si="22"/>
        <v>Male</v>
      </c>
      <c r="J272">
        <v>28</v>
      </c>
      <c r="K272" t="str">
        <f t="shared" si="23"/>
        <v>Adult</v>
      </c>
      <c r="L272" t="str" cm="1">
        <f t="array" ref="L272">_xlfn.IFS(J272&lt;13,"Child",J272&lt;18,"Teen",J272&lt;60,"Adult",J272&gt;60,"Old Age")</f>
        <v>Adult</v>
      </c>
      <c r="M272">
        <v>0</v>
      </c>
      <c r="N272">
        <v>0</v>
      </c>
      <c r="O272">
        <f t="shared" si="24"/>
        <v>1</v>
      </c>
      <c r="P272">
        <v>31</v>
      </c>
      <c r="Q272" t="str">
        <f t="shared" si="20"/>
        <v>High</v>
      </c>
      <c r="R272" t="s">
        <v>1514</v>
      </c>
    </row>
    <row r="273" spans="1:18" x14ac:dyDescent="0.45">
      <c r="A273">
        <v>272</v>
      </c>
      <c r="B273">
        <v>1</v>
      </c>
      <c r="C273" t="str">
        <f t="shared" si="21"/>
        <v>Survived</v>
      </c>
      <c r="D273">
        <v>3</v>
      </c>
      <c r="E273" t="s">
        <v>743</v>
      </c>
      <c r="F273" t="s">
        <v>722</v>
      </c>
      <c r="G273" t="s">
        <v>291</v>
      </c>
      <c r="H273" t="s">
        <v>9</v>
      </c>
      <c r="I273" t="str">
        <f t="shared" si="22"/>
        <v>Male</v>
      </c>
      <c r="J273">
        <v>25</v>
      </c>
      <c r="K273" t="str">
        <f t="shared" si="23"/>
        <v>Adult</v>
      </c>
      <c r="L273" t="str" cm="1">
        <f t="array" ref="L273">_xlfn.IFS(J273&lt;13,"Child",J273&lt;18,"Teen",J273&lt;60,"Adult",J273&gt;60,"Old Age")</f>
        <v>Adult</v>
      </c>
      <c r="M273">
        <v>0</v>
      </c>
      <c r="N273">
        <v>0</v>
      </c>
      <c r="O273">
        <f t="shared" si="24"/>
        <v>1</v>
      </c>
      <c r="P273">
        <v>14.4542</v>
      </c>
      <c r="Q273" t="str">
        <f t="shared" si="20"/>
        <v>High</v>
      </c>
      <c r="R273" t="s">
        <v>1514</v>
      </c>
    </row>
    <row r="274" spans="1:18" x14ac:dyDescent="0.45">
      <c r="A274">
        <v>273</v>
      </c>
      <c r="B274">
        <v>1</v>
      </c>
      <c r="C274" t="str">
        <f t="shared" si="21"/>
        <v>Survived</v>
      </c>
      <c r="D274">
        <v>2</v>
      </c>
      <c r="E274" t="s">
        <v>753</v>
      </c>
      <c r="F274" t="s">
        <v>723</v>
      </c>
      <c r="G274" t="s">
        <v>292</v>
      </c>
      <c r="H274" t="s">
        <v>10</v>
      </c>
      <c r="I274" t="str">
        <f t="shared" si="22"/>
        <v>Female</v>
      </c>
      <c r="J274">
        <v>41</v>
      </c>
      <c r="K274" t="str">
        <f t="shared" si="23"/>
        <v>Adult</v>
      </c>
      <c r="L274" t="str" cm="1">
        <f t="array" ref="L274">_xlfn.IFS(J274&lt;13,"Child",J274&lt;18,"Teen",J274&lt;60,"Adult",J274&gt;60,"Old Age")</f>
        <v>Adult</v>
      </c>
      <c r="M274">
        <v>0</v>
      </c>
      <c r="N274">
        <v>1</v>
      </c>
      <c r="O274">
        <f t="shared" si="24"/>
        <v>2</v>
      </c>
      <c r="P274">
        <v>19.5</v>
      </c>
      <c r="Q274" t="str">
        <f t="shared" si="20"/>
        <v>High</v>
      </c>
      <c r="R274" t="s">
        <v>1514</v>
      </c>
    </row>
    <row r="275" spans="1:18" x14ac:dyDescent="0.45">
      <c r="A275">
        <v>274</v>
      </c>
      <c r="B275">
        <v>0</v>
      </c>
      <c r="C275" t="str">
        <f t="shared" si="21"/>
        <v>Not Survived</v>
      </c>
      <c r="D275">
        <v>1</v>
      </c>
      <c r="E275" t="s">
        <v>995</v>
      </c>
      <c r="F275" t="s">
        <v>722</v>
      </c>
      <c r="G275" t="s">
        <v>293</v>
      </c>
      <c r="H275" t="s">
        <v>9</v>
      </c>
      <c r="I275" t="str">
        <f t="shared" si="22"/>
        <v>Male</v>
      </c>
      <c r="J275">
        <v>37</v>
      </c>
      <c r="K275" t="str">
        <f t="shared" si="23"/>
        <v>Adult</v>
      </c>
      <c r="L275" t="str" cm="1">
        <f t="array" ref="L275">_xlfn.IFS(J275&lt;13,"Child",J275&lt;18,"Teen",J275&lt;60,"Adult",J275&gt;60,"Old Age")</f>
        <v>Adult</v>
      </c>
      <c r="M275">
        <v>0</v>
      </c>
      <c r="N275">
        <v>1</v>
      </c>
      <c r="O275">
        <f t="shared" si="24"/>
        <v>2</v>
      </c>
      <c r="P275">
        <v>29.7</v>
      </c>
      <c r="Q275" t="str">
        <f t="shared" si="20"/>
        <v>High</v>
      </c>
      <c r="R275" t="s">
        <v>1515</v>
      </c>
    </row>
    <row r="276" spans="1:18" x14ac:dyDescent="0.45">
      <c r="A276">
        <v>275</v>
      </c>
      <c r="B276">
        <v>1</v>
      </c>
      <c r="C276" t="str">
        <f t="shared" si="21"/>
        <v>Survived</v>
      </c>
      <c r="D276">
        <v>3</v>
      </c>
      <c r="E276" t="s">
        <v>996</v>
      </c>
      <c r="F276" t="s">
        <v>724</v>
      </c>
      <c r="G276" t="s">
        <v>294</v>
      </c>
      <c r="H276" t="s">
        <v>10</v>
      </c>
      <c r="I276" t="str">
        <f t="shared" si="22"/>
        <v>Female</v>
      </c>
      <c r="J276">
        <v>28</v>
      </c>
      <c r="K276" t="str">
        <f t="shared" si="23"/>
        <v>Adult</v>
      </c>
      <c r="L276" t="str" cm="1">
        <f t="array" ref="L276">_xlfn.IFS(J276&lt;13,"Child",J276&lt;18,"Teen",J276&lt;60,"Adult",J276&gt;60,"Old Age")</f>
        <v>Adult</v>
      </c>
      <c r="M276">
        <v>0</v>
      </c>
      <c r="N276">
        <v>0</v>
      </c>
      <c r="O276">
        <f t="shared" si="24"/>
        <v>1</v>
      </c>
      <c r="P276">
        <v>7.75</v>
      </c>
      <c r="Q276" t="str">
        <f t="shared" si="20"/>
        <v>High</v>
      </c>
      <c r="R276" t="s">
        <v>1516</v>
      </c>
    </row>
    <row r="277" spans="1:18" x14ac:dyDescent="0.45">
      <c r="A277">
        <v>276</v>
      </c>
      <c r="B277">
        <v>1</v>
      </c>
      <c r="C277" t="str">
        <f t="shared" si="21"/>
        <v>Survived</v>
      </c>
      <c r="D277">
        <v>1</v>
      </c>
      <c r="E277" t="s">
        <v>997</v>
      </c>
      <c r="F277" t="s">
        <v>724</v>
      </c>
      <c r="G277" t="s">
        <v>295</v>
      </c>
      <c r="H277" t="s">
        <v>10</v>
      </c>
      <c r="I277" t="str">
        <f t="shared" si="22"/>
        <v>Female</v>
      </c>
      <c r="J277">
        <v>63</v>
      </c>
      <c r="K277" t="str">
        <f t="shared" si="23"/>
        <v>Old Age</v>
      </c>
      <c r="L277" t="str" cm="1">
        <f t="array" ref="L277">_xlfn.IFS(J277&lt;13,"Child",J277&lt;18,"Teen",J277&lt;60,"Adult",J277&gt;60,"Old Age")</f>
        <v>Old Age</v>
      </c>
      <c r="M277">
        <v>1</v>
      </c>
      <c r="N277">
        <v>0</v>
      </c>
      <c r="O277">
        <f t="shared" si="24"/>
        <v>2</v>
      </c>
      <c r="P277">
        <v>77.958299999999994</v>
      </c>
      <c r="Q277" t="str">
        <f t="shared" si="20"/>
        <v>High</v>
      </c>
      <c r="R277" t="s">
        <v>1514</v>
      </c>
    </row>
    <row r="278" spans="1:18" x14ac:dyDescent="0.45">
      <c r="A278">
        <v>277</v>
      </c>
      <c r="B278">
        <v>0</v>
      </c>
      <c r="C278" t="str">
        <f t="shared" si="21"/>
        <v>Not Survived</v>
      </c>
      <c r="D278">
        <v>3</v>
      </c>
      <c r="E278" t="s">
        <v>998</v>
      </c>
      <c r="F278" t="s">
        <v>724</v>
      </c>
      <c r="G278" t="s">
        <v>296</v>
      </c>
      <c r="H278" t="s">
        <v>10</v>
      </c>
      <c r="I278" t="str">
        <f t="shared" si="22"/>
        <v>Female</v>
      </c>
      <c r="J278">
        <v>45</v>
      </c>
      <c r="K278" t="str">
        <f t="shared" si="23"/>
        <v>Adult</v>
      </c>
      <c r="L278" t="str" cm="1">
        <f t="array" ref="L278">_xlfn.IFS(J278&lt;13,"Child",J278&lt;18,"Teen",J278&lt;60,"Adult",J278&gt;60,"Old Age")</f>
        <v>Adult</v>
      </c>
      <c r="M278">
        <v>0</v>
      </c>
      <c r="N278">
        <v>0</v>
      </c>
      <c r="O278">
        <f t="shared" si="24"/>
        <v>1</v>
      </c>
      <c r="P278">
        <v>7.75</v>
      </c>
      <c r="Q278" t="str">
        <f t="shared" si="20"/>
        <v>High</v>
      </c>
      <c r="R278" t="s">
        <v>1514</v>
      </c>
    </row>
    <row r="279" spans="1:18" x14ac:dyDescent="0.45">
      <c r="A279">
        <v>278</v>
      </c>
      <c r="B279">
        <v>0</v>
      </c>
      <c r="C279" t="str">
        <f t="shared" si="21"/>
        <v>Not Survived</v>
      </c>
      <c r="D279">
        <v>2</v>
      </c>
      <c r="E279" t="s">
        <v>999</v>
      </c>
      <c r="F279" t="s">
        <v>722</v>
      </c>
      <c r="G279" t="s">
        <v>297</v>
      </c>
      <c r="H279" t="s">
        <v>9</v>
      </c>
      <c r="I279" t="str">
        <f t="shared" si="22"/>
        <v>Male</v>
      </c>
      <c r="J279">
        <v>28</v>
      </c>
      <c r="K279" t="str">
        <f t="shared" si="23"/>
        <v>Adult</v>
      </c>
      <c r="L279" t="str" cm="1">
        <f t="array" ref="L279">_xlfn.IFS(J279&lt;13,"Child",J279&lt;18,"Teen",J279&lt;60,"Adult",J279&gt;60,"Old Age")</f>
        <v>Adult</v>
      </c>
      <c r="M279">
        <v>0</v>
      </c>
      <c r="N279">
        <v>0</v>
      </c>
      <c r="O279">
        <f t="shared" si="24"/>
        <v>1</v>
      </c>
      <c r="P279">
        <v>14.4542</v>
      </c>
      <c r="Q279" t="str">
        <f t="shared" si="20"/>
        <v>High</v>
      </c>
      <c r="R279" t="s">
        <v>1514</v>
      </c>
    </row>
    <row r="280" spans="1:18" x14ac:dyDescent="0.45">
      <c r="A280">
        <v>279</v>
      </c>
      <c r="B280">
        <v>0</v>
      </c>
      <c r="C280" t="str">
        <f t="shared" si="21"/>
        <v>Not Survived</v>
      </c>
      <c r="D280">
        <v>3</v>
      </c>
      <c r="E280" t="s">
        <v>1000</v>
      </c>
      <c r="F280" t="s">
        <v>725</v>
      </c>
      <c r="G280" t="s">
        <v>71</v>
      </c>
      <c r="H280" t="s">
        <v>9</v>
      </c>
      <c r="I280" t="str">
        <f t="shared" si="22"/>
        <v>Male</v>
      </c>
      <c r="J280">
        <v>7</v>
      </c>
      <c r="K280" t="str">
        <f t="shared" si="23"/>
        <v>Child</v>
      </c>
      <c r="L280" t="str" cm="1">
        <f t="array" ref="L280">_xlfn.IFS(J280&lt;13,"Child",J280&lt;18,"Teen",J280&lt;60,"Adult",J280&gt;60,"Old Age")</f>
        <v>Child</v>
      </c>
      <c r="M280">
        <v>4</v>
      </c>
      <c r="N280">
        <v>1</v>
      </c>
      <c r="O280">
        <f t="shared" si="24"/>
        <v>6</v>
      </c>
      <c r="P280">
        <v>29.125</v>
      </c>
      <c r="Q280" t="str">
        <f t="shared" si="20"/>
        <v>High</v>
      </c>
      <c r="R280" t="s">
        <v>1516</v>
      </c>
    </row>
    <row r="281" spans="1:18" x14ac:dyDescent="0.45">
      <c r="A281">
        <v>280</v>
      </c>
      <c r="B281">
        <v>1</v>
      </c>
      <c r="C281" t="str">
        <f t="shared" si="21"/>
        <v>Survived</v>
      </c>
      <c r="D281">
        <v>3</v>
      </c>
      <c r="E281" t="s">
        <v>1001</v>
      </c>
      <c r="F281" t="s">
        <v>723</v>
      </c>
      <c r="G281" t="s">
        <v>298</v>
      </c>
      <c r="H281" t="s">
        <v>10</v>
      </c>
      <c r="I281" t="str">
        <f t="shared" si="22"/>
        <v>Female</v>
      </c>
      <c r="J281">
        <v>35</v>
      </c>
      <c r="K281" t="str">
        <f t="shared" si="23"/>
        <v>Adult</v>
      </c>
      <c r="L281" t="str" cm="1">
        <f t="array" ref="L281">_xlfn.IFS(J281&lt;13,"Child",J281&lt;18,"Teen",J281&lt;60,"Adult",J281&gt;60,"Old Age")</f>
        <v>Adult</v>
      </c>
      <c r="M281">
        <v>1</v>
      </c>
      <c r="N281">
        <v>1</v>
      </c>
      <c r="O281">
        <f t="shared" si="24"/>
        <v>3</v>
      </c>
      <c r="P281" t="s">
        <v>31</v>
      </c>
      <c r="Q281" t="str">
        <f t="shared" si="20"/>
        <v>High</v>
      </c>
      <c r="R281" t="s">
        <v>1514</v>
      </c>
    </row>
    <row r="282" spans="1:18" x14ac:dyDescent="0.45">
      <c r="A282">
        <v>281</v>
      </c>
      <c r="B282">
        <v>0</v>
      </c>
      <c r="C282" t="str">
        <f t="shared" si="21"/>
        <v>Not Survived</v>
      </c>
      <c r="D282">
        <v>3</v>
      </c>
      <c r="E282" t="s">
        <v>1002</v>
      </c>
      <c r="F282" t="s">
        <v>722</v>
      </c>
      <c r="G282" t="s">
        <v>299</v>
      </c>
      <c r="H282" t="s">
        <v>9</v>
      </c>
      <c r="I282" t="str">
        <f t="shared" si="22"/>
        <v>Male</v>
      </c>
      <c r="J282">
        <v>65</v>
      </c>
      <c r="K282" t="str">
        <f t="shared" si="23"/>
        <v>Old Age</v>
      </c>
      <c r="L282" t="str" cm="1">
        <f t="array" ref="L282">_xlfn.IFS(J282&lt;13,"Child",J282&lt;18,"Teen",J282&lt;60,"Adult",J282&gt;60,"Old Age")</f>
        <v>Old Age</v>
      </c>
      <c r="M282">
        <v>0</v>
      </c>
      <c r="N282">
        <v>0</v>
      </c>
      <c r="O282">
        <f t="shared" si="24"/>
        <v>1</v>
      </c>
      <c r="P282">
        <v>7.75</v>
      </c>
      <c r="Q282" t="str">
        <f t="shared" si="20"/>
        <v>High</v>
      </c>
      <c r="R282" t="s">
        <v>1516</v>
      </c>
    </row>
    <row r="283" spans="1:18" x14ac:dyDescent="0.45">
      <c r="A283">
        <v>282</v>
      </c>
      <c r="B283">
        <v>0</v>
      </c>
      <c r="C283" t="str">
        <f t="shared" si="21"/>
        <v>Not Survived</v>
      </c>
      <c r="D283">
        <v>3</v>
      </c>
      <c r="E283" t="s">
        <v>1003</v>
      </c>
      <c r="F283" t="s">
        <v>722</v>
      </c>
      <c r="G283" t="s">
        <v>300</v>
      </c>
      <c r="H283" t="s">
        <v>9</v>
      </c>
      <c r="I283" t="str">
        <f t="shared" si="22"/>
        <v>Male</v>
      </c>
      <c r="J283">
        <v>28</v>
      </c>
      <c r="K283" t="str">
        <f t="shared" si="23"/>
        <v>Adult</v>
      </c>
      <c r="L283" t="str" cm="1">
        <f t="array" ref="L283">_xlfn.IFS(J283&lt;13,"Child",J283&lt;18,"Teen",J283&lt;60,"Adult",J283&gt;60,"Old Age")</f>
        <v>Adult</v>
      </c>
      <c r="M283">
        <v>0</v>
      </c>
      <c r="N283">
        <v>0</v>
      </c>
      <c r="O283">
        <f t="shared" si="24"/>
        <v>1</v>
      </c>
      <c r="P283">
        <v>7.8541999999999996</v>
      </c>
      <c r="Q283" t="str">
        <f t="shared" si="20"/>
        <v>High</v>
      </c>
      <c r="R283" t="s">
        <v>1514</v>
      </c>
    </row>
    <row r="284" spans="1:18" x14ac:dyDescent="0.45">
      <c r="A284">
        <v>283</v>
      </c>
      <c r="B284">
        <v>0</v>
      </c>
      <c r="C284" t="str">
        <f t="shared" si="21"/>
        <v>Not Survived</v>
      </c>
      <c r="D284">
        <v>3</v>
      </c>
      <c r="E284" t="s">
        <v>1004</v>
      </c>
      <c r="F284" t="s">
        <v>722</v>
      </c>
      <c r="G284" t="s">
        <v>301</v>
      </c>
      <c r="H284" t="s">
        <v>9</v>
      </c>
      <c r="I284" t="str">
        <f t="shared" si="22"/>
        <v>Male</v>
      </c>
      <c r="J284">
        <v>16</v>
      </c>
      <c r="K284" t="str">
        <f t="shared" si="23"/>
        <v>Teen</v>
      </c>
      <c r="L284" t="str" cm="1">
        <f t="array" ref="L284">_xlfn.IFS(J284&lt;13,"Child",J284&lt;18,"Teen",J284&lt;60,"Adult",J284&gt;60,"Old Age")</f>
        <v>Teen</v>
      </c>
      <c r="M284">
        <v>0</v>
      </c>
      <c r="N284">
        <v>0</v>
      </c>
      <c r="O284">
        <f t="shared" si="24"/>
        <v>1</v>
      </c>
      <c r="P284">
        <v>9.5</v>
      </c>
      <c r="Q284" t="str">
        <f t="shared" si="20"/>
        <v>High</v>
      </c>
      <c r="R284" t="s">
        <v>1514</v>
      </c>
    </row>
    <row r="285" spans="1:18" x14ac:dyDescent="0.45">
      <c r="A285">
        <v>284</v>
      </c>
      <c r="B285">
        <v>1</v>
      </c>
      <c r="C285" t="str">
        <f t="shared" si="21"/>
        <v>Survived</v>
      </c>
      <c r="D285">
        <v>3</v>
      </c>
      <c r="E285" t="s">
        <v>1005</v>
      </c>
      <c r="F285" t="s">
        <v>722</v>
      </c>
      <c r="G285" t="s">
        <v>302</v>
      </c>
      <c r="H285" t="s">
        <v>9</v>
      </c>
      <c r="I285" t="str">
        <f t="shared" si="22"/>
        <v>Male</v>
      </c>
      <c r="J285">
        <v>19</v>
      </c>
      <c r="K285" t="str">
        <f t="shared" si="23"/>
        <v>Adult</v>
      </c>
      <c r="L285" t="str" cm="1">
        <f t="array" ref="L285">_xlfn.IFS(J285&lt;13,"Child",J285&lt;18,"Teen",J285&lt;60,"Adult",J285&gt;60,"Old Age")</f>
        <v>Adult</v>
      </c>
      <c r="M285">
        <v>0</v>
      </c>
      <c r="N285">
        <v>0</v>
      </c>
      <c r="O285">
        <f t="shared" si="24"/>
        <v>1</v>
      </c>
      <c r="P285" t="s">
        <v>12</v>
      </c>
      <c r="Q285" t="str">
        <f t="shared" si="20"/>
        <v>High</v>
      </c>
      <c r="R285" t="s">
        <v>1514</v>
      </c>
    </row>
    <row r="286" spans="1:18" x14ac:dyDescent="0.45">
      <c r="A286">
        <v>285</v>
      </c>
      <c r="B286">
        <v>0</v>
      </c>
      <c r="C286" t="str">
        <f t="shared" si="21"/>
        <v>Not Survived</v>
      </c>
      <c r="D286">
        <v>1</v>
      </c>
      <c r="E286" t="s">
        <v>1006</v>
      </c>
      <c r="F286" t="s">
        <v>722</v>
      </c>
      <c r="G286" t="s">
        <v>210</v>
      </c>
      <c r="H286" t="s">
        <v>9</v>
      </c>
      <c r="I286" t="str">
        <f t="shared" si="22"/>
        <v>Male</v>
      </c>
      <c r="J286">
        <v>28</v>
      </c>
      <c r="K286" t="str">
        <f t="shared" si="23"/>
        <v>Adult</v>
      </c>
      <c r="L286" t="str" cm="1">
        <f t="array" ref="L286">_xlfn.IFS(J286&lt;13,"Child",J286&lt;18,"Teen",J286&lt;60,"Adult",J286&gt;60,"Old Age")</f>
        <v>Adult</v>
      </c>
      <c r="M286">
        <v>0</v>
      </c>
      <c r="N286">
        <v>0</v>
      </c>
      <c r="O286">
        <f t="shared" si="24"/>
        <v>1</v>
      </c>
      <c r="P286">
        <v>26</v>
      </c>
      <c r="Q286" t="str">
        <f t="shared" si="20"/>
        <v>High</v>
      </c>
      <c r="R286" t="s">
        <v>1514</v>
      </c>
    </row>
    <row r="287" spans="1:18" x14ac:dyDescent="0.45">
      <c r="A287">
        <v>286</v>
      </c>
      <c r="B287">
        <v>0</v>
      </c>
      <c r="C287" t="str">
        <f t="shared" si="21"/>
        <v>Not Survived</v>
      </c>
      <c r="D287">
        <v>3</v>
      </c>
      <c r="E287" t="s">
        <v>813</v>
      </c>
      <c r="F287" t="s">
        <v>722</v>
      </c>
      <c r="G287" t="s">
        <v>303</v>
      </c>
      <c r="H287" t="s">
        <v>9</v>
      </c>
      <c r="I287" t="str">
        <f t="shared" si="22"/>
        <v>Male</v>
      </c>
      <c r="J287">
        <v>33</v>
      </c>
      <c r="K287" t="str">
        <f t="shared" si="23"/>
        <v>Adult</v>
      </c>
      <c r="L287" t="str" cm="1">
        <f t="array" ref="L287">_xlfn.IFS(J287&lt;13,"Child",J287&lt;18,"Teen",J287&lt;60,"Adult",J287&gt;60,"Old Age")</f>
        <v>Adult</v>
      </c>
      <c r="M287">
        <v>0</v>
      </c>
      <c r="N287">
        <v>0</v>
      </c>
      <c r="O287">
        <f t="shared" si="24"/>
        <v>1</v>
      </c>
      <c r="P287">
        <v>8.6624999999999996</v>
      </c>
      <c r="Q287" t="str">
        <f t="shared" si="20"/>
        <v>High</v>
      </c>
      <c r="R287" t="s">
        <v>1515</v>
      </c>
    </row>
    <row r="288" spans="1:18" x14ac:dyDescent="0.45">
      <c r="A288">
        <v>287</v>
      </c>
      <c r="B288">
        <v>1</v>
      </c>
      <c r="C288" t="str">
        <f t="shared" si="21"/>
        <v>Survived</v>
      </c>
      <c r="D288">
        <v>3</v>
      </c>
      <c r="E288" t="s">
        <v>1007</v>
      </c>
      <c r="F288" t="s">
        <v>722</v>
      </c>
      <c r="G288" t="s">
        <v>304</v>
      </c>
      <c r="H288" t="s">
        <v>9</v>
      </c>
      <c r="I288" t="str">
        <f t="shared" si="22"/>
        <v>Male</v>
      </c>
      <c r="J288">
        <v>30</v>
      </c>
      <c r="K288" t="str">
        <f t="shared" si="23"/>
        <v>Adult</v>
      </c>
      <c r="L288" t="str" cm="1">
        <f t="array" ref="L288">_xlfn.IFS(J288&lt;13,"Child",J288&lt;18,"Teen",J288&lt;60,"Adult",J288&gt;60,"Old Age")</f>
        <v>Adult</v>
      </c>
      <c r="M288">
        <v>0</v>
      </c>
      <c r="N288">
        <v>0</v>
      </c>
      <c r="O288">
        <f t="shared" si="24"/>
        <v>1</v>
      </c>
      <c r="P288">
        <v>9.5</v>
      </c>
      <c r="Q288" t="str">
        <f t="shared" si="20"/>
        <v>High</v>
      </c>
      <c r="R288" t="s">
        <v>1514</v>
      </c>
    </row>
    <row r="289" spans="1:18" x14ac:dyDescent="0.45">
      <c r="A289">
        <v>288</v>
      </c>
      <c r="B289">
        <v>0</v>
      </c>
      <c r="C289" t="str">
        <f t="shared" si="21"/>
        <v>Not Survived</v>
      </c>
      <c r="D289">
        <v>3</v>
      </c>
      <c r="E289" t="s">
        <v>1008</v>
      </c>
      <c r="F289" t="s">
        <v>722</v>
      </c>
      <c r="G289" t="s">
        <v>305</v>
      </c>
      <c r="H289" t="s">
        <v>9</v>
      </c>
      <c r="I289" t="str">
        <f t="shared" si="22"/>
        <v>Male</v>
      </c>
      <c r="J289">
        <v>22</v>
      </c>
      <c r="K289" t="str">
        <f t="shared" si="23"/>
        <v>Adult</v>
      </c>
      <c r="L289" t="str" cm="1">
        <f t="array" ref="L289">_xlfn.IFS(J289&lt;13,"Child",J289&lt;18,"Teen",J289&lt;60,"Adult",J289&gt;60,"Old Age")</f>
        <v>Adult</v>
      </c>
      <c r="M289">
        <v>0</v>
      </c>
      <c r="N289">
        <v>0</v>
      </c>
      <c r="O289">
        <f t="shared" si="24"/>
        <v>1</v>
      </c>
      <c r="P289">
        <v>7.8958000000000004</v>
      </c>
      <c r="Q289" t="str">
        <f t="shared" si="20"/>
        <v>High</v>
      </c>
      <c r="R289" t="s">
        <v>1514</v>
      </c>
    </row>
    <row r="290" spans="1:18" x14ac:dyDescent="0.45">
      <c r="A290">
        <v>289</v>
      </c>
      <c r="B290">
        <v>1</v>
      </c>
      <c r="C290" t="str">
        <f t="shared" si="21"/>
        <v>Survived</v>
      </c>
      <c r="D290">
        <v>2</v>
      </c>
      <c r="E290" t="s">
        <v>1009</v>
      </c>
      <c r="F290" t="s">
        <v>722</v>
      </c>
      <c r="G290" t="s">
        <v>306</v>
      </c>
      <c r="H290" t="s">
        <v>9</v>
      </c>
      <c r="I290" t="str">
        <f t="shared" si="22"/>
        <v>Male</v>
      </c>
      <c r="J290">
        <v>42</v>
      </c>
      <c r="K290" t="str">
        <f t="shared" si="23"/>
        <v>Adult</v>
      </c>
      <c r="L290" t="str" cm="1">
        <f t="array" ref="L290">_xlfn.IFS(J290&lt;13,"Child",J290&lt;18,"Teen",J290&lt;60,"Adult",J290&gt;60,"Old Age")</f>
        <v>Adult</v>
      </c>
      <c r="M290">
        <v>0</v>
      </c>
      <c r="N290">
        <v>0</v>
      </c>
      <c r="O290">
        <f t="shared" si="24"/>
        <v>1</v>
      </c>
      <c r="P290">
        <v>13</v>
      </c>
      <c r="Q290" t="str">
        <f t="shared" si="20"/>
        <v>High</v>
      </c>
      <c r="R290" t="s">
        <v>1514</v>
      </c>
    </row>
    <row r="291" spans="1:18" x14ac:dyDescent="0.45">
      <c r="A291">
        <v>290</v>
      </c>
      <c r="B291">
        <v>1</v>
      </c>
      <c r="C291" t="str">
        <f t="shared" si="21"/>
        <v>Survived</v>
      </c>
      <c r="D291">
        <v>3</v>
      </c>
      <c r="E291" t="s">
        <v>1010</v>
      </c>
      <c r="F291" t="s">
        <v>724</v>
      </c>
      <c r="G291" t="s">
        <v>307</v>
      </c>
      <c r="H291" t="s">
        <v>10</v>
      </c>
      <c r="I291" t="str">
        <f t="shared" si="22"/>
        <v>Female</v>
      </c>
      <c r="J291">
        <v>22</v>
      </c>
      <c r="K291" t="str">
        <f t="shared" si="23"/>
        <v>Adult</v>
      </c>
      <c r="L291" t="str" cm="1">
        <f t="array" ref="L291">_xlfn.IFS(J291&lt;13,"Child",J291&lt;18,"Teen",J291&lt;60,"Adult",J291&gt;60,"Old Age")</f>
        <v>Adult</v>
      </c>
      <c r="M291">
        <v>0</v>
      </c>
      <c r="N291">
        <v>0</v>
      </c>
      <c r="O291">
        <f t="shared" si="24"/>
        <v>1</v>
      </c>
      <c r="P291">
        <v>7.75</v>
      </c>
      <c r="Q291" t="str">
        <f t="shared" si="20"/>
        <v>High</v>
      </c>
      <c r="R291" t="s">
        <v>1516</v>
      </c>
    </row>
    <row r="292" spans="1:18" x14ac:dyDescent="0.45">
      <c r="A292">
        <v>291</v>
      </c>
      <c r="B292">
        <v>1</v>
      </c>
      <c r="C292" t="str">
        <f t="shared" si="21"/>
        <v>Survived</v>
      </c>
      <c r="D292">
        <v>1</v>
      </c>
      <c r="E292" t="s">
        <v>766</v>
      </c>
      <c r="F292" t="s">
        <v>724</v>
      </c>
      <c r="G292" t="s">
        <v>308</v>
      </c>
      <c r="H292" t="s">
        <v>10</v>
      </c>
      <c r="I292" t="str">
        <f t="shared" si="22"/>
        <v>Female</v>
      </c>
      <c r="J292">
        <v>26</v>
      </c>
      <c r="K292" t="str">
        <f t="shared" si="23"/>
        <v>Adult</v>
      </c>
      <c r="L292" t="str" cm="1">
        <f t="array" ref="L292">_xlfn.IFS(J292&lt;13,"Child",J292&lt;18,"Teen",J292&lt;60,"Adult",J292&gt;60,"Old Age")</f>
        <v>Adult</v>
      </c>
      <c r="M292">
        <v>0</v>
      </c>
      <c r="N292">
        <v>0</v>
      </c>
      <c r="O292">
        <f t="shared" si="24"/>
        <v>1</v>
      </c>
      <c r="P292">
        <v>78.849999999999994</v>
      </c>
      <c r="Q292" t="str">
        <f t="shared" si="20"/>
        <v>High</v>
      </c>
      <c r="R292" t="s">
        <v>1514</v>
      </c>
    </row>
    <row r="293" spans="1:18" x14ac:dyDescent="0.45">
      <c r="A293">
        <v>292</v>
      </c>
      <c r="B293">
        <v>1</v>
      </c>
      <c r="C293" t="str">
        <f t="shared" si="21"/>
        <v>Survived</v>
      </c>
      <c r="D293">
        <v>1</v>
      </c>
      <c r="E293" t="s">
        <v>1011</v>
      </c>
      <c r="F293" t="s">
        <v>723</v>
      </c>
      <c r="G293" t="s">
        <v>309</v>
      </c>
      <c r="H293" t="s">
        <v>10</v>
      </c>
      <c r="I293" t="str">
        <f t="shared" si="22"/>
        <v>Female</v>
      </c>
      <c r="J293">
        <v>19</v>
      </c>
      <c r="K293" t="str">
        <f t="shared" si="23"/>
        <v>Adult</v>
      </c>
      <c r="L293" t="str" cm="1">
        <f t="array" ref="L293">_xlfn.IFS(J293&lt;13,"Child",J293&lt;18,"Teen",J293&lt;60,"Adult",J293&gt;60,"Old Age")</f>
        <v>Adult</v>
      </c>
      <c r="M293">
        <v>1</v>
      </c>
      <c r="N293">
        <v>0</v>
      </c>
      <c r="O293">
        <f t="shared" si="24"/>
        <v>2</v>
      </c>
      <c r="P293" t="s">
        <v>32</v>
      </c>
      <c r="Q293" t="str">
        <f t="shared" si="20"/>
        <v>High</v>
      </c>
      <c r="R293" t="s">
        <v>1515</v>
      </c>
    </row>
    <row r="294" spans="1:18" x14ac:dyDescent="0.45">
      <c r="A294">
        <v>293</v>
      </c>
      <c r="B294">
        <v>0</v>
      </c>
      <c r="C294" t="str">
        <f t="shared" si="21"/>
        <v>Not Survived</v>
      </c>
      <c r="D294">
        <v>2</v>
      </c>
      <c r="E294" t="s">
        <v>1012</v>
      </c>
      <c r="F294" t="s">
        <v>722</v>
      </c>
      <c r="G294" t="s">
        <v>310</v>
      </c>
      <c r="H294" t="s">
        <v>9</v>
      </c>
      <c r="I294" t="str">
        <f t="shared" si="22"/>
        <v>Male</v>
      </c>
      <c r="J294">
        <v>36</v>
      </c>
      <c r="K294" t="str">
        <f t="shared" si="23"/>
        <v>Adult</v>
      </c>
      <c r="L294" t="str" cm="1">
        <f t="array" ref="L294">_xlfn.IFS(J294&lt;13,"Child",J294&lt;18,"Teen",J294&lt;60,"Adult",J294&gt;60,"Old Age")</f>
        <v>Adult</v>
      </c>
      <c r="M294">
        <v>0</v>
      </c>
      <c r="N294">
        <v>0</v>
      </c>
      <c r="O294">
        <f t="shared" si="24"/>
        <v>1</v>
      </c>
      <c r="P294">
        <v>12.875</v>
      </c>
      <c r="Q294" t="str">
        <f t="shared" si="20"/>
        <v>High</v>
      </c>
      <c r="R294" t="s">
        <v>1515</v>
      </c>
    </row>
    <row r="295" spans="1:18" x14ac:dyDescent="0.45">
      <c r="A295">
        <v>294</v>
      </c>
      <c r="B295">
        <v>0</v>
      </c>
      <c r="C295" t="str">
        <f t="shared" si="21"/>
        <v>Not Survived</v>
      </c>
      <c r="D295">
        <v>3</v>
      </c>
      <c r="E295" t="s">
        <v>1013</v>
      </c>
      <c r="F295" t="s">
        <v>724</v>
      </c>
      <c r="G295" t="s">
        <v>311</v>
      </c>
      <c r="H295" t="s">
        <v>10</v>
      </c>
      <c r="I295" t="str">
        <f t="shared" si="22"/>
        <v>Female</v>
      </c>
      <c r="J295">
        <v>24</v>
      </c>
      <c r="K295" t="str">
        <f t="shared" si="23"/>
        <v>Adult</v>
      </c>
      <c r="L295" t="str" cm="1">
        <f t="array" ref="L295">_xlfn.IFS(J295&lt;13,"Child",J295&lt;18,"Teen",J295&lt;60,"Adult",J295&gt;60,"Old Age")</f>
        <v>Adult</v>
      </c>
      <c r="M295">
        <v>0</v>
      </c>
      <c r="N295">
        <v>0</v>
      </c>
      <c r="O295">
        <f t="shared" si="24"/>
        <v>1</v>
      </c>
      <c r="P295">
        <v>8.85</v>
      </c>
      <c r="Q295" t="str">
        <f t="shared" si="20"/>
        <v>High</v>
      </c>
      <c r="R295" t="s">
        <v>1514</v>
      </c>
    </row>
    <row r="296" spans="1:18" x14ac:dyDescent="0.45">
      <c r="A296">
        <v>295</v>
      </c>
      <c r="B296">
        <v>0</v>
      </c>
      <c r="C296" t="str">
        <f t="shared" si="21"/>
        <v>Not Survived</v>
      </c>
      <c r="D296">
        <v>3</v>
      </c>
      <c r="E296" t="s">
        <v>813</v>
      </c>
      <c r="F296" t="s">
        <v>722</v>
      </c>
      <c r="G296" t="s">
        <v>312</v>
      </c>
      <c r="H296" t="s">
        <v>9</v>
      </c>
      <c r="I296" t="str">
        <f t="shared" si="22"/>
        <v>Male</v>
      </c>
      <c r="J296">
        <v>24</v>
      </c>
      <c r="K296" t="str">
        <f t="shared" si="23"/>
        <v>Adult</v>
      </c>
      <c r="L296" t="str" cm="1">
        <f t="array" ref="L296">_xlfn.IFS(J296&lt;13,"Child",J296&lt;18,"Teen",J296&lt;60,"Adult",J296&gt;60,"Old Age")</f>
        <v>Adult</v>
      </c>
      <c r="M296">
        <v>0</v>
      </c>
      <c r="N296">
        <v>0</v>
      </c>
      <c r="O296">
        <f t="shared" si="24"/>
        <v>1</v>
      </c>
      <c r="P296">
        <v>7.8958000000000004</v>
      </c>
      <c r="Q296" t="str">
        <f t="shared" si="20"/>
        <v>High</v>
      </c>
      <c r="R296" t="s">
        <v>1514</v>
      </c>
    </row>
    <row r="297" spans="1:18" x14ac:dyDescent="0.45">
      <c r="A297">
        <v>296</v>
      </c>
      <c r="B297">
        <v>0</v>
      </c>
      <c r="C297" t="str">
        <f t="shared" si="21"/>
        <v>Not Survived</v>
      </c>
      <c r="D297">
        <v>1</v>
      </c>
      <c r="E297" t="s">
        <v>1014</v>
      </c>
      <c r="F297" t="s">
        <v>722</v>
      </c>
      <c r="G297" t="s">
        <v>313</v>
      </c>
      <c r="H297" t="s">
        <v>9</v>
      </c>
      <c r="I297" t="str">
        <f t="shared" si="22"/>
        <v>Male</v>
      </c>
      <c r="J297">
        <v>28</v>
      </c>
      <c r="K297" t="str">
        <f t="shared" si="23"/>
        <v>Adult</v>
      </c>
      <c r="L297" t="str" cm="1">
        <f t="array" ref="L297">_xlfn.IFS(J297&lt;13,"Child",J297&lt;18,"Teen",J297&lt;60,"Adult",J297&gt;60,"Old Age")</f>
        <v>Adult</v>
      </c>
      <c r="M297">
        <v>0</v>
      </c>
      <c r="N297">
        <v>0</v>
      </c>
      <c r="O297">
        <f t="shared" si="24"/>
        <v>1</v>
      </c>
      <c r="P297" t="s">
        <v>16</v>
      </c>
      <c r="Q297" t="str">
        <f t="shared" si="20"/>
        <v>High</v>
      </c>
      <c r="R297" t="s">
        <v>1515</v>
      </c>
    </row>
    <row r="298" spans="1:18" x14ac:dyDescent="0.45">
      <c r="A298">
        <v>297</v>
      </c>
      <c r="B298">
        <v>0</v>
      </c>
      <c r="C298" t="str">
        <f t="shared" si="21"/>
        <v>Not Survived</v>
      </c>
      <c r="D298">
        <v>3</v>
      </c>
      <c r="E298" t="s">
        <v>1015</v>
      </c>
      <c r="F298" t="s">
        <v>722</v>
      </c>
      <c r="G298" t="s">
        <v>314</v>
      </c>
      <c r="H298" t="s">
        <v>9</v>
      </c>
      <c r="I298" t="str">
        <f t="shared" si="22"/>
        <v>Male</v>
      </c>
      <c r="J298">
        <v>23.5</v>
      </c>
      <c r="K298" t="str">
        <f t="shared" si="23"/>
        <v>Adult</v>
      </c>
      <c r="L298" t="str" cm="1">
        <f t="array" ref="L298">_xlfn.IFS(J298&lt;13,"Child",J298&lt;18,"Teen",J298&lt;60,"Adult",J298&gt;60,"Old Age")</f>
        <v>Adult</v>
      </c>
      <c r="M298">
        <v>0</v>
      </c>
      <c r="N298">
        <v>0</v>
      </c>
      <c r="O298">
        <f t="shared" si="24"/>
        <v>1</v>
      </c>
      <c r="P298">
        <v>7.2291999999999996</v>
      </c>
      <c r="Q298" t="str">
        <f t="shared" si="20"/>
        <v>High</v>
      </c>
      <c r="R298" t="s">
        <v>1515</v>
      </c>
    </row>
    <row r="299" spans="1:18" x14ac:dyDescent="0.45">
      <c r="A299">
        <v>298</v>
      </c>
      <c r="B299">
        <v>0</v>
      </c>
      <c r="C299" t="str">
        <f t="shared" si="21"/>
        <v>Not Survived</v>
      </c>
      <c r="D299">
        <v>1</v>
      </c>
      <c r="E299" t="s">
        <v>1016</v>
      </c>
      <c r="F299" t="s">
        <v>724</v>
      </c>
      <c r="G299" t="s">
        <v>315</v>
      </c>
      <c r="H299" t="s">
        <v>10</v>
      </c>
      <c r="I299" t="str">
        <f t="shared" si="22"/>
        <v>Female</v>
      </c>
      <c r="J299">
        <v>2</v>
      </c>
      <c r="K299" t="str">
        <f t="shared" si="23"/>
        <v>Child</v>
      </c>
      <c r="L299" t="str" cm="1">
        <f t="array" ref="L299">_xlfn.IFS(J299&lt;13,"Child",J299&lt;18,"Teen",J299&lt;60,"Adult",J299&gt;60,"Old Age")</f>
        <v>Child</v>
      </c>
      <c r="M299">
        <v>1</v>
      </c>
      <c r="N299">
        <v>2</v>
      </c>
      <c r="O299">
        <f t="shared" si="24"/>
        <v>4</v>
      </c>
      <c r="P299">
        <v>151.55000000000001</v>
      </c>
      <c r="Q299" t="str">
        <f t="shared" si="20"/>
        <v>High</v>
      </c>
      <c r="R299" t="s">
        <v>1514</v>
      </c>
    </row>
    <row r="300" spans="1:18" x14ac:dyDescent="0.45">
      <c r="A300">
        <v>299</v>
      </c>
      <c r="B300">
        <v>1</v>
      </c>
      <c r="C300" t="str">
        <f t="shared" si="21"/>
        <v>Survived</v>
      </c>
      <c r="D300">
        <v>1</v>
      </c>
      <c r="E300" t="s">
        <v>1017</v>
      </c>
      <c r="F300" t="s">
        <v>722</v>
      </c>
      <c r="G300" t="s">
        <v>316</v>
      </c>
      <c r="H300" t="s">
        <v>9</v>
      </c>
      <c r="I300" t="str">
        <f t="shared" si="22"/>
        <v>Male</v>
      </c>
      <c r="J300">
        <v>28</v>
      </c>
      <c r="K300" t="str">
        <f t="shared" si="23"/>
        <v>Adult</v>
      </c>
      <c r="L300" t="str" cm="1">
        <f t="array" ref="L300">_xlfn.IFS(J300&lt;13,"Child",J300&lt;18,"Teen",J300&lt;60,"Adult",J300&gt;60,"Old Age")</f>
        <v>Adult</v>
      </c>
      <c r="M300">
        <v>0</v>
      </c>
      <c r="N300">
        <v>0</v>
      </c>
      <c r="O300">
        <f t="shared" si="24"/>
        <v>1</v>
      </c>
      <c r="P300" t="s">
        <v>33</v>
      </c>
      <c r="Q300" t="str">
        <f t="shared" si="20"/>
        <v>High</v>
      </c>
      <c r="R300" t="s">
        <v>1514</v>
      </c>
    </row>
    <row r="301" spans="1:18" x14ac:dyDescent="0.45">
      <c r="A301">
        <v>300</v>
      </c>
      <c r="B301">
        <v>1</v>
      </c>
      <c r="C301" t="str">
        <f t="shared" si="21"/>
        <v>Survived</v>
      </c>
      <c r="D301">
        <v>1</v>
      </c>
      <c r="E301" t="s">
        <v>896</v>
      </c>
      <c r="F301" t="s">
        <v>723</v>
      </c>
      <c r="G301" t="s">
        <v>166</v>
      </c>
      <c r="H301" t="s">
        <v>10</v>
      </c>
      <c r="I301" t="str">
        <f t="shared" si="22"/>
        <v>Female</v>
      </c>
      <c r="J301">
        <v>50</v>
      </c>
      <c r="K301" t="str">
        <f t="shared" si="23"/>
        <v>Adult</v>
      </c>
      <c r="L301" t="str" cm="1">
        <f t="array" ref="L301">_xlfn.IFS(J301&lt;13,"Child",J301&lt;18,"Teen",J301&lt;60,"Adult",J301&gt;60,"Old Age")</f>
        <v>Adult</v>
      </c>
      <c r="M301">
        <v>0</v>
      </c>
      <c r="N301">
        <v>1</v>
      </c>
      <c r="O301">
        <f t="shared" si="24"/>
        <v>2</v>
      </c>
      <c r="P301" t="s">
        <v>21</v>
      </c>
      <c r="Q301" t="str">
        <f t="shared" si="20"/>
        <v>High</v>
      </c>
      <c r="R301" t="s">
        <v>1515</v>
      </c>
    </row>
    <row r="302" spans="1:18" x14ac:dyDescent="0.45">
      <c r="A302">
        <v>301</v>
      </c>
      <c r="B302">
        <v>1</v>
      </c>
      <c r="C302" t="str">
        <f t="shared" si="21"/>
        <v>Survived</v>
      </c>
      <c r="D302">
        <v>3</v>
      </c>
      <c r="E302" t="s">
        <v>1018</v>
      </c>
      <c r="F302" t="s">
        <v>724</v>
      </c>
      <c r="G302" t="s">
        <v>317</v>
      </c>
      <c r="H302" t="s">
        <v>10</v>
      </c>
      <c r="I302" t="str">
        <f t="shared" si="22"/>
        <v>Female</v>
      </c>
      <c r="J302">
        <v>28</v>
      </c>
      <c r="K302" t="str">
        <f t="shared" si="23"/>
        <v>Adult</v>
      </c>
      <c r="L302" t="str" cm="1">
        <f t="array" ref="L302">_xlfn.IFS(J302&lt;13,"Child",J302&lt;18,"Teen",J302&lt;60,"Adult",J302&gt;60,"Old Age")</f>
        <v>Adult</v>
      </c>
      <c r="M302">
        <v>0</v>
      </c>
      <c r="N302">
        <v>0</v>
      </c>
      <c r="O302">
        <f t="shared" si="24"/>
        <v>1</v>
      </c>
      <c r="P302">
        <v>7.75</v>
      </c>
      <c r="Q302" t="str">
        <f t="shared" si="20"/>
        <v>High</v>
      </c>
      <c r="R302" t="s">
        <v>1516</v>
      </c>
    </row>
    <row r="303" spans="1:18" x14ac:dyDescent="0.45">
      <c r="A303">
        <v>302</v>
      </c>
      <c r="B303">
        <v>1</v>
      </c>
      <c r="C303" t="str">
        <f t="shared" si="21"/>
        <v>Survived</v>
      </c>
      <c r="D303">
        <v>3</v>
      </c>
      <c r="E303" t="s">
        <v>1019</v>
      </c>
      <c r="F303" t="s">
        <v>722</v>
      </c>
      <c r="G303" t="s">
        <v>318</v>
      </c>
      <c r="H303" t="s">
        <v>9</v>
      </c>
      <c r="I303" t="str">
        <f t="shared" si="22"/>
        <v>Male</v>
      </c>
      <c r="J303">
        <v>28</v>
      </c>
      <c r="K303" t="str">
        <f t="shared" si="23"/>
        <v>Adult</v>
      </c>
      <c r="L303" t="str" cm="1">
        <f t="array" ref="L303">_xlfn.IFS(J303&lt;13,"Child",J303&lt;18,"Teen",J303&lt;60,"Adult",J303&gt;60,"Old Age")</f>
        <v>Adult</v>
      </c>
      <c r="M303">
        <v>2</v>
      </c>
      <c r="N303">
        <v>0</v>
      </c>
      <c r="O303">
        <f t="shared" si="24"/>
        <v>3</v>
      </c>
      <c r="P303">
        <v>23.25</v>
      </c>
      <c r="Q303" t="str">
        <f t="shared" si="20"/>
        <v>High</v>
      </c>
      <c r="R303" t="s">
        <v>1516</v>
      </c>
    </row>
    <row r="304" spans="1:18" x14ac:dyDescent="0.45">
      <c r="A304">
        <v>303</v>
      </c>
      <c r="B304">
        <v>0</v>
      </c>
      <c r="C304" t="str">
        <f t="shared" si="21"/>
        <v>Not Survived</v>
      </c>
      <c r="D304">
        <v>3</v>
      </c>
      <c r="E304" t="s">
        <v>1020</v>
      </c>
      <c r="F304" t="s">
        <v>722</v>
      </c>
      <c r="G304" t="s">
        <v>63</v>
      </c>
      <c r="H304" t="s">
        <v>9</v>
      </c>
      <c r="I304" t="str">
        <f t="shared" si="22"/>
        <v>Male</v>
      </c>
      <c r="J304">
        <v>19</v>
      </c>
      <c r="K304" t="str">
        <f t="shared" si="23"/>
        <v>Adult</v>
      </c>
      <c r="L304" t="str" cm="1">
        <f t="array" ref="L304">_xlfn.IFS(J304&lt;13,"Child",J304&lt;18,"Teen",J304&lt;60,"Adult",J304&gt;60,"Old Age")</f>
        <v>Adult</v>
      </c>
      <c r="M304">
        <v>0</v>
      </c>
      <c r="N304">
        <v>0</v>
      </c>
      <c r="O304">
        <f t="shared" si="24"/>
        <v>1</v>
      </c>
      <c r="P304">
        <v>14.4542</v>
      </c>
      <c r="Q304" t="str">
        <f t="shared" si="20"/>
        <v>High</v>
      </c>
      <c r="R304" t="s">
        <v>1514</v>
      </c>
    </row>
    <row r="305" spans="1:18" x14ac:dyDescent="0.45">
      <c r="A305">
        <v>304</v>
      </c>
      <c r="B305">
        <v>1</v>
      </c>
      <c r="C305" t="str">
        <f t="shared" si="21"/>
        <v>Survived</v>
      </c>
      <c r="D305">
        <v>2</v>
      </c>
      <c r="E305" t="s">
        <v>1021</v>
      </c>
      <c r="F305" t="s">
        <v>724</v>
      </c>
      <c r="G305" t="s">
        <v>319</v>
      </c>
      <c r="H305" t="s">
        <v>10</v>
      </c>
      <c r="I305" t="str">
        <f t="shared" si="22"/>
        <v>Female</v>
      </c>
      <c r="J305">
        <v>28</v>
      </c>
      <c r="K305" t="str">
        <f t="shared" si="23"/>
        <v>Adult</v>
      </c>
      <c r="L305" t="str" cm="1">
        <f t="array" ref="L305">_xlfn.IFS(J305&lt;13,"Child",J305&lt;18,"Teen",J305&lt;60,"Adult",J305&gt;60,"Old Age")</f>
        <v>Adult</v>
      </c>
      <c r="M305">
        <v>0</v>
      </c>
      <c r="N305">
        <v>0</v>
      </c>
      <c r="O305">
        <f t="shared" si="24"/>
        <v>1</v>
      </c>
      <c r="P305">
        <v>12.35</v>
      </c>
      <c r="Q305" t="str">
        <f t="shared" si="20"/>
        <v>High</v>
      </c>
      <c r="R305" t="s">
        <v>1516</v>
      </c>
    </row>
    <row r="306" spans="1:18" x14ac:dyDescent="0.45">
      <c r="A306">
        <v>305</v>
      </c>
      <c r="B306">
        <v>0</v>
      </c>
      <c r="C306" t="str">
        <f t="shared" si="21"/>
        <v>Not Survived</v>
      </c>
      <c r="D306">
        <v>3</v>
      </c>
      <c r="E306" t="s">
        <v>1022</v>
      </c>
      <c r="F306" t="s">
        <v>722</v>
      </c>
      <c r="G306" t="s">
        <v>72</v>
      </c>
      <c r="H306" t="s">
        <v>9</v>
      </c>
      <c r="I306" t="str">
        <f t="shared" si="22"/>
        <v>Male</v>
      </c>
      <c r="J306">
        <v>28</v>
      </c>
      <c r="K306" t="str">
        <f t="shared" si="23"/>
        <v>Adult</v>
      </c>
      <c r="L306" t="str" cm="1">
        <f t="array" ref="L306">_xlfn.IFS(J306&lt;13,"Child",J306&lt;18,"Teen",J306&lt;60,"Adult",J306&gt;60,"Old Age")</f>
        <v>Adult</v>
      </c>
      <c r="M306">
        <v>0</v>
      </c>
      <c r="N306">
        <v>0</v>
      </c>
      <c r="O306">
        <f t="shared" si="24"/>
        <v>1</v>
      </c>
      <c r="P306" t="s">
        <v>12</v>
      </c>
      <c r="Q306" t="str">
        <f t="shared" si="20"/>
        <v>High</v>
      </c>
      <c r="R306" t="s">
        <v>1514</v>
      </c>
    </row>
    <row r="307" spans="1:18" x14ac:dyDescent="0.45">
      <c r="A307">
        <v>306</v>
      </c>
      <c r="B307">
        <v>1</v>
      </c>
      <c r="C307" t="str">
        <f t="shared" si="21"/>
        <v>Survived</v>
      </c>
      <c r="D307">
        <v>1</v>
      </c>
      <c r="E307" t="s">
        <v>1023</v>
      </c>
      <c r="F307" t="s">
        <v>725</v>
      </c>
      <c r="G307" t="s">
        <v>315</v>
      </c>
      <c r="H307" t="s">
        <v>9</v>
      </c>
      <c r="I307" t="str">
        <f t="shared" si="22"/>
        <v>Male</v>
      </c>
      <c r="J307">
        <v>0.92</v>
      </c>
      <c r="K307" t="str">
        <f t="shared" si="23"/>
        <v>Child</v>
      </c>
      <c r="L307" t="str" cm="1">
        <f t="array" ref="L307">_xlfn.IFS(J307&lt;13,"Child",J307&lt;18,"Teen",J307&lt;60,"Adult",J307&gt;60,"Old Age")</f>
        <v>Child</v>
      </c>
      <c r="M307">
        <v>1</v>
      </c>
      <c r="N307">
        <v>2</v>
      </c>
      <c r="O307">
        <f t="shared" si="24"/>
        <v>4</v>
      </c>
      <c r="P307">
        <v>151.55000000000001</v>
      </c>
      <c r="Q307" t="str">
        <f t="shared" si="20"/>
        <v>High</v>
      </c>
      <c r="R307" t="s">
        <v>1514</v>
      </c>
    </row>
    <row r="308" spans="1:18" x14ac:dyDescent="0.45">
      <c r="A308">
        <v>307</v>
      </c>
      <c r="B308">
        <v>1</v>
      </c>
      <c r="C308" t="str">
        <f t="shared" si="21"/>
        <v>Survived</v>
      </c>
      <c r="D308">
        <v>1</v>
      </c>
      <c r="E308" t="s">
        <v>1024</v>
      </c>
      <c r="F308" t="s">
        <v>724</v>
      </c>
      <c r="G308" t="s">
        <v>320</v>
      </c>
      <c r="H308" t="s">
        <v>10</v>
      </c>
      <c r="I308" t="str">
        <f t="shared" si="22"/>
        <v>Female</v>
      </c>
      <c r="J308">
        <v>28</v>
      </c>
      <c r="K308" t="str">
        <f t="shared" si="23"/>
        <v>Adult</v>
      </c>
      <c r="L308" t="str" cm="1">
        <f t="array" ref="L308">_xlfn.IFS(J308&lt;13,"Child",J308&lt;18,"Teen",J308&lt;60,"Adult",J308&gt;60,"Old Age")</f>
        <v>Adult</v>
      </c>
      <c r="M308">
        <v>0</v>
      </c>
      <c r="N308">
        <v>0</v>
      </c>
      <c r="O308">
        <f t="shared" si="24"/>
        <v>1</v>
      </c>
      <c r="P308" t="s">
        <v>34</v>
      </c>
      <c r="Q308" t="str">
        <f t="shared" si="20"/>
        <v>High</v>
      </c>
      <c r="R308" t="s">
        <v>1515</v>
      </c>
    </row>
    <row r="309" spans="1:18" x14ac:dyDescent="0.45">
      <c r="A309">
        <v>308</v>
      </c>
      <c r="B309">
        <v>1</v>
      </c>
      <c r="C309" t="str">
        <f t="shared" si="21"/>
        <v>Survived</v>
      </c>
      <c r="D309">
        <v>1</v>
      </c>
      <c r="E309" t="s">
        <v>1025</v>
      </c>
      <c r="F309" t="s">
        <v>723</v>
      </c>
      <c r="G309" t="s">
        <v>321</v>
      </c>
      <c r="H309" t="s">
        <v>10</v>
      </c>
      <c r="I309" t="str">
        <f t="shared" si="22"/>
        <v>Female</v>
      </c>
      <c r="J309">
        <v>17</v>
      </c>
      <c r="K309" t="str">
        <f t="shared" si="23"/>
        <v>Teen</v>
      </c>
      <c r="L309" t="str" cm="1">
        <f t="array" ref="L309">_xlfn.IFS(J309&lt;13,"Child",J309&lt;18,"Teen",J309&lt;60,"Adult",J309&gt;60,"Old Age")</f>
        <v>Teen</v>
      </c>
      <c r="M309">
        <v>1</v>
      </c>
      <c r="N309">
        <v>0</v>
      </c>
      <c r="O309">
        <f t="shared" si="24"/>
        <v>2</v>
      </c>
      <c r="P309" t="s">
        <v>35</v>
      </c>
      <c r="Q309" t="str">
        <f t="shared" si="20"/>
        <v>High</v>
      </c>
      <c r="R309" t="s">
        <v>1515</v>
      </c>
    </row>
    <row r="310" spans="1:18" x14ac:dyDescent="0.45">
      <c r="A310">
        <v>309</v>
      </c>
      <c r="B310">
        <v>0</v>
      </c>
      <c r="C310" t="str">
        <f t="shared" si="21"/>
        <v>Not Survived</v>
      </c>
      <c r="D310">
        <v>2</v>
      </c>
      <c r="E310" t="s">
        <v>1026</v>
      </c>
      <c r="F310" t="s">
        <v>722</v>
      </c>
      <c r="G310" t="s">
        <v>322</v>
      </c>
      <c r="H310" t="s">
        <v>9</v>
      </c>
      <c r="I310" t="str">
        <f t="shared" si="22"/>
        <v>Male</v>
      </c>
      <c r="J310">
        <v>30</v>
      </c>
      <c r="K310" t="str">
        <f t="shared" si="23"/>
        <v>Adult</v>
      </c>
      <c r="L310" t="str" cm="1">
        <f t="array" ref="L310">_xlfn.IFS(J310&lt;13,"Child",J310&lt;18,"Teen",J310&lt;60,"Adult",J310&gt;60,"Old Age")</f>
        <v>Adult</v>
      </c>
      <c r="M310">
        <v>1</v>
      </c>
      <c r="N310">
        <v>0</v>
      </c>
      <c r="O310">
        <f t="shared" si="24"/>
        <v>2</v>
      </c>
      <c r="P310">
        <v>24</v>
      </c>
      <c r="Q310" t="str">
        <f t="shared" si="20"/>
        <v>High</v>
      </c>
      <c r="R310" t="s">
        <v>1515</v>
      </c>
    </row>
    <row r="311" spans="1:18" x14ac:dyDescent="0.45">
      <c r="A311">
        <v>310</v>
      </c>
      <c r="B311">
        <v>1</v>
      </c>
      <c r="C311" t="str">
        <f t="shared" si="21"/>
        <v>Survived</v>
      </c>
      <c r="D311">
        <v>1</v>
      </c>
      <c r="E311" t="s">
        <v>1027</v>
      </c>
      <c r="F311" t="s">
        <v>724</v>
      </c>
      <c r="G311" t="s">
        <v>323</v>
      </c>
      <c r="H311" t="s">
        <v>10</v>
      </c>
      <c r="I311" t="str">
        <f t="shared" si="22"/>
        <v>Female</v>
      </c>
      <c r="J311">
        <v>30</v>
      </c>
      <c r="K311" t="str">
        <f t="shared" si="23"/>
        <v>Adult</v>
      </c>
      <c r="L311" t="str" cm="1">
        <f t="array" ref="L311">_xlfn.IFS(J311&lt;13,"Child",J311&lt;18,"Teen",J311&lt;60,"Adult",J311&gt;60,"Old Age")</f>
        <v>Adult</v>
      </c>
      <c r="M311">
        <v>0</v>
      </c>
      <c r="N311">
        <v>0</v>
      </c>
      <c r="O311">
        <f t="shared" si="24"/>
        <v>1</v>
      </c>
      <c r="P311">
        <v>56.929200000000002</v>
      </c>
      <c r="Q311" t="str">
        <f t="shared" si="20"/>
        <v>High</v>
      </c>
      <c r="R311" t="s">
        <v>1515</v>
      </c>
    </row>
    <row r="312" spans="1:18" x14ac:dyDescent="0.45">
      <c r="A312">
        <v>311</v>
      </c>
      <c r="B312">
        <v>1</v>
      </c>
      <c r="C312" t="str">
        <f t="shared" si="21"/>
        <v>Survived</v>
      </c>
      <c r="D312">
        <v>1</v>
      </c>
      <c r="E312" t="s">
        <v>1028</v>
      </c>
      <c r="F312" t="s">
        <v>724</v>
      </c>
      <c r="G312" t="s">
        <v>324</v>
      </c>
      <c r="H312" t="s">
        <v>10</v>
      </c>
      <c r="I312" t="str">
        <f t="shared" si="22"/>
        <v>Female</v>
      </c>
      <c r="J312">
        <v>24</v>
      </c>
      <c r="K312" t="str">
        <f t="shared" si="23"/>
        <v>Adult</v>
      </c>
      <c r="L312" t="str" cm="1">
        <f t="array" ref="L312">_xlfn.IFS(J312&lt;13,"Child",J312&lt;18,"Teen",J312&lt;60,"Adult",J312&gt;60,"Old Age")</f>
        <v>Adult</v>
      </c>
      <c r="M312">
        <v>0</v>
      </c>
      <c r="N312">
        <v>0</v>
      </c>
      <c r="O312">
        <f t="shared" si="24"/>
        <v>1</v>
      </c>
      <c r="P312">
        <v>83.158299999999997</v>
      </c>
      <c r="Q312" t="str">
        <f t="shared" si="20"/>
        <v>High</v>
      </c>
      <c r="R312" t="s">
        <v>1515</v>
      </c>
    </row>
    <row r="313" spans="1:18" x14ac:dyDescent="0.45">
      <c r="A313">
        <v>312</v>
      </c>
      <c r="B313">
        <v>1</v>
      </c>
      <c r="C313" t="str">
        <f t="shared" si="21"/>
        <v>Survived</v>
      </c>
      <c r="D313">
        <v>1</v>
      </c>
      <c r="E313" t="s">
        <v>1029</v>
      </c>
      <c r="F313" t="s">
        <v>724</v>
      </c>
      <c r="G313" t="s">
        <v>325</v>
      </c>
      <c r="H313" t="s">
        <v>10</v>
      </c>
      <c r="I313" t="str">
        <f t="shared" si="22"/>
        <v>Female</v>
      </c>
      <c r="J313">
        <v>18</v>
      </c>
      <c r="K313" t="str">
        <f t="shared" si="23"/>
        <v>Adult</v>
      </c>
      <c r="L313" t="str" cm="1">
        <f t="array" ref="L313">_xlfn.IFS(J313&lt;13,"Child",J313&lt;18,"Teen",J313&lt;60,"Adult",J313&gt;60,"Old Age")</f>
        <v>Adult</v>
      </c>
      <c r="M313">
        <v>2</v>
      </c>
      <c r="N313">
        <v>2</v>
      </c>
      <c r="O313">
        <f t="shared" si="24"/>
        <v>5</v>
      </c>
      <c r="P313">
        <v>262.375</v>
      </c>
      <c r="Q313" t="str">
        <f t="shared" si="20"/>
        <v>High</v>
      </c>
      <c r="R313" t="s">
        <v>1515</v>
      </c>
    </row>
    <row r="314" spans="1:18" x14ac:dyDescent="0.45">
      <c r="A314">
        <v>313</v>
      </c>
      <c r="B314">
        <v>0</v>
      </c>
      <c r="C314" t="str">
        <f t="shared" si="21"/>
        <v>Not Survived</v>
      </c>
      <c r="D314">
        <v>2</v>
      </c>
      <c r="E314" t="s">
        <v>901</v>
      </c>
      <c r="F314" t="s">
        <v>723</v>
      </c>
      <c r="G314" t="s">
        <v>326</v>
      </c>
      <c r="H314" t="s">
        <v>10</v>
      </c>
      <c r="I314" t="str">
        <f t="shared" si="22"/>
        <v>Female</v>
      </c>
      <c r="J314">
        <v>26</v>
      </c>
      <c r="K314" t="str">
        <f t="shared" si="23"/>
        <v>Adult</v>
      </c>
      <c r="L314" t="str" cm="1">
        <f t="array" ref="L314">_xlfn.IFS(J314&lt;13,"Child",J314&lt;18,"Teen",J314&lt;60,"Adult",J314&gt;60,"Old Age")</f>
        <v>Adult</v>
      </c>
      <c r="M314">
        <v>1</v>
      </c>
      <c r="N314">
        <v>1</v>
      </c>
      <c r="O314">
        <f t="shared" si="24"/>
        <v>3</v>
      </c>
      <c r="P314">
        <v>26</v>
      </c>
      <c r="Q314" t="str">
        <f t="shared" si="20"/>
        <v>High</v>
      </c>
      <c r="R314" t="s">
        <v>1514</v>
      </c>
    </row>
    <row r="315" spans="1:18" x14ac:dyDescent="0.45">
      <c r="A315">
        <v>314</v>
      </c>
      <c r="B315">
        <v>0</v>
      </c>
      <c r="C315" t="str">
        <f t="shared" si="21"/>
        <v>Not Survived</v>
      </c>
      <c r="D315">
        <v>3</v>
      </c>
      <c r="E315" t="s">
        <v>1030</v>
      </c>
      <c r="F315" t="s">
        <v>722</v>
      </c>
      <c r="G315" t="s">
        <v>327</v>
      </c>
      <c r="H315" t="s">
        <v>9</v>
      </c>
      <c r="I315" t="str">
        <f t="shared" si="22"/>
        <v>Male</v>
      </c>
      <c r="J315">
        <v>28</v>
      </c>
      <c r="K315" t="str">
        <f t="shared" si="23"/>
        <v>Adult</v>
      </c>
      <c r="L315" t="str" cm="1">
        <f t="array" ref="L315">_xlfn.IFS(J315&lt;13,"Child",J315&lt;18,"Teen",J315&lt;60,"Adult",J315&gt;60,"Old Age")</f>
        <v>Adult</v>
      </c>
      <c r="M315">
        <v>0</v>
      </c>
      <c r="N315">
        <v>0</v>
      </c>
      <c r="O315">
        <f t="shared" si="24"/>
        <v>1</v>
      </c>
      <c r="P315">
        <v>7.8958000000000004</v>
      </c>
      <c r="Q315" t="str">
        <f t="shared" si="20"/>
        <v>High</v>
      </c>
      <c r="R315" t="s">
        <v>1514</v>
      </c>
    </row>
    <row r="316" spans="1:18" x14ac:dyDescent="0.45">
      <c r="A316">
        <v>315</v>
      </c>
      <c r="B316">
        <v>0</v>
      </c>
      <c r="C316" t="str">
        <f t="shared" si="21"/>
        <v>Not Survived</v>
      </c>
      <c r="D316">
        <v>2</v>
      </c>
      <c r="E316" t="s">
        <v>1031</v>
      </c>
      <c r="F316" t="s">
        <v>722</v>
      </c>
      <c r="G316" t="s">
        <v>328</v>
      </c>
      <c r="H316" t="s">
        <v>9</v>
      </c>
      <c r="I316" t="str">
        <f t="shared" si="22"/>
        <v>Male</v>
      </c>
      <c r="J316">
        <v>43</v>
      </c>
      <c r="K316" t="str">
        <f t="shared" si="23"/>
        <v>Adult</v>
      </c>
      <c r="L316" t="str" cm="1">
        <f t="array" ref="L316">_xlfn.IFS(J316&lt;13,"Child",J316&lt;18,"Teen",J316&lt;60,"Adult",J316&gt;60,"Old Age")</f>
        <v>Adult</v>
      </c>
      <c r="M316">
        <v>1</v>
      </c>
      <c r="N316">
        <v>1</v>
      </c>
      <c r="O316">
        <f t="shared" si="24"/>
        <v>3</v>
      </c>
      <c r="P316">
        <v>26.25</v>
      </c>
      <c r="Q316" t="str">
        <f t="shared" si="20"/>
        <v>High</v>
      </c>
      <c r="R316" t="s">
        <v>1514</v>
      </c>
    </row>
    <row r="317" spans="1:18" x14ac:dyDescent="0.45">
      <c r="A317">
        <v>316</v>
      </c>
      <c r="B317">
        <v>1</v>
      </c>
      <c r="C317" t="str">
        <f t="shared" si="21"/>
        <v>Survived</v>
      </c>
      <c r="D317">
        <v>3</v>
      </c>
      <c r="E317" t="s">
        <v>1032</v>
      </c>
      <c r="F317" t="s">
        <v>724</v>
      </c>
      <c r="G317" t="s">
        <v>329</v>
      </c>
      <c r="H317" t="s">
        <v>10</v>
      </c>
      <c r="I317" t="str">
        <f t="shared" si="22"/>
        <v>Female</v>
      </c>
      <c r="J317">
        <v>26</v>
      </c>
      <c r="K317" t="str">
        <f t="shared" si="23"/>
        <v>Adult</v>
      </c>
      <c r="L317" t="str" cm="1">
        <f t="array" ref="L317">_xlfn.IFS(J317&lt;13,"Child",J317&lt;18,"Teen",J317&lt;60,"Adult",J317&gt;60,"Old Age")</f>
        <v>Adult</v>
      </c>
      <c r="M317">
        <v>0</v>
      </c>
      <c r="N317">
        <v>0</v>
      </c>
      <c r="O317">
        <f t="shared" si="24"/>
        <v>1</v>
      </c>
      <c r="P317">
        <v>7.8541999999999996</v>
      </c>
      <c r="Q317" t="str">
        <f t="shared" si="20"/>
        <v>High</v>
      </c>
      <c r="R317" t="s">
        <v>1514</v>
      </c>
    </row>
    <row r="318" spans="1:18" x14ac:dyDescent="0.45">
      <c r="A318">
        <v>317</v>
      </c>
      <c r="B318">
        <v>1</v>
      </c>
      <c r="C318" t="str">
        <f t="shared" si="21"/>
        <v>Survived</v>
      </c>
      <c r="D318">
        <v>2</v>
      </c>
      <c r="E318" t="s">
        <v>1033</v>
      </c>
      <c r="F318" t="s">
        <v>723</v>
      </c>
      <c r="G318" t="s">
        <v>149</v>
      </c>
      <c r="H318" t="s">
        <v>10</v>
      </c>
      <c r="I318" t="str">
        <f t="shared" si="22"/>
        <v>Female</v>
      </c>
      <c r="J318">
        <v>24</v>
      </c>
      <c r="K318" t="str">
        <f t="shared" si="23"/>
        <v>Adult</v>
      </c>
      <c r="L318" t="str" cm="1">
        <f t="array" ref="L318">_xlfn.IFS(J318&lt;13,"Child",J318&lt;18,"Teen",J318&lt;60,"Adult",J318&gt;60,"Old Age")</f>
        <v>Adult</v>
      </c>
      <c r="M318">
        <v>1</v>
      </c>
      <c r="N318">
        <v>0</v>
      </c>
      <c r="O318">
        <f t="shared" si="24"/>
        <v>2</v>
      </c>
      <c r="P318">
        <v>26</v>
      </c>
      <c r="Q318" t="str">
        <f t="shared" si="20"/>
        <v>High</v>
      </c>
      <c r="R318" t="s">
        <v>1514</v>
      </c>
    </row>
    <row r="319" spans="1:18" x14ac:dyDescent="0.45">
      <c r="A319">
        <v>318</v>
      </c>
      <c r="B319">
        <v>0</v>
      </c>
      <c r="C319" t="str">
        <f t="shared" si="21"/>
        <v>Not Survived</v>
      </c>
      <c r="D319">
        <v>2</v>
      </c>
      <c r="E319" t="s">
        <v>1034</v>
      </c>
      <c r="F319" t="s">
        <v>728</v>
      </c>
      <c r="G319" t="s">
        <v>330</v>
      </c>
      <c r="H319" t="s">
        <v>9</v>
      </c>
      <c r="I319" t="str">
        <f t="shared" si="22"/>
        <v>Male</v>
      </c>
      <c r="J319">
        <v>54</v>
      </c>
      <c r="K319" t="str">
        <f t="shared" si="23"/>
        <v>Adult</v>
      </c>
      <c r="L319" t="str" cm="1">
        <f t="array" ref="L319">_xlfn.IFS(J319&lt;13,"Child",J319&lt;18,"Teen",J319&lt;60,"Adult",J319&gt;60,"Old Age")</f>
        <v>Adult</v>
      </c>
      <c r="M319">
        <v>0</v>
      </c>
      <c r="N319">
        <v>0</v>
      </c>
      <c r="O319">
        <f t="shared" si="24"/>
        <v>1</v>
      </c>
      <c r="P319">
        <v>14</v>
      </c>
      <c r="Q319" t="str">
        <f t="shared" si="20"/>
        <v>High</v>
      </c>
      <c r="R319" t="s">
        <v>1514</v>
      </c>
    </row>
    <row r="320" spans="1:18" x14ac:dyDescent="0.45">
      <c r="A320">
        <v>319</v>
      </c>
      <c r="B320">
        <v>1</v>
      </c>
      <c r="C320" t="str">
        <f t="shared" si="21"/>
        <v>Survived</v>
      </c>
      <c r="D320">
        <v>1</v>
      </c>
      <c r="E320" t="s">
        <v>1035</v>
      </c>
      <c r="F320" t="s">
        <v>724</v>
      </c>
      <c r="G320" t="s">
        <v>331</v>
      </c>
      <c r="H320" t="s">
        <v>10</v>
      </c>
      <c r="I320" t="str">
        <f t="shared" si="22"/>
        <v>Female</v>
      </c>
      <c r="J320">
        <v>31</v>
      </c>
      <c r="K320" t="str">
        <f t="shared" si="23"/>
        <v>Adult</v>
      </c>
      <c r="L320" t="str" cm="1">
        <f t="array" ref="L320">_xlfn.IFS(J320&lt;13,"Child",J320&lt;18,"Teen",J320&lt;60,"Adult",J320&gt;60,"Old Age")</f>
        <v>Adult</v>
      </c>
      <c r="M320">
        <v>0</v>
      </c>
      <c r="N320">
        <v>2</v>
      </c>
      <c r="O320">
        <f t="shared" si="24"/>
        <v>3</v>
      </c>
      <c r="P320">
        <v>164.86670000000001</v>
      </c>
      <c r="Q320" t="str">
        <f t="shared" si="20"/>
        <v>High</v>
      </c>
      <c r="R320" t="s">
        <v>1514</v>
      </c>
    </row>
    <row r="321" spans="1:18" x14ac:dyDescent="0.45">
      <c r="A321">
        <v>320</v>
      </c>
      <c r="B321">
        <v>1</v>
      </c>
      <c r="C321" t="str">
        <f t="shared" si="21"/>
        <v>Survived</v>
      </c>
      <c r="D321">
        <v>1</v>
      </c>
      <c r="E321" t="s">
        <v>1036</v>
      </c>
      <c r="F321" t="s">
        <v>723</v>
      </c>
      <c r="G321" t="s">
        <v>332</v>
      </c>
      <c r="H321" t="s">
        <v>10</v>
      </c>
      <c r="I321" t="str">
        <f t="shared" si="22"/>
        <v>Female</v>
      </c>
      <c r="J321">
        <v>40</v>
      </c>
      <c r="K321" t="str">
        <f t="shared" si="23"/>
        <v>Adult</v>
      </c>
      <c r="L321" t="str" cm="1">
        <f t="array" ref="L321">_xlfn.IFS(J321&lt;13,"Child",J321&lt;18,"Teen",J321&lt;60,"Adult",J321&gt;60,"Old Age")</f>
        <v>Adult</v>
      </c>
      <c r="M321">
        <v>1</v>
      </c>
      <c r="N321">
        <v>1</v>
      </c>
      <c r="O321">
        <f t="shared" si="24"/>
        <v>3</v>
      </c>
      <c r="P321">
        <v>134.5</v>
      </c>
      <c r="Q321" t="str">
        <f t="shared" si="20"/>
        <v>High</v>
      </c>
      <c r="R321" t="s">
        <v>1515</v>
      </c>
    </row>
    <row r="322" spans="1:18" x14ac:dyDescent="0.45">
      <c r="A322">
        <v>321</v>
      </c>
      <c r="B322">
        <v>0</v>
      </c>
      <c r="C322" t="str">
        <f t="shared" si="21"/>
        <v>Not Survived</v>
      </c>
      <c r="D322">
        <v>3</v>
      </c>
      <c r="E322" t="s">
        <v>1026</v>
      </c>
      <c r="F322" t="s">
        <v>722</v>
      </c>
      <c r="G322" t="s">
        <v>333</v>
      </c>
      <c r="H322" t="s">
        <v>9</v>
      </c>
      <c r="I322" t="str">
        <f t="shared" si="22"/>
        <v>Male</v>
      </c>
      <c r="J322">
        <v>22</v>
      </c>
      <c r="K322" t="str">
        <f t="shared" si="23"/>
        <v>Adult</v>
      </c>
      <c r="L322" t="str" cm="1">
        <f t="array" ref="L322">_xlfn.IFS(J322&lt;13,"Child",J322&lt;18,"Teen",J322&lt;60,"Adult",J322&gt;60,"Old Age")</f>
        <v>Adult</v>
      </c>
      <c r="M322">
        <v>0</v>
      </c>
      <c r="N322">
        <v>0</v>
      </c>
      <c r="O322">
        <f t="shared" si="24"/>
        <v>1</v>
      </c>
      <c r="P322">
        <v>7.25</v>
      </c>
      <c r="Q322" t="str">
        <f t="shared" ref="Q322:Q385" si="25">IF(A322&lt;=10,"Low",IF(A322&lt;=50,"Medium","High"))</f>
        <v>High</v>
      </c>
      <c r="R322" t="s">
        <v>1514</v>
      </c>
    </row>
    <row r="323" spans="1:18" x14ac:dyDescent="0.45">
      <c r="A323">
        <v>322</v>
      </c>
      <c r="B323">
        <v>0</v>
      </c>
      <c r="C323" t="str">
        <f t="shared" ref="C323:C386" si="26">IF(B323 = 0, "Not Survived","Survived")</f>
        <v>Not Survived</v>
      </c>
      <c r="D323">
        <v>3</v>
      </c>
      <c r="E323" t="s">
        <v>1037</v>
      </c>
      <c r="F323" t="s">
        <v>722</v>
      </c>
      <c r="G323" t="s">
        <v>334</v>
      </c>
      <c r="H323" t="s">
        <v>9</v>
      </c>
      <c r="I323" t="str">
        <f t="shared" ref="I323:I386" si="27">PROPER(H323)</f>
        <v>Male</v>
      </c>
      <c r="J323">
        <v>27</v>
      </c>
      <c r="K323" t="str">
        <f t="shared" ref="K323:K386" si="28">IF(J323&lt;13,"Child",IF(J323&lt;18,"Teen",IF(J323&lt;60,"Adult","Old Age")))</f>
        <v>Adult</v>
      </c>
      <c r="L323" t="str" cm="1">
        <f t="array" ref="L323">_xlfn.IFS(J323&lt;13,"Child",J323&lt;18,"Teen",J323&lt;60,"Adult",J323&gt;60,"Old Age")</f>
        <v>Adult</v>
      </c>
      <c r="M323">
        <v>0</v>
      </c>
      <c r="N323">
        <v>0</v>
      </c>
      <c r="O323">
        <f t="shared" ref="O323:O386" si="29">M323+N323+1</f>
        <v>1</v>
      </c>
      <c r="P323">
        <v>7.8958000000000004</v>
      </c>
      <c r="Q323" t="str">
        <f t="shared" si="25"/>
        <v>High</v>
      </c>
      <c r="R323" t="s">
        <v>1514</v>
      </c>
    </row>
    <row r="324" spans="1:18" x14ac:dyDescent="0.45">
      <c r="A324">
        <v>323</v>
      </c>
      <c r="B324">
        <v>1</v>
      </c>
      <c r="C324" t="str">
        <f t="shared" si="26"/>
        <v>Survived</v>
      </c>
      <c r="D324">
        <v>2</v>
      </c>
      <c r="E324" t="s">
        <v>1038</v>
      </c>
      <c r="F324" t="s">
        <v>724</v>
      </c>
      <c r="G324" t="s">
        <v>335</v>
      </c>
      <c r="H324" t="s">
        <v>10</v>
      </c>
      <c r="I324" t="str">
        <f t="shared" si="27"/>
        <v>Female</v>
      </c>
      <c r="J324">
        <v>30</v>
      </c>
      <c r="K324" t="str">
        <f t="shared" si="28"/>
        <v>Adult</v>
      </c>
      <c r="L324" t="str" cm="1">
        <f t="array" ref="L324">_xlfn.IFS(J324&lt;13,"Child",J324&lt;18,"Teen",J324&lt;60,"Adult",J324&gt;60,"Old Age")</f>
        <v>Adult</v>
      </c>
      <c r="M324">
        <v>0</v>
      </c>
      <c r="N324">
        <v>0</v>
      </c>
      <c r="O324">
        <f t="shared" si="29"/>
        <v>1</v>
      </c>
      <c r="P324">
        <v>12.35</v>
      </c>
      <c r="Q324" t="str">
        <f t="shared" si="25"/>
        <v>High</v>
      </c>
      <c r="R324" t="s">
        <v>1516</v>
      </c>
    </row>
    <row r="325" spans="1:18" x14ac:dyDescent="0.45">
      <c r="A325">
        <v>324</v>
      </c>
      <c r="B325">
        <v>1</v>
      </c>
      <c r="C325" t="str">
        <f t="shared" si="26"/>
        <v>Survived</v>
      </c>
      <c r="D325">
        <v>2</v>
      </c>
      <c r="E325" t="s">
        <v>1039</v>
      </c>
      <c r="F325" t="s">
        <v>723</v>
      </c>
      <c r="G325" t="s">
        <v>129</v>
      </c>
      <c r="H325" t="s">
        <v>10</v>
      </c>
      <c r="I325" t="str">
        <f t="shared" si="27"/>
        <v>Female</v>
      </c>
      <c r="J325">
        <v>22</v>
      </c>
      <c r="K325" t="str">
        <f t="shared" si="28"/>
        <v>Adult</v>
      </c>
      <c r="L325" t="str" cm="1">
        <f t="array" ref="L325">_xlfn.IFS(J325&lt;13,"Child",J325&lt;18,"Teen",J325&lt;60,"Adult",J325&gt;60,"Old Age")</f>
        <v>Adult</v>
      </c>
      <c r="M325">
        <v>1</v>
      </c>
      <c r="N325">
        <v>1</v>
      </c>
      <c r="O325">
        <f t="shared" si="29"/>
        <v>3</v>
      </c>
      <c r="P325">
        <v>29</v>
      </c>
      <c r="Q325" t="str">
        <f t="shared" si="25"/>
        <v>High</v>
      </c>
      <c r="R325" t="s">
        <v>1514</v>
      </c>
    </row>
    <row r="326" spans="1:18" x14ac:dyDescent="0.45">
      <c r="A326">
        <v>325</v>
      </c>
      <c r="B326">
        <v>0</v>
      </c>
      <c r="C326" t="str">
        <f t="shared" si="26"/>
        <v>Not Survived</v>
      </c>
      <c r="D326">
        <v>3</v>
      </c>
      <c r="E326" t="s">
        <v>1040</v>
      </c>
      <c r="F326" t="s">
        <v>722</v>
      </c>
      <c r="G326" t="s">
        <v>199</v>
      </c>
      <c r="H326" t="s">
        <v>9</v>
      </c>
      <c r="I326" t="str">
        <f t="shared" si="27"/>
        <v>Male</v>
      </c>
      <c r="J326">
        <v>28</v>
      </c>
      <c r="K326" t="str">
        <f t="shared" si="28"/>
        <v>Adult</v>
      </c>
      <c r="L326" t="str" cm="1">
        <f t="array" ref="L326">_xlfn.IFS(J326&lt;13,"Child",J326&lt;18,"Teen",J326&lt;60,"Adult",J326&gt;60,"Old Age")</f>
        <v>Adult</v>
      </c>
      <c r="M326">
        <v>8</v>
      </c>
      <c r="N326">
        <v>2</v>
      </c>
      <c r="O326">
        <f t="shared" si="29"/>
        <v>11</v>
      </c>
      <c r="P326">
        <v>69.55</v>
      </c>
      <c r="Q326" t="str">
        <f t="shared" si="25"/>
        <v>High</v>
      </c>
      <c r="R326" t="s">
        <v>1514</v>
      </c>
    </row>
    <row r="327" spans="1:18" x14ac:dyDescent="0.45">
      <c r="A327">
        <v>326</v>
      </c>
      <c r="B327">
        <v>1</v>
      </c>
      <c r="C327" t="str">
        <f t="shared" si="26"/>
        <v>Survived</v>
      </c>
      <c r="D327">
        <v>1</v>
      </c>
      <c r="E327" t="s">
        <v>1041</v>
      </c>
      <c r="F327" t="s">
        <v>724</v>
      </c>
      <c r="G327" t="s">
        <v>336</v>
      </c>
      <c r="H327" t="s">
        <v>10</v>
      </c>
      <c r="I327" t="str">
        <f t="shared" si="27"/>
        <v>Female</v>
      </c>
      <c r="J327">
        <v>36</v>
      </c>
      <c r="K327" t="str">
        <f t="shared" si="28"/>
        <v>Adult</v>
      </c>
      <c r="L327" t="str" cm="1">
        <f t="array" ref="L327">_xlfn.IFS(J327&lt;13,"Child",J327&lt;18,"Teen",J327&lt;60,"Adult",J327&gt;60,"Old Age")</f>
        <v>Adult</v>
      </c>
      <c r="M327">
        <v>0</v>
      </c>
      <c r="N327">
        <v>0</v>
      </c>
      <c r="O327">
        <f t="shared" si="29"/>
        <v>1</v>
      </c>
      <c r="P327">
        <v>135.63329999999999</v>
      </c>
      <c r="Q327" t="str">
        <f t="shared" si="25"/>
        <v>High</v>
      </c>
      <c r="R327" t="s">
        <v>1515</v>
      </c>
    </row>
    <row r="328" spans="1:18" x14ac:dyDescent="0.45">
      <c r="A328">
        <v>327</v>
      </c>
      <c r="B328">
        <v>0</v>
      </c>
      <c r="C328" t="str">
        <f t="shared" si="26"/>
        <v>Not Survived</v>
      </c>
      <c r="D328">
        <v>3</v>
      </c>
      <c r="E328" t="s">
        <v>1042</v>
      </c>
      <c r="F328" t="s">
        <v>722</v>
      </c>
      <c r="G328" t="s">
        <v>337</v>
      </c>
      <c r="H328" t="s">
        <v>9</v>
      </c>
      <c r="I328" t="str">
        <f t="shared" si="27"/>
        <v>Male</v>
      </c>
      <c r="J328">
        <v>61</v>
      </c>
      <c r="K328" t="str">
        <f t="shared" si="28"/>
        <v>Old Age</v>
      </c>
      <c r="L328" t="str" cm="1">
        <f t="array" ref="L328">_xlfn.IFS(J328&lt;13,"Child",J328&lt;18,"Teen",J328&lt;60,"Adult",J328&gt;60,"Old Age")</f>
        <v>Old Age</v>
      </c>
      <c r="M328">
        <v>0</v>
      </c>
      <c r="N328">
        <v>0</v>
      </c>
      <c r="O328">
        <f t="shared" si="29"/>
        <v>1</v>
      </c>
      <c r="P328">
        <v>6.2374999999999998</v>
      </c>
      <c r="Q328" t="str">
        <f t="shared" si="25"/>
        <v>High</v>
      </c>
      <c r="R328" t="s">
        <v>1514</v>
      </c>
    </row>
    <row r="329" spans="1:18" x14ac:dyDescent="0.45">
      <c r="A329">
        <v>328</v>
      </c>
      <c r="B329">
        <v>1</v>
      </c>
      <c r="C329" t="str">
        <f t="shared" si="26"/>
        <v>Survived</v>
      </c>
      <c r="D329">
        <v>2</v>
      </c>
      <c r="E329" t="s">
        <v>753</v>
      </c>
      <c r="F329" t="s">
        <v>723</v>
      </c>
      <c r="G329" t="s">
        <v>338</v>
      </c>
      <c r="H329" t="s">
        <v>10</v>
      </c>
      <c r="I329" t="str">
        <f t="shared" si="27"/>
        <v>Female</v>
      </c>
      <c r="J329">
        <v>36</v>
      </c>
      <c r="K329" t="str">
        <f t="shared" si="28"/>
        <v>Adult</v>
      </c>
      <c r="L329" t="str" cm="1">
        <f t="array" ref="L329">_xlfn.IFS(J329&lt;13,"Child",J329&lt;18,"Teen",J329&lt;60,"Adult",J329&gt;60,"Old Age")</f>
        <v>Adult</v>
      </c>
      <c r="M329">
        <v>0</v>
      </c>
      <c r="N329">
        <v>0</v>
      </c>
      <c r="O329">
        <f t="shared" si="29"/>
        <v>1</v>
      </c>
      <c r="P329">
        <v>13</v>
      </c>
      <c r="Q329" t="str">
        <f t="shared" si="25"/>
        <v>High</v>
      </c>
      <c r="R329" t="s">
        <v>1514</v>
      </c>
    </row>
    <row r="330" spans="1:18" x14ac:dyDescent="0.45">
      <c r="A330">
        <v>329</v>
      </c>
      <c r="B330">
        <v>1</v>
      </c>
      <c r="C330" t="str">
        <f t="shared" si="26"/>
        <v>Survived</v>
      </c>
      <c r="D330">
        <v>3</v>
      </c>
      <c r="E330" t="s">
        <v>1043</v>
      </c>
      <c r="F330" t="s">
        <v>723</v>
      </c>
      <c r="G330" t="s">
        <v>204</v>
      </c>
      <c r="H330" t="s">
        <v>10</v>
      </c>
      <c r="I330" t="str">
        <f t="shared" si="27"/>
        <v>Female</v>
      </c>
      <c r="J330">
        <v>31</v>
      </c>
      <c r="K330" t="str">
        <f t="shared" si="28"/>
        <v>Adult</v>
      </c>
      <c r="L330" t="str" cm="1">
        <f t="array" ref="L330">_xlfn.IFS(J330&lt;13,"Child",J330&lt;18,"Teen",J330&lt;60,"Adult",J330&gt;60,"Old Age")</f>
        <v>Adult</v>
      </c>
      <c r="M330">
        <v>1</v>
      </c>
      <c r="N330">
        <v>1</v>
      </c>
      <c r="O330">
        <f t="shared" si="29"/>
        <v>3</v>
      </c>
      <c r="P330" t="s">
        <v>24</v>
      </c>
      <c r="Q330" t="str">
        <f t="shared" si="25"/>
        <v>High</v>
      </c>
      <c r="R330" t="s">
        <v>1514</v>
      </c>
    </row>
    <row r="331" spans="1:18" x14ac:dyDescent="0.45">
      <c r="A331">
        <v>330</v>
      </c>
      <c r="B331">
        <v>1</v>
      </c>
      <c r="C331" t="str">
        <f t="shared" si="26"/>
        <v>Survived</v>
      </c>
      <c r="D331">
        <v>1</v>
      </c>
      <c r="E331" t="s">
        <v>1044</v>
      </c>
      <c r="F331" t="s">
        <v>724</v>
      </c>
      <c r="G331" t="s">
        <v>339</v>
      </c>
      <c r="H331" t="s">
        <v>10</v>
      </c>
      <c r="I331" t="str">
        <f t="shared" si="27"/>
        <v>Female</v>
      </c>
      <c r="J331">
        <v>16</v>
      </c>
      <c r="K331" t="str">
        <f t="shared" si="28"/>
        <v>Teen</v>
      </c>
      <c r="L331" t="str" cm="1">
        <f t="array" ref="L331">_xlfn.IFS(J331&lt;13,"Child",J331&lt;18,"Teen",J331&lt;60,"Adult",J331&gt;60,"Old Age")</f>
        <v>Teen</v>
      </c>
      <c r="M331">
        <v>0</v>
      </c>
      <c r="N331">
        <v>1</v>
      </c>
      <c r="O331">
        <f t="shared" si="29"/>
        <v>2</v>
      </c>
      <c r="P331">
        <v>57.979199999999999</v>
      </c>
      <c r="Q331" t="str">
        <f t="shared" si="25"/>
        <v>High</v>
      </c>
      <c r="R331" t="s">
        <v>1515</v>
      </c>
    </row>
    <row r="332" spans="1:18" x14ac:dyDescent="0.45">
      <c r="A332">
        <v>331</v>
      </c>
      <c r="B332">
        <v>1</v>
      </c>
      <c r="C332" t="str">
        <f t="shared" si="26"/>
        <v>Survived</v>
      </c>
      <c r="D332">
        <v>3</v>
      </c>
      <c r="E332" t="s">
        <v>1045</v>
      </c>
      <c r="F332" t="s">
        <v>724</v>
      </c>
      <c r="G332" t="s">
        <v>318</v>
      </c>
      <c r="H332" t="s">
        <v>10</v>
      </c>
      <c r="I332" t="str">
        <f t="shared" si="27"/>
        <v>Female</v>
      </c>
      <c r="J332">
        <v>28</v>
      </c>
      <c r="K332" t="str">
        <f t="shared" si="28"/>
        <v>Adult</v>
      </c>
      <c r="L332" t="str" cm="1">
        <f t="array" ref="L332">_xlfn.IFS(J332&lt;13,"Child",J332&lt;18,"Teen",J332&lt;60,"Adult",J332&gt;60,"Old Age")</f>
        <v>Adult</v>
      </c>
      <c r="M332">
        <v>2</v>
      </c>
      <c r="N332">
        <v>0</v>
      </c>
      <c r="O332">
        <f t="shared" si="29"/>
        <v>3</v>
      </c>
      <c r="P332">
        <v>23.25</v>
      </c>
      <c r="Q332" t="str">
        <f t="shared" si="25"/>
        <v>High</v>
      </c>
      <c r="R332" t="s">
        <v>1516</v>
      </c>
    </row>
    <row r="333" spans="1:18" x14ac:dyDescent="0.45">
      <c r="A333">
        <v>332</v>
      </c>
      <c r="B333">
        <v>0</v>
      </c>
      <c r="C333" t="str">
        <f t="shared" si="26"/>
        <v>Not Survived</v>
      </c>
      <c r="D333">
        <v>1</v>
      </c>
      <c r="E333" t="s">
        <v>1046</v>
      </c>
      <c r="F333" t="s">
        <v>722</v>
      </c>
      <c r="G333" t="s">
        <v>340</v>
      </c>
      <c r="H333" t="s">
        <v>9</v>
      </c>
      <c r="I333" t="str">
        <f t="shared" si="27"/>
        <v>Male</v>
      </c>
      <c r="J333">
        <v>45.5</v>
      </c>
      <c r="K333" t="str">
        <f t="shared" si="28"/>
        <v>Adult</v>
      </c>
      <c r="L333" t="str" cm="1">
        <f t="array" ref="L333">_xlfn.IFS(J333&lt;13,"Child",J333&lt;18,"Teen",J333&lt;60,"Adult",J333&gt;60,"Old Age")</f>
        <v>Adult</v>
      </c>
      <c r="M333">
        <v>0</v>
      </c>
      <c r="N333">
        <v>0</v>
      </c>
      <c r="O333">
        <f t="shared" si="29"/>
        <v>1</v>
      </c>
      <c r="P333">
        <v>28.5</v>
      </c>
      <c r="Q333" t="str">
        <f t="shared" si="25"/>
        <v>High</v>
      </c>
      <c r="R333" t="s">
        <v>1514</v>
      </c>
    </row>
    <row r="334" spans="1:18" x14ac:dyDescent="0.45">
      <c r="A334">
        <v>333</v>
      </c>
      <c r="B334">
        <v>0</v>
      </c>
      <c r="C334" t="str">
        <f t="shared" si="26"/>
        <v>Not Survived</v>
      </c>
      <c r="D334">
        <v>1</v>
      </c>
      <c r="E334" t="s">
        <v>1047</v>
      </c>
      <c r="F334" t="s">
        <v>722</v>
      </c>
      <c r="G334" t="s">
        <v>288</v>
      </c>
      <c r="H334" t="s">
        <v>9</v>
      </c>
      <c r="I334" t="str">
        <f t="shared" si="27"/>
        <v>Male</v>
      </c>
      <c r="J334">
        <v>38</v>
      </c>
      <c r="K334" t="str">
        <f t="shared" si="28"/>
        <v>Adult</v>
      </c>
      <c r="L334" t="str" cm="1">
        <f t="array" ref="L334">_xlfn.IFS(J334&lt;13,"Child",J334&lt;18,"Teen",J334&lt;60,"Adult",J334&gt;60,"Old Age")</f>
        <v>Adult</v>
      </c>
      <c r="M334">
        <v>0</v>
      </c>
      <c r="N334">
        <v>1</v>
      </c>
      <c r="O334">
        <f t="shared" si="29"/>
        <v>2</v>
      </c>
      <c r="P334">
        <v>153.46250000000001</v>
      </c>
      <c r="Q334" t="str">
        <f t="shared" si="25"/>
        <v>High</v>
      </c>
      <c r="R334" t="s">
        <v>1514</v>
      </c>
    </row>
    <row r="335" spans="1:18" x14ac:dyDescent="0.45">
      <c r="A335">
        <v>334</v>
      </c>
      <c r="B335">
        <v>0</v>
      </c>
      <c r="C335" t="str">
        <f t="shared" si="26"/>
        <v>Not Survived</v>
      </c>
      <c r="D335">
        <v>3</v>
      </c>
      <c r="E335" t="s">
        <v>1048</v>
      </c>
      <c r="F335" t="s">
        <v>722</v>
      </c>
      <c r="G335" t="s">
        <v>73</v>
      </c>
      <c r="H335" t="s">
        <v>9</v>
      </c>
      <c r="I335" t="str">
        <f t="shared" si="27"/>
        <v>Male</v>
      </c>
      <c r="J335">
        <v>16</v>
      </c>
      <c r="K335" t="str">
        <f t="shared" si="28"/>
        <v>Teen</v>
      </c>
      <c r="L335" t="str" cm="1">
        <f t="array" ref="L335">_xlfn.IFS(J335&lt;13,"Child",J335&lt;18,"Teen",J335&lt;60,"Adult",J335&gt;60,"Old Age")</f>
        <v>Teen</v>
      </c>
      <c r="M335">
        <v>2</v>
      </c>
      <c r="N335">
        <v>0</v>
      </c>
      <c r="O335">
        <f t="shared" si="29"/>
        <v>3</v>
      </c>
      <c r="P335">
        <v>18</v>
      </c>
      <c r="Q335" t="str">
        <f t="shared" si="25"/>
        <v>High</v>
      </c>
      <c r="R335" t="s">
        <v>1514</v>
      </c>
    </row>
    <row r="336" spans="1:18" x14ac:dyDescent="0.45">
      <c r="A336">
        <v>335</v>
      </c>
      <c r="B336">
        <v>1</v>
      </c>
      <c r="C336" t="str">
        <f t="shared" si="26"/>
        <v>Survived</v>
      </c>
      <c r="D336">
        <v>1</v>
      </c>
      <c r="E336" t="s">
        <v>1049</v>
      </c>
      <c r="F336" t="s">
        <v>723</v>
      </c>
      <c r="G336" t="s">
        <v>341</v>
      </c>
      <c r="H336" t="s">
        <v>10</v>
      </c>
      <c r="I336" t="str">
        <f t="shared" si="27"/>
        <v>Female</v>
      </c>
      <c r="J336">
        <v>28</v>
      </c>
      <c r="K336" t="str">
        <f t="shared" si="28"/>
        <v>Adult</v>
      </c>
      <c r="L336" t="str" cm="1">
        <f t="array" ref="L336">_xlfn.IFS(J336&lt;13,"Child",J336&lt;18,"Teen",J336&lt;60,"Adult",J336&gt;60,"Old Age")</f>
        <v>Adult</v>
      </c>
      <c r="M336">
        <v>1</v>
      </c>
      <c r="N336">
        <v>0</v>
      </c>
      <c r="O336">
        <f t="shared" si="29"/>
        <v>2</v>
      </c>
      <c r="P336">
        <v>133.65</v>
      </c>
      <c r="Q336" t="str">
        <f t="shared" si="25"/>
        <v>High</v>
      </c>
      <c r="R336" t="s">
        <v>1514</v>
      </c>
    </row>
    <row r="337" spans="1:18" x14ac:dyDescent="0.45">
      <c r="A337">
        <v>336</v>
      </c>
      <c r="B337">
        <v>0</v>
      </c>
      <c r="C337" t="str">
        <f t="shared" si="26"/>
        <v>Not Survived</v>
      </c>
      <c r="D337">
        <v>3</v>
      </c>
      <c r="E337" t="s">
        <v>1050</v>
      </c>
      <c r="F337" t="s">
        <v>722</v>
      </c>
      <c r="G337" t="s">
        <v>342</v>
      </c>
      <c r="H337" t="s">
        <v>9</v>
      </c>
      <c r="I337" t="str">
        <f t="shared" si="27"/>
        <v>Male</v>
      </c>
      <c r="J337">
        <v>28</v>
      </c>
      <c r="K337" t="str">
        <f t="shared" si="28"/>
        <v>Adult</v>
      </c>
      <c r="L337" t="str" cm="1">
        <f t="array" ref="L337">_xlfn.IFS(J337&lt;13,"Child",J337&lt;18,"Teen",J337&lt;60,"Adult",J337&gt;60,"Old Age")</f>
        <v>Adult</v>
      </c>
      <c r="M337">
        <v>0</v>
      </c>
      <c r="N337">
        <v>0</v>
      </c>
      <c r="O337">
        <f t="shared" si="29"/>
        <v>1</v>
      </c>
      <c r="P337">
        <v>7.8958000000000004</v>
      </c>
      <c r="Q337" t="str">
        <f t="shared" si="25"/>
        <v>High</v>
      </c>
      <c r="R337" t="s">
        <v>1514</v>
      </c>
    </row>
    <row r="338" spans="1:18" x14ac:dyDescent="0.45">
      <c r="A338">
        <v>337</v>
      </c>
      <c r="B338">
        <v>0</v>
      </c>
      <c r="C338" t="str">
        <f t="shared" si="26"/>
        <v>Not Survived</v>
      </c>
      <c r="D338">
        <v>1</v>
      </c>
      <c r="E338" t="s">
        <v>1051</v>
      </c>
      <c r="F338" t="s">
        <v>722</v>
      </c>
      <c r="G338" t="s">
        <v>192</v>
      </c>
      <c r="H338" t="s">
        <v>9</v>
      </c>
      <c r="I338" t="str">
        <f t="shared" si="27"/>
        <v>Male</v>
      </c>
      <c r="J338">
        <v>29</v>
      </c>
      <c r="K338" t="str">
        <f t="shared" si="28"/>
        <v>Adult</v>
      </c>
      <c r="L338" t="str" cm="1">
        <f t="array" ref="L338">_xlfn.IFS(J338&lt;13,"Child",J338&lt;18,"Teen",J338&lt;60,"Adult",J338&gt;60,"Old Age")</f>
        <v>Adult</v>
      </c>
      <c r="M338">
        <v>1</v>
      </c>
      <c r="N338">
        <v>0</v>
      </c>
      <c r="O338">
        <f t="shared" si="29"/>
        <v>2</v>
      </c>
      <c r="P338">
        <v>66.599999999999994</v>
      </c>
      <c r="Q338" t="str">
        <f t="shared" si="25"/>
        <v>High</v>
      </c>
      <c r="R338" t="s">
        <v>1514</v>
      </c>
    </row>
    <row r="339" spans="1:18" x14ac:dyDescent="0.45">
      <c r="A339">
        <v>338</v>
      </c>
      <c r="B339">
        <v>1</v>
      </c>
      <c r="C339" t="str">
        <f t="shared" si="26"/>
        <v>Survived</v>
      </c>
      <c r="D339">
        <v>1</v>
      </c>
      <c r="E339" t="s">
        <v>1052</v>
      </c>
      <c r="F339" t="s">
        <v>724</v>
      </c>
      <c r="G339" t="s">
        <v>343</v>
      </c>
      <c r="H339" t="s">
        <v>10</v>
      </c>
      <c r="I339" t="str">
        <f t="shared" si="27"/>
        <v>Female</v>
      </c>
      <c r="J339">
        <v>41</v>
      </c>
      <c r="K339" t="str">
        <f t="shared" si="28"/>
        <v>Adult</v>
      </c>
      <c r="L339" t="str" cm="1">
        <f t="array" ref="L339">_xlfn.IFS(J339&lt;13,"Child",J339&lt;18,"Teen",J339&lt;60,"Adult",J339&gt;60,"Old Age")</f>
        <v>Adult</v>
      </c>
      <c r="M339">
        <v>0</v>
      </c>
      <c r="N339">
        <v>0</v>
      </c>
      <c r="O339">
        <f t="shared" si="29"/>
        <v>1</v>
      </c>
      <c r="P339">
        <v>134.5</v>
      </c>
      <c r="Q339" t="str">
        <f t="shared" si="25"/>
        <v>High</v>
      </c>
      <c r="R339" t="s">
        <v>1515</v>
      </c>
    </row>
    <row r="340" spans="1:18" x14ac:dyDescent="0.45">
      <c r="A340">
        <v>339</v>
      </c>
      <c r="B340">
        <v>1</v>
      </c>
      <c r="C340" t="str">
        <f t="shared" si="26"/>
        <v>Survived</v>
      </c>
      <c r="D340">
        <v>3</v>
      </c>
      <c r="E340" t="s">
        <v>1053</v>
      </c>
      <c r="F340" t="s">
        <v>722</v>
      </c>
      <c r="G340" t="s">
        <v>344</v>
      </c>
      <c r="H340" t="s">
        <v>9</v>
      </c>
      <c r="I340" t="str">
        <f t="shared" si="27"/>
        <v>Male</v>
      </c>
      <c r="J340">
        <v>45</v>
      </c>
      <c r="K340" t="str">
        <f t="shared" si="28"/>
        <v>Adult</v>
      </c>
      <c r="L340" t="str" cm="1">
        <f t="array" ref="L340">_xlfn.IFS(J340&lt;13,"Child",J340&lt;18,"Teen",J340&lt;60,"Adult",J340&gt;60,"Old Age")</f>
        <v>Adult</v>
      </c>
      <c r="M340">
        <v>0</v>
      </c>
      <c r="N340">
        <v>0</v>
      </c>
      <c r="O340">
        <f t="shared" si="29"/>
        <v>1</v>
      </c>
      <c r="P340" t="s">
        <v>12</v>
      </c>
      <c r="Q340" t="str">
        <f t="shared" si="25"/>
        <v>High</v>
      </c>
      <c r="R340" t="s">
        <v>1514</v>
      </c>
    </row>
    <row r="341" spans="1:18" x14ac:dyDescent="0.45">
      <c r="A341">
        <v>340</v>
      </c>
      <c r="B341">
        <v>0</v>
      </c>
      <c r="C341" t="str">
        <f t="shared" si="26"/>
        <v>Not Survived</v>
      </c>
      <c r="D341">
        <v>1</v>
      </c>
      <c r="E341" t="s">
        <v>1054</v>
      </c>
      <c r="F341" t="s">
        <v>722</v>
      </c>
      <c r="G341" t="s">
        <v>345</v>
      </c>
      <c r="H341" t="s">
        <v>9</v>
      </c>
      <c r="I341" t="str">
        <f t="shared" si="27"/>
        <v>Male</v>
      </c>
      <c r="J341">
        <v>45</v>
      </c>
      <c r="K341" t="str">
        <f t="shared" si="28"/>
        <v>Adult</v>
      </c>
      <c r="L341" t="str" cm="1">
        <f t="array" ref="L341">_xlfn.IFS(J341&lt;13,"Child",J341&lt;18,"Teen",J341&lt;60,"Adult",J341&gt;60,"Old Age")</f>
        <v>Adult</v>
      </c>
      <c r="M341">
        <v>0</v>
      </c>
      <c r="N341">
        <v>0</v>
      </c>
      <c r="O341">
        <f t="shared" si="29"/>
        <v>1</v>
      </c>
      <c r="P341">
        <v>35.5</v>
      </c>
      <c r="Q341" t="str">
        <f t="shared" si="25"/>
        <v>High</v>
      </c>
      <c r="R341" t="s">
        <v>1514</v>
      </c>
    </row>
    <row r="342" spans="1:18" x14ac:dyDescent="0.45">
      <c r="A342">
        <v>341</v>
      </c>
      <c r="B342">
        <v>1</v>
      </c>
      <c r="C342" t="str">
        <f t="shared" si="26"/>
        <v>Survived</v>
      </c>
      <c r="D342">
        <v>2</v>
      </c>
      <c r="E342" t="s">
        <v>1055</v>
      </c>
      <c r="F342" t="s">
        <v>725</v>
      </c>
      <c r="G342" t="s">
        <v>189</v>
      </c>
      <c r="H342" t="s">
        <v>9</v>
      </c>
      <c r="I342" t="str">
        <f t="shared" si="27"/>
        <v>Male</v>
      </c>
      <c r="J342">
        <v>2</v>
      </c>
      <c r="K342" t="str">
        <f t="shared" si="28"/>
        <v>Child</v>
      </c>
      <c r="L342" t="str" cm="1">
        <f t="array" ref="L342">_xlfn.IFS(J342&lt;13,"Child",J342&lt;18,"Teen",J342&lt;60,"Adult",J342&gt;60,"Old Age")</f>
        <v>Child</v>
      </c>
      <c r="M342">
        <v>1</v>
      </c>
      <c r="N342">
        <v>1</v>
      </c>
      <c r="O342">
        <f t="shared" si="29"/>
        <v>3</v>
      </c>
      <c r="P342">
        <v>26</v>
      </c>
      <c r="Q342" t="str">
        <f t="shared" si="25"/>
        <v>High</v>
      </c>
      <c r="R342" t="s">
        <v>1514</v>
      </c>
    </row>
    <row r="343" spans="1:18" x14ac:dyDescent="0.45">
      <c r="A343">
        <v>342</v>
      </c>
      <c r="B343">
        <v>1</v>
      </c>
      <c r="C343" t="str">
        <f t="shared" si="26"/>
        <v>Survived</v>
      </c>
      <c r="D343">
        <v>1</v>
      </c>
      <c r="E343" t="s">
        <v>1056</v>
      </c>
      <c r="F343" t="s">
        <v>724</v>
      </c>
      <c r="G343" t="s">
        <v>81</v>
      </c>
      <c r="H343" t="s">
        <v>10</v>
      </c>
      <c r="I343" t="str">
        <f t="shared" si="27"/>
        <v>Female</v>
      </c>
      <c r="J343">
        <v>24</v>
      </c>
      <c r="K343" t="str">
        <f t="shared" si="28"/>
        <v>Adult</v>
      </c>
      <c r="L343" t="str" cm="1">
        <f t="array" ref="L343">_xlfn.IFS(J343&lt;13,"Child",J343&lt;18,"Teen",J343&lt;60,"Adult",J343&gt;60,"Old Age")</f>
        <v>Adult</v>
      </c>
      <c r="M343">
        <v>3</v>
      </c>
      <c r="N343">
        <v>2</v>
      </c>
      <c r="O343">
        <f t="shared" si="29"/>
        <v>6</v>
      </c>
      <c r="P343">
        <v>263</v>
      </c>
      <c r="Q343" t="str">
        <f t="shared" si="25"/>
        <v>High</v>
      </c>
      <c r="R343" t="s">
        <v>1514</v>
      </c>
    </row>
    <row r="344" spans="1:18" x14ac:dyDescent="0.45">
      <c r="A344">
        <v>343</v>
      </c>
      <c r="B344">
        <v>0</v>
      </c>
      <c r="C344" t="str">
        <f t="shared" si="26"/>
        <v>Not Survived</v>
      </c>
      <c r="D344">
        <v>2</v>
      </c>
      <c r="E344" t="s">
        <v>1057</v>
      </c>
      <c r="F344" t="s">
        <v>722</v>
      </c>
      <c r="G344" t="s">
        <v>346</v>
      </c>
      <c r="H344" t="s">
        <v>9</v>
      </c>
      <c r="I344" t="str">
        <f t="shared" si="27"/>
        <v>Male</v>
      </c>
      <c r="J344">
        <v>28</v>
      </c>
      <c r="K344" t="str">
        <f t="shared" si="28"/>
        <v>Adult</v>
      </c>
      <c r="L344" t="str" cm="1">
        <f t="array" ref="L344">_xlfn.IFS(J344&lt;13,"Child",J344&lt;18,"Teen",J344&lt;60,"Adult",J344&gt;60,"Old Age")</f>
        <v>Adult</v>
      </c>
      <c r="M344">
        <v>0</v>
      </c>
      <c r="N344">
        <v>0</v>
      </c>
      <c r="O344">
        <f t="shared" si="29"/>
        <v>1</v>
      </c>
      <c r="P344">
        <v>13</v>
      </c>
      <c r="Q344" t="str">
        <f t="shared" si="25"/>
        <v>High</v>
      </c>
      <c r="R344" t="s">
        <v>1514</v>
      </c>
    </row>
    <row r="345" spans="1:18" x14ac:dyDescent="0.45">
      <c r="A345">
        <v>344</v>
      </c>
      <c r="B345">
        <v>0</v>
      </c>
      <c r="C345" t="str">
        <f t="shared" si="26"/>
        <v>Not Survived</v>
      </c>
      <c r="D345">
        <v>2</v>
      </c>
      <c r="E345" t="s">
        <v>1058</v>
      </c>
      <c r="F345" t="s">
        <v>722</v>
      </c>
      <c r="G345" t="s">
        <v>347</v>
      </c>
      <c r="H345" t="s">
        <v>9</v>
      </c>
      <c r="I345" t="str">
        <f t="shared" si="27"/>
        <v>Male</v>
      </c>
      <c r="J345">
        <v>25</v>
      </c>
      <c r="K345" t="str">
        <f t="shared" si="28"/>
        <v>Adult</v>
      </c>
      <c r="L345" t="str" cm="1">
        <f t="array" ref="L345">_xlfn.IFS(J345&lt;13,"Child",J345&lt;18,"Teen",J345&lt;60,"Adult",J345&gt;60,"Old Age")</f>
        <v>Adult</v>
      </c>
      <c r="M345">
        <v>0</v>
      </c>
      <c r="N345">
        <v>0</v>
      </c>
      <c r="O345">
        <f t="shared" si="29"/>
        <v>1</v>
      </c>
      <c r="P345">
        <v>13</v>
      </c>
      <c r="Q345" t="str">
        <f t="shared" si="25"/>
        <v>High</v>
      </c>
      <c r="R345" t="s">
        <v>1514</v>
      </c>
    </row>
    <row r="346" spans="1:18" x14ac:dyDescent="0.45">
      <c r="A346">
        <v>345</v>
      </c>
      <c r="B346">
        <v>0</v>
      </c>
      <c r="C346" t="str">
        <f t="shared" si="26"/>
        <v>Not Survived</v>
      </c>
      <c r="D346">
        <v>2</v>
      </c>
      <c r="E346" t="s">
        <v>1059</v>
      </c>
      <c r="F346" t="s">
        <v>722</v>
      </c>
      <c r="G346" t="s">
        <v>348</v>
      </c>
      <c r="H346" t="s">
        <v>9</v>
      </c>
      <c r="I346" t="str">
        <f t="shared" si="27"/>
        <v>Male</v>
      </c>
      <c r="J346">
        <v>36</v>
      </c>
      <c r="K346" t="str">
        <f t="shared" si="28"/>
        <v>Adult</v>
      </c>
      <c r="L346" t="str" cm="1">
        <f t="array" ref="L346">_xlfn.IFS(J346&lt;13,"Child",J346&lt;18,"Teen",J346&lt;60,"Adult",J346&gt;60,"Old Age")</f>
        <v>Adult</v>
      </c>
      <c r="M346">
        <v>0</v>
      </c>
      <c r="N346">
        <v>0</v>
      </c>
      <c r="O346">
        <f t="shared" si="29"/>
        <v>1</v>
      </c>
      <c r="P346">
        <v>13</v>
      </c>
      <c r="Q346" t="str">
        <f t="shared" si="25"/>
        <v>High</v>
      </c>
      <c r="R346" t="s">
        <v>1514</v>
      </c>
    </row>
    <row r="347" spans="1:18" x14ac:dyDescent="0.45">
      <c r="A347">
        <v>346</v>
      </c>
      <c r="B347">
        <v>1</v>
      </c>
      <c r="C347" t="str">
        <f t="shared" si="26"/>
        <v>Survived</v>
      </c>
      <c r="D347">
        <v>2</v>
      </c>
      <c r="E347" t="s">
        <v>1060</v>
      </c>
      <c r="F347" t="s">
        <v>724</v>
      </c>
      <c r="G347" t="s">
        <v>227</v>
      </c>
      <c r="H347" t="s">
        <v>10</v>
      </c>
      <c r="I347" t="str">
        <f t="shared" si="27"/>
        <v>Female</v>
      </c>
      <c r="J347">
        <v>24</v>
      </c>
      <c r="K347" t="str">
        <f t="shared" si="28"/>
        <v>Adult</v>
      </c>
      <c r="L347" t="str" cm="1">
        <f t="array" ref="L347">_xlfn.IFS(J347&lt;13,"Child",J347&lt;18,"Teen",J347&lt;60,"Adult",J347&gt;60,"Old Age")</f>
        <v>Adult</v>
      </c>
      <c r="M347">
        <v>0</v>
      </c>
      <c r="N347">
        <v>0</v>
      </c>
      <c r="O347">
        <f t="shared" si="29"/>
        <v>1</v>
      </c>
      <c r="P347">
        <v>13</v>
      </c>
      <c r="Q347" t="str">
        <f t="shared" si="25"/>
        <v>High</v>
      </c>
      <c r="R347" t="s">
        <v>1514</v>
      </c>
    </row>
    <row r="348" spans="1:18" x14ac:dyDescent="0.45">
      <c r="A348">
        <v>347</v>
      </c>
      <c r="B348">
        <v>1</v>
      </c>
      <c r="C348" t="str">
        <f t="shared" si="26"/>
        <v>Survived</v>
      </c>
      <c r="D348">
        <v>2</v>
      </c>
      <c r="E348" t="s">
        <v>1061</v>
      </c>
      <c r="F348" t="s">
        <v>724</v>
      </c>
      <c r="G348" t="s">
        <v>210</v>
      </c>
      <c r="H348" t="s">
        <v>10</v>
      </c>
      <c r="I348" t="str">
        <f t="shared" si="27"/>
        <v>Female</v>
      </c>
      <c r="J348">
        <v>40</v>
      </c>
      <c r="K348" t="str">
        <f t="shared" si="28"/>
        <v>Adult</v>
      </c>
      <c r="L348" t="str" cm="1">
        <f t="array" ref="L348">_xlfn.IFS(J348&lt;13,"Child",J348&lt;18,"Teen",J348&lt;60,"Adult",J348&gt;60,"Old Age")</f>
        <v>Adult</v>
      </c>
      <c r="M348">
        <v>0</v>
      </c>
      <c r="N348">
        <v>0</v>
      </c>
      <c r="O348">
        <f t="shared" si="29"/>
        <v>1</v>
      </c>
      <c r="P348">
        <v>13</v>
      </c>
      <c r="Q348" t="str">
        <f t="shared" si="25"/>
        <v>High</v>
      </c>
      <c r="R348" t="s">
        <v>1514</v>
      </c>
    </row>
    <row r="349" spans="1:18" x14ac:dyDescent="0.45">
      <c r="A349">
        <v>348</v>
      </c>
      <c r="B349">
        <v>1</v>
      </c>
      <c r="C349" t="str">
        <f t="shared" si="26"/>
        <v>Survived</v>
      </c>
      <c r="D349">
        <v>3</v>
      </c>
      <c r="E349" t="s">
        <v>1062</v>
      </c>
      <c r="F349" t="s">
        <v>723</v>
      </c>
      <c r="G349" t="s">
        <v>349</v>
      </c>
      <c r="H349" t="s">
        <v>10</v>
      </c>
      <c r="I349" t="str">
        <f t="shared" si="27"/>
        <v>Female</v>
      </c>
      <c r="J349">
        <v>28</v>
      </c>
      <c r="K349" t="str">
        <f t="shared" si="28"/>
        <v>Adult</v>
      </c>
      <c r="L349" t="str" cm="1">
        <f t="array" ref="L349">_xlfn.IFS(J349&lt;13,"Child",J349&lt;18,"Teen",J349&lt;60,"Adult",J349&gt;60,"Old Age")</f>
        <v>Adult</v>
      </c>
      <c r="M349">
        <v>1</v>
      </c>
      <c r="N349">
        <v>0</v>
      </c>
      <c r="O349">
        <f t="shared" si="29"/>
        <v>2</v>
      </c>
      <c r="P349">
        <v>16.100000000000001</v>
      </c>
      <c r="Q349" t="str">
        <f t="shared" si="25"/>
        <v>High</v>
      </c>
      <c r="R349" t="s">
        <v>1514</v>
      </c>
    </row>
    <row r="350" spans="1:18" x14ac:dyDescent="0.45">
      <c r="A350">
        <v>349</v>
      </c>
      <c r="B350">
        <v>1</v>
      </c>
      <c r="C350" t="str">
        <f t="shared" si="26"/>
        <v>Survived</v>
      </c>
      <c r="D350">
        <v>3</v>
      </c>
      <c r="E350" t="s">
        <v>1063</v>
      </c>
      <c r="F350" t="s">
        <v>725</v>
      </c>
      <c r="G350" t="s">
        <v>350</v>
      </c>
      <c r="H350" t="s">
        <v>9</v>
      </c>
      <c r="I350" t="str">
        <f t="shared" si="27"/>
        <v>Male</v>
      </c>
      <c r="J350">
        <v>3</v>
      </c>
      <c r="K350" t="str">
        <f t="shared" si="28"/>
        <v>Child</v>
      </c>
      <c r="L350" t="str" cm="1">
        <f t="array" ref="L350">_xlfn.IFS(J350&lt;13,"Child",J350&lt;18,"Teen",J350&lt;60,"Adult",J350&gt;60,"Old Age")</f>
        <v>Child</v>
      </c>
      <c r="M350">
        <v>1</v>
      </c>
      <c r="N350">
        <v>1</v>
      </c>
      <c r="O350">
        <f t="shared" si="29"/>
        <v>3</v>
      </c>
      <c r="P350">
        <v>15.9</v>
      </c>
      <c r="Q350" t="str">
        <f t="shared" si="25"/>
        <v>High</v>
      </c>
      <c r="R350" t="s">
        <v>1514</v>
      </c>
    </row>
    <row r="351" spans="1:18" x14ac:dyDescent="0.45">
      <c r="A351">
        <v>350</v>
      </c>
      <c r="B351">
        <v>0</v>
      </c>
      <c r="C351" t="str">
        <f t="shared" si="26"/>
        <v>Not Survived</v>
      </c>
      <c r="D351">
        <v>3</v>
      </c>
      <c r="E351" t="s">
        <v>1064</v>
      </c>
      <c r="F351" t="s">
        <v>722</v>
      </c>
      <c r="G351" t="s">
        <v>351</v>
      </c>
      <c r="H351" t="s">
        <v>9</v>
      </c>
      <c r="I351" t="str">
        <f t="shared" si="27"/>
        <v>Male</v>
      </c>
      <c r="J351">
        <v>42</v>
      </c>
      <c r="K351" t="str">
        <f t="shared" si="28"/>
        <v>Adult</v>
      </c>
      <c r="L351" t="str" cm="1">
        <f t="array" ref="L351">_xlfn.IFS(J351&lt;13,"Child",J351&lt;18,"Teen",J351&lt;60,"Adult",J351&gt;60,"Old Age")</f>
        <v>Adult</v>
      </c>
      <c r="M351">
        <v>0</v>
      </c>
      <c r="N351">
        <v>0</v>
      </c>
      <c r="O351">
        <f t="shared" si="29"/>
        <v>1</v>
      </c>
      <c r="P351">
        <v>8.6624999999999996</v>
      </c>
      <c r="Q351" t="str">
        <f t="shared" si="25"/>
        <v>High</v>
      </c>
      <c r="R351" t="s">
        <v>1514</v>
      </c>
    </row>
    <row r="352" spans="1:18" x14ac:dyDescent="0.45">
      <c r="A352">
        <v>351</v>
      </c>
      <c r="B352">
        <v>0</v>
      </c>
      <c r="C352" t="str">
        <f t="shared" si="26"/>
        <v>Not Survived</v>
      </c>
      <c r="D352">
        <v>3</v>
      </c>
      <c r="E352" t="s">
        <v>1065</v>
      </c>
      <c r="F352" t="s">
        <v>722</v>
      </c>
      <c r="G352" t="s">
        <v>352</v>
      </c>
      <c r="H352" t="s">
        <v>9</v>
      </c>
      <c r="I352" t="str">
        <f t="shared" si="27"/>
        <v>Male</v>
      </c>
      <c r="J352">
        <v>23</v>
      </c>
      <c r="K352" t="str">
        <f t="shared" si="28"/>
        <v>Adult</v>
      </c>
      <c r="L352" t="str" cm="1">
        <f t="array" ref="L352">_xlfn.IFS(J352&lt;13,"Child",J352&lt;18,"Teen",J352&lt;60,"Adult",J352&gt;60,"Old Age")</f>
        <v>Adult</v>
      </c>
      <c r="M352">
        <v>0</v>
      </c>
      <c r="N352">
        <v>0</v>
      </c>
      <c r="O352">
        <f t="shared" si="29"/>
        <v>1</v>
      </c>
      <c r="P352">
        <v>9.2249999999999996</v>
      </c>
      <c r="Q352" t="str">
        <f t="shared" si="25"/>
        <v>High</v>
      </c>
      <c r="R352" t="s">
        <v>1514</v>
      </c>
    </row>
    <row r="353" spans="1:18" x14ac:dyDescent="0.45">
      <c r="A353">
        <v>352</v>
      </c>
      <c r="B353">
        <v>0</v>
      </c>
      <c r="C353" t="str">
        <f t="shared" si="26"/>
        <v>Not Survived</v>
      </c>
      <c r="D353">
        <v>1</v>
      </c>
      <c r="E353" t="s">
        <v>1066</v>
      </c>
      <c r="F353" t="s">
        <v>722</v>
      </c>
      <c r="G353" t="s">
        <v>353</v>
      </c>
      <c r="H353" t="s">
        <v>9</v>
      </c>
      <c r="I353" t="str">
        <f t="shared" si="27"/>
        <v>Male</v>
      </c>
      <c r="J353">
        <v>28</v>
      </c>
      <c r="K353" t="str">
        <f t="shared" si="28"/>
        <v>Adult</v>
      </c>
      <c r="L353" t="str" cm="1">
        <f t="array" ref="L353">_xlfn.IFS(J353&lt;13,"Child",J353&lt;18,"Teen",J353&lt;60,"Adult",J353&gt;60,"Old Age")</f>
        <v>Adult</v>
      </c>
      <c r="M353">
        <v>0</v>
      </c>
      <c r="N353">
        <v>0</v>
      </c>
      <c r="O353">
        <f t="shared" si="29"/>
        <v>1</v>
      </c>
      <c r="P353">
        <v>35</v>
      </c>
      <c r="Q353" t="str">
        <f t="shared" si="25"/>
        <v>High</v>
      </c>
      <c r="R353" t="s">
        <v>1514</v>
      </c>
    </row>
    <row r="354" spans="1:18" x14ac:dyDescent="0.45">
      <c r="A354">
        <v>353</v>
      </c>
      <c r="B354">
        <v>0</v>
      </c>
      <c r="C354" t="str">
        <f t="shared" si="26"/>
        <v>Not Survived</v>
      </c>
      <c r="D354">
        <v>3</v>
      </c>
      <c r="E354" t="s">
        <v>1067</v>
      </c>
      <c r="F354" t="s">
        <v>722</v>
      </c>
      <c r="G354" t="s">
        <v>354</v>
      </c>
      <c r="H354" t="s">
        <v>9</v>
      </c>
      <c r="I354" t="str">
        <f t="shared" si="27"/>
        <v>Male</v>
      </c>
      <c r="J354">
        <v>15</v>
      </c>
      <c r="K354" t="str">
        <f t="shared" si="28"/>
        <v>Teen</v>
      </c>
      <c r="L354" t="str" cm="1">
        <f t="array" ref="L354">_xlfn.IFS(J354&lt;13,"Child",J354&lt;18,"Teen",J354&lt;60,"Adult",J354&gt;60,"Old Age")</f>
        <v>Teen</v>
      </c>
      <c r="M354">
        <v>1</v>
      </c>
      <c r="N354">
        <v>1</v>
      </c>
      <c r="O354">
        <f t="shared" si="29"/>
        <v>3</v>
      </c>
      <c r="P354">
        <v>7.2291999999999996</v>
      </c>
      <c r="Q354" t="str">
        <f t="shared" si="25"/>
        <v>High</v>
      </c>
      <c r="R354" t="s">
        <v>1515</v>
      </c>
    </row>
    <row r="355" spans="1:18" x14ac:dyDescent="0.45">
      <c r="A355">
        <v>354</v>
      </c>
      <c r="B355">
        <v>0</v>
      </c>
      <c r="C355" t="str">
        <f t="shared" si="26"/>
        <v>Not Survived</v>
      </c>
      <c r="D355">
        <v>3</v>
      </c>
      <c r="E355" t="s">
        <v>1068</v>
      </c>
      <c r="F355" t="s">
        <v>722</v>
      </c>
      <c r="G355" t="s">
        <v>102</v>
      </c>
      <c r="H355" t="s">
        <v>9</v>
      </c>
      <c r="I355" t="str">
        <f t="shared" si="27"/>
        <v>Male</v>
      </c>
      <c r="J355">
        <v>25</v>
      </c>
      <c r="K355" t="str">
        <f t="shared" si="28"/>
        <v>Adult</v>
      </c>
      <c r="L355" t="str" cm="1">
        <f t="array" ref="L355">_xlfn.IFS(J355&lt;13,"Child",J355&lt;18,"Teen",J355&lt;60,"Adult",J355&gt;60,"Old Age")</f>
        <v>Adult</v>
      </c>
      <c r="M355">
        <v>1</v>
      </c>
      <c r="N355">
        <v>0</v>
      </c>
      <c r="O355">
        <f t="shared" si="29"/>
        <v>2</v>
      </c>
      <c r="P355">
        <v>17.8</v>
      </c>
      <c r="Q355" t="str">
        <f t="shared" si="25"/>
        <v>High</v>
      </c>
      <c r="R355" t="s">
        <v>1514</v>
      </c>
    </row>
    <row r="356" spans="1:18" x14ac:dyDescent="0.45">
      <c r="A356">
        <v>355</v>
      </c>
      <c r="B356">
        <v>0</v>
      </c>
      <c r="C356" t="str">
        <f t="shared" si="26"/>
        <v>Not Survived</v>
      </c>
      <c r="D356">
        <v>3</v>
      </c>
      <c r="E356" t="s">
        <v>1069</v>
      </c>
      <c r="F356" t="s">
        <v>722</v>
      </c>
      <c r="G356" t="s">
        <v>355</v>
      </c>
      <c r="H356" t="s">
        <v>9</v>
      </c>
      <c r="I356" t="str">
        <f t="shared" si="27"/>
        <v>Male</v>
      </c>
      <c r="J356">
        <v>28</v>
      </c>
      <c r="K356" t="str">
        <f t="shared" si="28"/>
        <v>Adult</v>
      </c>
      <c r="L356" t="str" cm="1">
        <f t="array" ref="L356">_xlfn.IFS(J356&lt;13,"Child",J356&lt;18,"Teen",J356&lt;60,"Adult",J356&gt;60,"Old Age")</f>
        <v>Adult</v>
      </c>
      <c r="M356">
        <v>0</v>
      </c>
      <c r="N356">
        <v>0</v>
      </c>
      <c r="O356">
        <f t="shared" si="29"/>
        <v>1</v>
      </c>
      <c r="P356">
        <v>7.2249999999999996</v>
      </c>
      <c r="Q356" t="str">
        <f t="shared" si="25"/>
        <v>High</v>
      </c>
      <c r="R356" t="s">
        <v>1515</v>
      </c>
    </row>
    <row r="357" spans="1:18" x14ac:dyDescent="0.45">
      <c r="A357">
        <v>356</v>
      </c>
      <c r="B357">
        <v>0</v>
      </c>
      <c r="C357" t="str">
        <f t="shared" si="26"/>
        <v>Not Survived</v>
      </c>
      <c r="D357">
        <v>3</v>
      </c>
      <c r="E357" t="s">
        <v>1070</v>
      </c>
      <c r="F357" t="s">
        <v>722</v>
      </c>
      <c r="G357" t="s">
        <v>356</v>
      </c>
      <c r="H357" t="s">
        <v>9</v>
      </c>
      <c r="I357" t="str">
        <f t="shared" si="27"/>
        <v>Male</v>
      </c>
      <c r="J357">
        <v>28</v>
      </c>
      <c r="K357" t="str">
        <f t="shared" si="28"/>
        <v>Adult</v>
      </c>
      <c r="L357" t="str" cm="1">
        <f t="array" ref="L357">_xlfn.IFS(J357&lt;13,"Child",J357&lt;18,"Teen",J357&lt;60,"Adult",J357&gt;60,"Old Age")</f>
        <v>Adult</v>
      </c>
      <c r="M357">
        <v>0</v>
      </c>
      <c r="N357">
        <v>0</v>
      </c>
      <c r="O357">
        <f t="shared" si="29"/>
        <v>1</v>
      </c>
      <c r="P357">
        <v>9.5</v>
      </c>
      <c r="Q357" t="str">
        <f t="shared" si="25"/>
        <v>High</v>
      </c>
      <c r="R357" t="s">
        <v>1514</v>
      </c>
    </row>
    <row r="358" spans="1:18" x14ac:dyDescent="0.45">
      <c r="A358">
        <v>357</v>
      </c>
      <c r="B358">
        <v>1</v>
      </c>
      <c r="C358" t="str">
        <f t="shared" si="26"/>
        <v>Survived</v>
      </c>
      <c r="D358">
        <v>1</v>
      </c>
      <c r="E358" t="s">
        <v>1071</v>
      </c>
      <c r="F358" t="s">
        <v>724</v>
      </c>
      <c r="G358" t="s">
        <v>357</v>
      </c>
      <c r="H358" t="s">
        <v>10</v>
      </c>
      <c r="I358" t="str">
        <f t="shared" si="27"/>
        <v>Female</v>
      </c>
      <c r="J358">
        <v>22</v>
      </c>
      <c r="K358" t="str">
        <f t="shared" si="28"/>
        <v>Adult</v>
      </c>
      <c r="L358" t="str" cm="1">
        <f t="array" ref="L358">_xlfn.IFS(J358&lt;13,"Child",J358&lt;18,"Teen",J358&lt;60,"Adult",J358&gt;60,"Old Age")</f>
        <v>Adult</v>
      </c>
      <c r="M358">
        <v>0</v>
      </c>
      <c r="N358">
        <v>1</v>
      </c>
      <c r="O358">
        <f t="shared" si="29"/>
        <v>2</v>
      </c>
      <c r="P358">
        <v>55</v>
      </c>
      <c r="Q358" t="str">
        <f t="shared" si="25"/>
        <v>High</v>
      </c>
      <c r="R358" t="s">
        <v>1514</v>
      </c>
    </row>
    <row r="359" spans="1:18" x14ac:dyDescent="0.45">
      <c r="A359">
        <v>358</v>
      </c>
      <c r="B359">
        <v>0</v>
      </c>
      <c r="C359" t="str">
        <f t="shared" si="26"/>
        <v>Not Survived</v>
      </c>
      <c r="D359">
        <v>2</v>
      </c>
      <c r="E359" t="s">
        <v>1072</v>
      </c>
      <c r="F359" t="s">
        <v>724</v>
      </c>
      <c r="G359" t="s">
        <v>358</v>
      </c>
      <c r="H359" t="s">
        <v>10</v>
      </c>
      <c r="I359" t="str">
        <f t="shared" si="27"/>
        <v>Female</v>
      </c>
      <c r="J359">
        <v>38</v>
      </c>
      <c r="K359" t="str">
        <f t="shared" si="28"/>
        <v>Adult</v>
      </c>
      <c r="L359" t="str" cm="1">
        <f t="array" ref="L359">_xlfn.IFS(J359&lt;13,"Child",J359&lt;18,"Teen",J359&lt;60,"Adult",J359&gt;60,"Old Age")</f>
        <v>Adult</v>
      </c>
      <c r="M359">
        <v>0</v>
      </c>
      <c r="N359">
        <v>0</v>
      </c>
      <c r="O359">
        <f t="shared" si="29"/>
        <v>1</v>
      </c>
      <c r="P359">
        <v>13</v>
      </c>
      <c r="Q359" t="str">
        <f t="shared" si="25"/>
        <v>High</v>
      </c>
      <c r="R359" t="s">
        <v>1514</v>
      </c>
    </row>
    <row r="360" spans="1:18" x14ac:dyDescent="0.45">
      <c r="A360">
        <v>359</v>
      </c>
      <c r="B360">
        <v>1</v>
      </c>
      <c r="C360" t="str">
        <f t="shared" si="26"/>
        <v>Survived</v>
      </c>
      <c r="D360">
        <v>3</v>
      </c>
      <c r="E360" t="s">
        <v>1073</v>
      </c>
      <c r="F360" t="s">
        <v>724</v>
      </c>
      <c r="G360" t="s">
        <v>359</v>
      </c>
      <c r="H360" t="s">
        <v>10</v>
      </c>
      <c r="I360" t="str">
        <f t="shared" si="27"/>
        <v>Female</v>
      </c>
      <c r="J360">
        <v>28</v>
      </c>
      <c r="K360" t="str">
        <f t="shared" si="28"/>
        <v>Adult</v>
      </c>
      <c r="L360" t="str" cm="1">
        <f t="array" ref="L360">_xlfn.IFS(J360&lt;13,"Child",J360&lt;18,"Teen",J360&lt;60,"Adult",J360&gt;60,"Old Age")</f>
        <v>Adult</v>
      </c>
      <c r="M360">
        <v>0</v>
      </c>
      <c r="N360">
        <v>0</v>
      </c>
      <c r="O360">
        <f t="shared" si="29"/>
        <v>1</v>
      </c>
      <c r="P360">
        <v>7.8792</v>
      </c>
      <c r="Q360" t="str">
        <f t="shared" si="25"/>
        <v>High</v>
      </c>
      <c r="R360" t="s">
        <v>1516</v>
      </c>
    </row>
    <row r="361" spans="1:18" x14ac:dyDescent="0.45">
      <c r="A361">
        <v>360</v>
      </c>
      <c r="B361">
        <v>1</v>
      </c>
      <c r="C361" t="str">
        <f t="shared" si="26"/>
        <v>Survived</v>
      </c>
      <c r="D361">
        <v>3</v>
      </c>
      <c r="E361" t="s">
        <v>1074</v>
      </c>
      <c r="F361" t="s">
        <v>724</v>
      </c>
      <c r="G361" t="s">
        <v>360</v>
      </c>
      <c r="H361" t="s">
        <v>10</v>
      </c>
      <c r="I361" t="str">
        <f t="shared" si="27"/>
        <v>Female</v>
      </c>
      <c r="J361">
        <v>28</v>
      </c>
      <c r="K361" t="str">
        <f t="shared" si="28"/>
        <v>Adult</v>
      </c>
      <c r="L361" t="str" cm="1">
        <f t="array" ref="L361">_xlfn.IFS(J361&lt;13,"Child",J361&lt;18,"Teen",J361&lt;60,"Adult",J361&gt;60,"Old Age")</f>
        <v>Adult</v>
      </c>
      <c r="M361">
        <v>0</v>
      </c>
      <c r="N361">
        <v>0</v>
      </c>
      <c r="O361">
        <f t="shared" si="29"/>
        <v>1</v>
      </c>
      <c r="P361">
        <v>7.8792</v>
      </c>
      <c r="Q361" t="str">
        <f t="shared" si="25"/>
        <v>High</v>
      </c>
      <c r="R361" t="s">
        <v>1516</v>
      </c>
    </row>
    <row r="362" spans="1:18" x14ac:dyDescent="0.45">
      <c r="A362">
        <v>361</v>
      </c>
      <c r="B362">
        <v>0</v>
      </c>
      <c r="C362" t="str">
        <f t="shared" si="26"/>
        <v>Not Survived</v>
      </c>
      <c r="D362">
        <v>3</v>
      </c>
      <c r="E362" t="s">
        <v>1075</v>
      </c>
      <c r="F362" t="s">
        <v>722</v>
      </c>
      <c r="G362" t="s">
        <v>116</v>
      </c>
      <c r="H362" t="s">
        <v>9</v>
      </c>
      <c r="I362" t="str">
        <f t="shared" si="27"/>
        <v>Male</v>
      </c>
      <c r="J362">
        <v>40</v>
      </c>
      <c r="K362" t="str">
        <f t="shared" si="28"/>
        <v>Adult</v>
      </c>
      <c r="L362" t="str" cm="1">
        <f t="array" ref="L362">_xlfn.IFS(J362&lt;13,"Child",J362&lt;18,"Teen",J362&lt;60,"Adult",J362&gt;60,"Old Age")</f>
        <v>Adult</v>
      </c>
      <c r="M362">
        <v>1</v>
      </c>
      <c r="N362">
        <v>4</v>
      </c>
      <c r="O362">
        <f t="shared" si="29"/>
        <v>6</v>
      </c>
      <c r="P362">
        <v>27.9</v>
      </c>
      <c r="Q362" t="str">
        <f t="shared" si="25"/>
        <v>High</v>
      </c>
      <c r="R362" t="s">
        <v>1514</v>
      </c>
    </row>
    <row r="363" spans="1:18" x14ac:dyDescent="0.45">
      <c r="A363">
        <v>362</v>
      </c>
      <c r="B363">
        <v>0</v>
      </c>
      <c r="C363" t="str">
        <f t="shared" si="26"/>
        <v>Not Survived</v>
      </c>
      <c r="D363">
        <v>2</v>
      </c>
      <c r="E363" t="s">
        <v>1076</v>
      </c>
      <c r="F363" t="s">
        <v>722</v>
      </c>
      <c r="G363" t="s">
        <v>361</v>
      </c>
      <c r="H363" t="s">
        <v>9</v>
      </c>
      <c r="I363" t="str">
        <f t="shared" si="27"/>
        <v>Male</v>
      </c>
      <c r="J363">
        <v>29</v>
      </c>
      <c r="K363" t="str">
        <f t="shared" si="28"/>
        <v>Adult</v>
      </c>
      <c r="L363" t="str" cm="1">
        <f t="array" ref="L363">_xlfn.IFS(J363&lt;13,"Child",J363&lt;18,"Teen",J363&lt;60,"Adult",J363&gt;60,"Old Age")</f>
        <v>Adult</v>
      </c>
      <c r="M363">
        <v>1</v>
      </c>
      <c r="N363">
        <v>0</v>
      </c>
      <c r="O363">
        <f t="shared" si="29"/>
        <v>2</v>
      </c>
      <c r="P363" t="s">
        <v>16</v>
      </c>
      <c r="Q363" t="str">
        <f t="shared" si="25"/>
        <v>High</v>
      </c>
      <c r="R363" t="s">
        <v>1515</v>
      </c>
    </row>
    <row r="364" spans="1:18" x14ac:dyDescent="0.45">
      <c r="A364">
        <v>363</v>
      </c>
      <c r="B364">
        <v>0</v>
      </c>
      <c r="C364" t="str">
        <f t="shared" si="26"/>
        <v>Not Survived</v>
      </c>
      <c r="D364">
        <v>3</v>
      </c>
      <c r="E364" t="s">
        <v>753</v>
      </c>
      <c r="F364" t="s">
        <v>723</v>
      </c>
      <c r="G364" t="s">
        <v>362</v>
      </c>
      <c r="H364" t="s">
        <v>10</v>
      </c>
      <c r="I364" t="str">
        <f t="shared" si="27"/>
        <v>Female</v>
      </c>
      <c r="J364">
        <v>45</v>
      </c>
      <c r="K364" t="str">
        <f t="shared" si="28"/>
        <v>Adult</v>
      </c>
      <c r="L364" t="str" cm="1">
        <f t="array" ref="L364">_xlfn.IFS(J364&lt;13,"Child",J364&lt;18,"Teen",J364&lt;60,"Adult",J364&gt;60,"Old Age")</f>
        <v>Adult</v>
      </c>
      <c r="M364">
        <v>0</v>
      </c>
      <c r="N364">
        <v>1</v>
      </c>
      <c r="O364">
        <f t="shared" si="29"/>
        <v>2</v>
      </c>
      <c r="P364">
        <v>14.4542</v>
      </c>
      <c r="Q364" t="str">
        <f t="shared" si="25"/>
        <v>High</v>
      </c>
      <c r="R364" t="s">
        <v>1515</v>
      </c>
    </row>
    <row r="365" spans="1:18" x14ac:dyDescent="0.45">
      <c r="A365">
        <v>364</v>
      </c>
      <c r="B365">
        <v>0</v>
      </c>
      <c r="C365" t="str">
        <f t="shared" si="26"/>
        <v>Not Survived</v>
      </c>
      <c r="D365">
        <v>3</v>
      </c>
      <c r="E365" t="s">
        <v>1077</v>
      </c>
      <c r="F365" t="s">
        <v>722</v>
      </c>
      <c r="G365" t="s">
        <v>363</v>
      </c>
      <c r="H365" t="s">
        <v>9</v>
      </c>
      <c r="I365" t="str">
        <f t="shared" si="27"/>
        <v>Male</v>
      </c>
      <c r="J365">
        <v>35</v>
      </c>
      <c r="K365" t="str">
        <f t="shared" si="28"/>
        <v>Adult</v>
      </c>
      <c r="L365" t="str" cm="1">
        <f t="array" ref="L365">_xlfn.IFS(J365&lt;13,"Child",J365&lt;18,"Teen",J365&lt;60,"Adult",J365&gt;60,"Old Age")</f>
        <v>Adult</v>
      </c>
      <c r="M365">
        <v>0</v>
      </c>
      <c r="N365">
        <v>0</v>
      </c>
      <c r="O365">
        <f t="shared" si="29"/>
        <v>1</v>
      </c>
      <c r="P365" t="s">
        <v>22</v>
      </c>
      <c r="Q365" t="str">
        <f t="shared" si="25"/>
        <v>High</v>
      </c>
      <c r="R365" t="s">
        <v>1514</v>
      </c>
    </row>
    <row r="366" spans="1:18" x14ac:dyDescent="0.45">
      <c r="A366">
        <v>365</v>
      </c>
      <c r="B366">
        <v>0</v>
      </c>
      <c r="C366" t="str">
        <f t="shared" si="26"/>
        <v>Not Survived</v>
      </c>
      <c r="D366">
        <v>3</v>
      </c>
      <c r="E366" t="s">
        <v>986</v>
      </c>
      <c r="F366" t="s">
        <v>722</v>
      </c>
      <c r="G366" t="s">
        <v>220</v>
      </c>
      <c r="H366" t="s">
        <v>9</v>
      </c>
      <c r="I366" t="str">
        <f t="shared" si="27"/>
        <v>Male</v>
      </c>
      <c r="J366">
        <v>28</v>
      </c>
      <c r="K366" t="str">
        <f t="shared" si="28"/>
        <v>Adult</v>
      </c>
      <c r="L366" t="str" cm="1">
        <f t="array" ref="L366">_xlfn.IFS(J366&lt;13,"Child",J366&lt;18,"Teen",J366&lt;60,"Adult",J366&gt;60,"Old Age")</f>
        <v>Adult</v>
      </c>
      <c r="M366">
        <v>1</v>
      </c>
      <c r="N366">
        <v>0</v>
      </c>
      <c r="O366">
        <f t="shared" si="29"/>
        <v>2</v>
      </c>
      <c r="P366">
        <v>15.5</v>
      </c>
      <c r="Q366" t="str">
        <f t="shared" si="25"/>
        <v>High</v>
      </c>
      <c r="R366" t="s">
        <v>1516</v>
      </c>
    </row>
    <row r="367" spans="1:18" x14ac:dyDescent="0.45">
      <c r="A367">
        <v>366</v>
      </c>
      <c r="B367">
        <v>0</v>
      </c>
      <c r="C367" t="str">
        <f t="shared" si="26"/>
        <v>Not Survived</v>
      </c>
      <c r="D367">
        <v>3</v>
      </c>
      <c r="E367" t="s">
        <v>1078</v>
      </c>
      <c r="F367" t="s">
        <v>722</v>
      </c>
      <c r="G367" t="s">
        <v>364</v>
      </c>
      <c r="H367" t="s">
        <v>9</v>
      </c>
      <c r="I367" t="str">
        <f t="shared" si="27"/>
        <v>Male</v>
      </c>
      <c r="J367">
        <v>30</v>
      </c>
      <c r="K367" t="str">
        <f t="shared" si="28"/>
        <v>Adult</v>
      </c>
      <c r="L367" t="str" cm="1">
        <f t="array" ref="L367">_xlfn.IFS(J367&lt;13,"Child",J367&lt;18,"Teen",J367&lt;60,"Adult",J367&gt;60,"Old Age")</f>
        <v>Adult</v>
      </c>
      <c r="M367">
        <v>0</v>
      </c>
      <c r="N367">
        <v>0</v>
      </c>
      <c r="O367">
        <f t="shared" si="29"/>
        <v>1</v>
      </c>
      <c r="P367">
        <v>7.25</v>
      </c>
      <c r="Q367" t="str">
        <f t="shared" si="25"/>
        <v>High</v>
      </c>
      <c r="R367" t="s">
        <v>1514</v>
      </c>
    </row>
    <row r="368" spans="1:18" x14ac:dyDescent="0.45">
      <c r="A368">
        <v>367</v>
      </c>
      <c r="B368">
        <v>1</v>
      </c>
      <c r="C368" t="str">
        <f t="shared" si="26"/>
        <v>Survived</v>
      </c>
      <c r="D368">
        <v>1</v>
      </c>
      <c r="E368" t="s">
        <v>1079</v>
      </c>
      <c r="F368" t="s">
        <v>723</v>
      </c>
      <c r="G368" t="s">
        <v>365</v>
      </c>
      <c r="H368" t="s">
        <v>10</v>
      </c>
      <c r="I368" t="str">
        <f t="shared" si="27"/>
        <v>Female</v>
      </c>
      <c r="J368">
        <v>60</v>
      </c>
      <c r="K368" t="str">
        <f t="shared" si="28"/>
        <v>Old Age</v>
      </c>
      <c r="L368" t="e" cm="1">
        <f t="array" ref="L368">_xlfn.IFS(J368&lt;13,"Child",J368&lt;18,"Teen",J368&lt;60,"Adult",J368&gt;60,"Old Age")</f>
        <v>#N/A</v>
      </c>
      <c r="M368">
        <v>1</v>
      </c>
      <c r="N368">
        <v>0</v>
      </c>
      <c r="O368">
        <f t="shared" si="29"/>
        <v>2</v>
      </c>
      <c r="P368">
        <v>75.25</v>
      </c>
      <c r="Q368" t="str">
        <f t="shared" si="25"/>
        <v>High</v>
      </c>
      <c r="R368" t="s">
        <v>1515</v>
      </c>
    </row>
    <row r="369" spans="1:18" x14ac:dyDescent="0.45">
      <c r="A369">
        <v>368</v>
      </c>
      <c r="B369">
        <v>1</v>
      </c>
      <c r="C369" t="str">
        <f t="shared" si="26"/>
        <v>Survived</v>
      </c>
      <c r="D369">
        <v>3</v>
      </c>
      <c r="E369" t="s">
        <v>753</v>
      </c>
      <c r="F369" t="s">
        <v>723</v>
      </c>
      <c r="G369" t="s">
        <v>366</v>
      </c>
      <c r="H369" t="s">
        <v>10</v>
      </c>
      <c r="I369" t="str">
        <f t="shared" si="27"/>
        <v>Female</v>
      </c>
      <c r="J369">
        <v>28</v>
      </c>
      <c r="K369" t="str">
        <f t="shared" si="28"/>
        <v>Adult</v>
      </c>
      <c r="L369" t="str" cm="1">
        <f t="array" ref="L369">_xlfn.IFS(J369&lt;13,"Child",J369&lt;18,"Teen",J369&lt;60,"Adult",J369&gt;60,"Old Age")</f>
        <v>Adult</v>
      </c>
      <c r="M369">
        <v>0</v>
      </c>
      <c r="N369">
        <v>0</v>
      </c>
      <c r="O369">
        <f t="shared" si="29"/>
        <v>1</v>
      </c>
      <c r="P369">
        <v>7.2291999999999996</v>
      </c>
      <c r="Q369" t="str">
        <f t="shared" si="25"/>
        <v>High</v>
      </c>
      <c r="R369" t="s">
        <v>1515</v>
      </c>
    </row>
    <row r="370" spans="1:18" x14ac:dyDescent="0.45">
      <c r="A370">
        <v>369</v>
      </c>
      <c r="B370">
        <v>1</v>
      </c>
      <c r="C370" t="str">
        <f t="shared" si="26"/>
        <v>Survived</v>
      </c>
      <c r="D370">
        <v>3</v>
      </c>
      <c r="E370" t="s">
        <v>1080</v>
      </c>
      <c r="F370" t="s">
        <v>724</v>
      </c>
      <c r="G370" t="s">
        <v>367</v>
      </c>
      <c r="H370" t="s">
        <v>10</v>
      </c>
      <c r="I370" t="str">
        <f t="shared" si="27"/>
        <v>Female</v>
      </c>
      <c r="J370">
        <v>28</v>
      </c>
      <c r="K370" t="str">
        <f t="shared" si="28"/>
        <v>Adult</v>
      </c>
      <c r="L370" t="str" cm="1">
        <f t="array" ref="L370">_xlfn.IFS(J370&lt;13,"Child",J370&lt;18,"Teen",J370&lt;60,"Adult",J370&gt;60,"Old Age")</f>
        <v>Adult</v>
      </c>
      <c r="M370">
        <v>0</v>
      </c>
      <c r="N370">
        <v>0</v>
      </c>
      <c r="O370">
        <f t="shared" si="29"/>
        <v>1</v>
      </c>
      <c r="P370">
        <v>7.75</v>
      </c>
      <c r="Q370" t="str">
        <f t="shared" si="25"/>
        <v>High</v>
      </c>
      <c r="R370" t="s">
        <v>1516</v>
      </c>
    </row>
    <row r="371" spans="1:18" x14ac:dyDescent="0.45">
      <c r="A371">
        <v>370</v>
      </c>
      <c r="B371">
        <v>1</v>
      </c>
      <c r="C371" t="str">
        <f t="shared" si="26"/>
        <v>Survived</v>
      </c>
      <c r="D371">
        <v>1</v>
      </c>
      <c r="E371" t="s">
        <v>1081</v>
      </c>
      <c r="F371" t="s">
        <v>729</v>
      </c>
      <c r="G371" t="s">
        <v>368</v>
      </c>
      <c r="H371" t="s">
        <v>10</v>
      </c>
      <c r="I371" t="str">
        <f t="shared" si="27"/>
        <v>Female</v>
      </c>
      <c r="J371">
        <v>24</v>
      </c>
      <c r="K371" t="str">
        <f t="shared" si="28"/>
        <v>Adult</v>
      </c>
      <c r="L371" t="str" cm="1">
        <f t="array" ref="L371">_xlfn.IFS(J371&lt;13,"Child",J371&lt;18,"Teen",J371&lt;60,"Adult",J371&gt;60,"Old Age")</f>
        <v>Adult</v>
      </c>
      <c r="M371">
        <v>0</v>
      </c>
      <c r="N371">
        <v>0</v>
      </c>
      <c r="O371">
        <f t="shared" si="29"/>
        <v>1</v>
      </c>
      <c r="P371">
        <v>69.3</v>
      </c>
      <c r="Q371" t="str">
        <f t="shared" si="25"/>
        <v>High</v>
      </c>
      <c r="R371" t="s">
        <v>1515</v>
      </c>
    </row>
    <row r="372" spans="1:18" x14ac:dyDescent="0.45">
      <c r="A372">
        <v>371</v>
      </c>
      <c r="B372">
        <v>1</v>
      </c>
      <c r="C372" t="str">
        <f t="shared" si="26"/>
        <v>Survived</v>
      </c>
      <c r="D372">
        <v>1</v>
      </c>
      <c r="E372" t="s">
        <v>1082</v>
      </c>
      <c r="F372" t="s">
        <v>722</v>
      </c>
      <c r="G372" t="s">
        <v>369</v>
      </c>
      <c r="H372" t="s">
        <v>9</v>
      </c>
      <c r="I372" t="str">
        <f t="shared" si="27"/>
        <v>Male</v>
      </c>
      <c r="J372">
        <v>25</v>
      </c>
      <c r="K372" t="str">
        <f t="shared" si="28"/>
        <v>Adult</v>
      </c>
      <c r="L372" t="str" cm="1">
        <f t="array" ref="L372">_xlfn.IFS(J372&lt;13,"Child",J372&lt;18,"Teen",J372&lt;60,"Adult",J372&gt;60,"Old Age")</f>
        <v>Adult</v>
      </c>
      <c r="M372">
        <v>1</v>
      </c>
      <c r="N372">
        <v>0</v>
      </c>
      <c r="O372">
        <f t="shared" si="29"/>
        <v>2</v>
      </c>
      <c r="P372">
        <v>55.441699999999997</v>
      </c>
      <c r="Q372" t="str">
        <f t="shared" si="25"/>
        <v>High</v>
      </c>
      <c r="R372" t="s">
        <v>1515</v>
      </c>
    </row>
    <row r="373" spans="1:18" x14ac:dyDescent="0.45">
      <c r="A373">
        <v>372</v>
      </c>
      <c r="B373">
        <v>0</v>
      </c>
      <c r="C373" t="str">
        <f t="shared" si="26"/>
        <v>Not Survived</v>
      </c>
      <c r="D373">
        <v>3</v>
      </c>
      <c r="E373" t="s">
        <v>933</v>
      </c>
      <c r="F373" t="s">
        <v>722</v>
      </c>
      <c r="G373" t="s">
        <v>370</v>
      </c>
      <c r="H373" t="s">
        <v>9</v>
      </c>
      <c r="I373" t="str">
        <f t="shared" si="27"/>
        <v>Male</v>
      </c>
      <c r="J373">
        <v>18</v>
      </c>
      <c r="K373" t="str">
        <f t="shared" si="28"/>
        <v>Adult</v>
      </c>
      <c r="L373" t="str" cm="1">
        <f t="array" ref="L373">_xlfn.IFS(J373&lt;13,"Child",J373&lt;18,"Teen",J373&lt;60,"Adult",J373&gt;60,"Old Age")</f>
        <v>Adult</v>
      </c>
      <c r="M373">
        <v>1</v>
      </c>
      <c r="N373">
        <v>0</v>
      </c>
      <c r="O373">
        <f t="shared" si="29"/>
        <v>2</v>
      </c>
      <c r="P373">
        <v>6.4958</v>
      </c>
      <c r="Q373" t="str">
        <f t="shared" si="25"/>
        <v>High</v>
      </c>
      <c r="R373" t="s">
        <v>1514</v>
      </c>
    </row>
    <row r="374" spans="1:18" x14ac:dyDescent="0.45">
      <c r="A374">
        <v>373</v>
      </c>
      <c r="B374">
        <v>0</v>
      </c>
      <c r="C374" t="str">
        <f t="shared" si="26"/>
        <v>Not Survived</v>
      </c>
      <c r="D374">
        <v>3</v>
      </c>
      <c r="E374" t="s">
        <v>980</v>
      </c>
      <c r="F374" t="s">
        <v>722</v>
      </c>
      <c r="G374" t="s">
        <v>371</v>
      </c>
      <c r="H374" t="s">
        <v>9</v>
      </c>
      <c r="I374" t="str">
        <f t="shared" si="27"/>
        <v>Male</v>
      </c>
      <c r="J374">
        <v>19</v>
      </c>
      <c r="K374" t="str">
        <f t="shared" si="28"/>
        <v>Adult</v>
      </c>
      <c r="L374" t="str" cm="1">
        <f t="array" ref="L374">_xlfn.IFS(J374&lt;13,"Child",J374&lt;18,"Teen",J374&lt;60,"Adult",J374&gt;60,"Old Age")</f>
        <v>Adult</v>
      </c>
      <c r="M374">
        <v>0</v>
      </c>
      <c r="N374">
        <v>0</v>
      </c>
      <c r="O374">
        <f t="shared" si="29"/>
        <v>1</v>
      </c>
      <c r="P374" t="s">
        <v>12</v>
      </c>
      <c r="Q374" t="str">
        <f t="shared" si="25"/>
        <v>High</v>
      </c>
      <c r="R374" t="s">
        <v>1514</v>
      </c>
    </row>
    <row r="375" spans="1:18" x14ac:dyDescent="0.45">
      <c r="A375">
        <v>374</v>
      </c>
      <c r="B375">
        <v>0</v>
      </c>
      <c r="C375" t="str">
        <f t="shared" si="26"/>
        <v>Not Survived</v>
      </c>
      <c r="D375">
        <v>1</v>
      </c>
      <c r="E375" t="s">
        <v>1083</v>
      </c>
      <c r="F375" t="s">
        <v>722</v>
      </c>
      <c r="G375" t="s">
        <v>372</v>
      </c>
      <c r="H375" t="s">
        <v>9</v>
      </c>
      <c r="I375" t="str">
        <f t="shared" si="27"/>
        <v>Male</v>
      </c>
      <c r="J375">
        <v>22</v>
      </c>
      <c r="K375" t="str">
        <f t="shared" si="28"/>
        <v>Adult</v>
      </c>
      <c r="L375" t="str" cm="1">
        <f t="array" ref="L375">_xlfn.IFS(J375&lt;13,"Child",J375&lt;18,"Teen",J375&lt;60,"Adult",J375&gt;60,"Old Age")</f>
        <v>Adult</v>
      </c>
      <c r="M375">
        <v>0</v>
      </c>
      <c r="N375">
        <v>0</v>
      </c>
      <c r="O375">
        <f t="shared" si="29"/>
        <v>1</v>
      </c>
      <c r="P375">
        <v>135.63329999999999</v>
      </c>
      <c r="Q375" t="str">
        <f t="shared" si="25"/>
        <v>High</v>
      </c>
      <c r="R375" t="s">
        <v>1515</v>
      </c>
    </row>
    <row r="376" spans="1:18" x14ac:dyDescent="0.45">
      <c r="A376">
        <v>375</v>
      </c>
      <c r="B376">
        <v>0</v>
      </c>
      <c r="C376" t="str">
        <f t="shared" si="26"/>
        <v>Not Survived</v>
      </c>
      <c r="D376">
        <v>3</v>
      </c>
      <c r="E376" t="s">
        <v>1084</v>
      </c>
      <c r="F376" t="s">
        <v>724</v>
      </c>
      <c r="G376" t="s">
        <v>62</v>
      </c>
      <c r="H376" t="s">
        <v>10</v>
      </c>
      <c r="I376" t="str">
        <f t="shared" si="27"/>
        <v>Female</v>
      </c>
      <c r="J376">
        <v>3</v>
      </c>
      <c r="K376" t="str">
        <f t="shared" si="28"/>
        <v>Child</v>
      </c>
      <c r="L376" t="str" cm="1">
        <f t="array" ref="L376">_xlfn.IFS(J376&lt;13,"Child",J376&lt;18,"Teen",J376&lt;60,"Adult",J376&gt;60,"Old Age")</f>
        <v>Child</v>
      </c>
      <c r="M376">
        <v>3</v>
      </c>
      <c r="N376">
        <v>1</v>
      </c>
      <c r="O376">
        <f t="shared" si="29"/>
        <v>5</v>
      </c>
      <c r="P376" t="s">
        <v>13</v>
      </c>
      <c r="Q376" t="str">
        <f t="shared" si="25"/>
        <v>High</v>
      </c>
      <c r="R376" t="s">
        <v>1514</v>
      </c>
    </row>
    <row r="377" spans="1:18" x14ac:dyDescent="0.45">
      <c r="A377">
        <v>376</v>
      </c>
      <c r="B377">
        <v>1</v>
      </c>
      <c r="C377" t="str">
        <f t="shared" si="26"/>
        <v>Survived</v>
      </c>
      <c r="D377">
        <v>1</v>
      </c>
      <c r="E377" t="s">
        <v>1085</v>
      </c>
      <c r="F377" t="s">
        <v>723</v>
      </c>
      <c r="G377" t="s">
        <v>88</v>
      </c>
      <c r="H377" t="s">
        <v>10</v>
      </c>
      <c r="I377" t="str">
        <f t="shared" si="27"/>
        <v>Female</v>
      </c>
      <c r="J377">
        <v>28</v>
      </c>
      <c r="K377" t="str">
        <f t="shared" si="28"/>
        <v>Adult</v>
      </c>
      <c r="L377" t="str" cm="1">
        <f t="array" ref="L377">_xlfn.IFS(J377&lt;13,"Child",J377&lt;18,"Teen",J377&lt;60,"Adult",J377&gt;60,"Old Age")</f>
        <v>Adult</v>
      </c>
      <c r="M377">
        <v>1</v>
      </c>
      <c r="N377">
        <v>0</v>
      </c>
      <c r="O377">
        <f t="shared" si="29"/>
        <v>2</v>
      </c>
      <c r="P377" t="s">
        <v>19</v>
      </c>
      <c r="Q377" t="str">
        <f t="shared" si="25"/>
        <v>High</v>
      </c>
      <c r="R377" t="s">
        <v>1515</v>
      </c>
    </row>
    <row r="378" spans="1:18" x14ac:dyDescent="0.45">
      <c r="A378">
        <v>377</v>
      </c>
      <c r="B378">
        <v>1</v>
      </c>
      <c r="C378" t="str">
        <f t="shared" si="26"/>
        <v>Survived</v>
      </c>
      <c r="D378">
        <v>3</v>
      </c>
      <c r="E378" t="s">
        <v>1086</v>
      </c>
      <c r="F378" t="s">
        <v>724</v>
      </c>
      <c r="G378" t="s">
        <v>373</v>
      </c>
      <c r="H378" t="s">
        <v>10</v>
      </c>
      <c r="I378" t="str">
        <f t="shared" si="27"/>
        <v>Female</v>
      </c>
      <c r="J378">
        <v>22</v>
      </c>
      <c r="K378" t="str">
        <f t="shared" si="28"/>
        <v>Adult</v>
      </c>
      <c r="L378" t="str" cm="1">
        <f t="array" ref="L378">_xlfn.IFS(J378&lt;13,"Child",J378&lt;18,"Teen",J378&lt;60,"Adult",J378&gt;60,"Old Age")</f>
        <v>Adult</v>
      </c>
      <c r="M378">
        <v>0</v>
      </c>
      <c r="N378">
        <v>0</v>
      </c>
      <c r="O378">
        <f t="shared" si="29"/>
        <v>1</v>
      </c>
      <c r="P378">
        <v>7.25</v>
      </c>
      <c r="Q378" t="str">
        <f t="shared" si="25"/>
        <v>High</v>
      </c>
      <c r="R378" t="s">
        <v>1514</v>
      </c>
    </row>
    <row r="379" spans="1:18" x14ac:dyDescent="0.45">
      <c r="A379">
        <v>378</v>
      </c>
      <c r="B379">
        <v>0</v>
      </c>
      <c r="C379" t="str">
        <f t="shared" si="26"/>
        <v>Not Survived</v>
      </c>
      <c r="D379">
        <v>1</v>
      </c>
      <c r="E379" t="s">
        <v>1087</v>
      </c>
      <c r="F379" t="s">
        <v>722</v>
      </c>
      <c r="G379" t="s">
        <v>374</v>
      </c>
      <c r="H379" t="s">
        <v>9</v>
      </c>
      <c r="I379" t="str">
        <f t="shared" si="27"/>
        <v>Male</v>
      </c>
      <c r="J379">
        <v>27</v>
      </c>
      <c r="K379" t="str">
        <f t="shared" si="28"/>
        <v>Adult</v>
      </c>
      <c r="L379" t="str" cm="1">
        <f t="array" ref="L379">_xlfn.IFS(J379&lt;13,"Child",J379&lt;18,"Teen",J379&lt;60,"Adult",J379&gt;60,"Old Age")</f>
        <v>Adult</v>
      </c>
      <c r="M379">
        <v>0</v>
      </c>
      <c r="N379">
        <v>2</v>
      </c>
      <c r="O379">
        <f t="shared" si="29"/>
        <v>3</v>
      </c>
      <c r="P379">
        <v>211.5</v>
      </c>
      <c r="Q379" t="str">
        <f t="shared" si="25"/>
        <v>High</v>
      </c>
      <c r="R379" t="s">
        <v>1515</v>
      </c>
    </row>
    <row r="380" spans="1:18" x14ac:dyDescent="0.45">
      <c r="A380">
        <v>379</v>
      </c>
      <c r="B380">
        <v>0</v>
      </c>
      <c r="C380" t="str">
        <f t="shared" si="26"/>
        <v>Not Survived</v>
      </c>
      <c r="D380">
        <v>3</v>
      </c>
      <c r="E380" t="s">
        <v>1067</v>
      </c>
      <c r="F380" t="s">
        <v>722</v>
      </c>
      <c r="G380" t="s">
        <v>375</v>
      </c>
      <c r="H380" t="s">
        <v>9</v>
      </c>
      <c r="I380" t="str">
        <f t="shared" si="27"/>
        <v>Male</v>
      </c>
      <c r="J380">
        <v>20</v>
      </c>
      <c r="K380" t="str">
        <f t="shared" si="28"/>
        <v>Adult</v>
      </c>
      <c r="L380" t="str" cm="1">
        <f t="array" ref="L380">_xlfn.IFS(J380&lt;13,"Child",J380&lt;18,"Teen",J380&lt;60,"Adult",J380&gt;60,"Old Age")</f>
        <v>Adult</v>
      </c>
      <c r="M380">
        <v>0</v>
      </c>
      <c r="N380">
        <v>0</v>
      </c>
      <c r="O380">
        <f t="shared" si="29"/>
        <v>1</v>
      </c>
      <c r="P380" t="s">
        <v>36</v>
      </c>
      <c r="Q380" t="str">
        <f t="shared" si="25"/>
        <v>High</v>
      </c>
      <c r="R380" t="s">
        <v>1515</v>
      </c>
    </row>
    <row r="381" spans="1:18" x14ac:dyDescent="0.45">
      <c r="A381">
        <v>380</v>
      </c>
      <c r="B381">
        <v>0</v>
      </c>
      <c r="C381" t="str">
        <f t="shared" si="26"/>
        <v>Not Survived</v>
      </c>
      <c r="D381">
        <v>3</v>
      </c>
      <c r="E381" t="s">
        <v>1088</v>
      </c>
      <c r="F381" t="s">
        <v>722</v>
      </c>
      <c r="G381" t="s">
        <v>154</v>
      </c>
      <c r="H381" t="s">
        <v>9</v>
      </c>
      <c r="I381" t="str">
        <f t="shared" si="27"/>
        <v>Male</v>
      </c>
      <c r="J381">
        <v>19</v>
      </c>
      <c r="K381" t="str">
        <f t="shared" si="28"/>
        <v>Adult</v>
      </c>
      <c r="L381" t="str" cm="1">
        <f t="array" ref="L381">_xlfn.IFS(J381&lt;13,"Child",J381&lt;18,"Teen",J381&lt;60,"Adult",J381&gt;60,"Old Age")</f>
        <v>Adult</v>
      </c>
      <c r="M381">
        <v>0</v>
      </c>
      <c r="N381">
        <v>0</v>
      </c>
      <c r="O381">
        <f t="shared" si="29"/>
        <v>1</v>
      </c>
      <c r="P381">
        <v>7.7750000000000004</v>
      </c>
      <c r="Q381" t="str">
        <f t="shared" si="25"/>
        <v>High</v>
      </c>
      <c r="R381" t="s">
        <v>1514</v>
      </c>
    </row>
    <row r="382" spans="1:18" x14ac:dyDescent="0.45">
      <c r="A382">
        <v>381</v>
      </c>
      <c r="B382">
        <v>1</v>
      </c>
      <c r="C382" t="str">
        <f t="shared" si="26"/>
        <v>Survived</v>
      </c>
      <c r="D382">
        <v>1</v>
      </c>
      <c r="E382" t="s">
        <v>1089</v>
      </c>
      <c r="F382" t="s">
        <v>724</v>
      </c>
      <c r="G382" t="s">
        <v>376</v>
      </c>
      <c r="H382" t="s">
        <v>10</v>
      </c>
      <c r="I382" t="str">
        <f t="shared" si="27"/>
        <v>Female</v>
      </c>
      <c r="J382">
        <v>42</v>
      </c>
      <c r="K382" t="str">
        <f t="shared" si="28"/>
        <v>Adult</v>
      </c>
      <c r="L382" t="str" cm="1">
        <f t="array" ref="L382">_xlfn.IFS(J382&lt;13,"Child",J382&lt;18,"Teen",J382&lt;60,"Adult",J382&gt;60,"Old Age")</f>
        <v>Adult</v>
      </c>
      <c r="M382">
        <v>0</v>
      </c>
      <c r="N382">
        <v>0</v>
      </c>
      <c r="O382">
        <f t="shared" si="29"/>
        <v>1</v>
      </c>
      <c r="P382">
        <v>227.52500000000001</v>
      </c>
      <c r="Q382" t="str">
        <f t="shared" si="25"/>
        <v>High</v>
      </c>
      <c r="R382" t="s">
        <v>1515</v>
      </c>
    </row>
    <row r="383" spans="1:18" x14ac:dyDescent="0.45">
      <c r="A383">
        <v>382</v>
      </c>
      <c r="B383">
        <v>1</v>
      </c>
      <c r="C383" t="str">
        <f t="shared" si="26"/>
        <v>Survived</v>
      </c>
      <c r="D383">
        <v>3</v>
      </c>
      <c r="E383" t="s">
        <v>1090</v>
      </c>
      <c r="F383" t="s">
        <v>724</v>
      </c>
      <c r="G383" t="s">
        <v>377</v>
      </c>
      <c r="H383" t="s">
        <v>10</v>
      </c>
      <c r="I383" t="str">
        <f t="shared" si="27"/>
        <v>Female</v>
      </c>
      <c r="J383">
        <v>1</v>
      </c>
      <c r="K383" t="str">
        <f t="shared" si="28"/>
        <v>Child</v>
      </c>
      <c r="L383" t="str" cm="1">
        <f t="array" ref="L383">_xlfn.IFS(J383&lt;13,"Child",J383&lt;18,"Teen",J383&lt;60,"Adult",J383&gt;60,"Old Age")</f>
        <v>Child</v>
      </c>
      <c r="M383">
        <v>0</v>
      </c>
      <c r="N383">
        <v>2</v>
      </c>
      <c r="O383">
        <f t="shared" si="29"/>
        <v>3</v>
      </c>
      <c r="P383">
        <v>15.7417</v>
      </c>
      <c r="Q383" t="str">
        <f t="shared" si="25"/>
        <v>High</v>
      </c>
      <c r="R383" t="s">
        <v>1515</v>
      </c>
    </row>
    <row r="384" spans="1:18" x14ac:dyDescent="0.45">
      <c r="A384">
        <v>383</v>
      </c>
      <c r="B384">
        <v>0</v>
      </c>
      <c r="C384" t="str">
        <f t="shared" si="26"/>
        <v>Not Survived</v>
      </c>
      <c r="D384">
        <v>3</v>
      </c>
      <c r="E384" t="s">
        <v>1091</v>
      </c>
      <c r="F384" t="s">
        <v>722</v>
      </c>
      <c r="G384" t="s">
        <v>378</v>
      </c>
      <c r="H384" t="s">
        <v>9</v>
      </c>
      <c r="I384" t="str">
        <f t="shared" si="27"/>
        <v>Male</v>
      </c>
      <c r="J384">
        <v>32</v>
      </c>
      <c r="K384" t="str">
        <f t="shared" si="28"/>
        <v>Adult</v>
      </c>
      <c r="L384" t="str" cm="1">
        <f t="array" ref="L384">_xlfn.IFS(J384&lt;13,"Child",J384&lt;18,"Teen",J384&lt;60,"Adult",J384&gt;60,"Old Age")</f>
        <v>Adult</v>
      </c>
      <c r="M384">
        <v>0</v>
      </c>
      <c r="N384">
        <v>0</v>
      </c>
      <c r="O384">
        <f t="shared" si="29"/>
        <v>1</v>
      </c>
      <c r="P384">
        <v>7.9249999999999998</v>
      </c>
      <c r="Q384" t="str">
        <f t="shared" si="25"/>
        <v>High</v>
      </c>
      <c r="R384" t="s">
        <v>1514</v>
      </c>
    </row>
    <row r="385" spans="1:18" x14ac:dyDescent="0.45">
      <c r="A385">
        <v>384</v>
      </c>
      <c r="B385">
        <v>1</v>
      </c>
      <c r="C385" t="str">
        <f t="shared" si="26"/>
        <v>Survived</v>
      </c>
      <c r="D385">
        <v>1</v>
      </c>
      <c r="E385" t="s">
        <v>1092</v>
      </c>
      <c r="F385" t="s">
        <v>723</v>
      </c>
      <c r="G385" t="s">
        <v>89</v>
      </c>
      <c r="H385" t="s">
        <v>10</v>
      </c>
      <c r="I385" t="str">
        <f t="shared" si="27"/>
        <v>Female</v>
      </c>
      <c r="J385">
        <v>35</v>
      </c>
      <c r="K385" t="str">
        <f t="shared" si="28"/>
        <v>Adult</v>
      </c>
      <c r="L385" t="str" cm="1">
        <f t="array" ref="L385">_xlfn.IFS(J385&lt;13,"Child",J385&lt;18,"Teen",J385&lt;60,"Adult",J385&gt;60,"Old Age")</f>
        <v>Adult</v>
      </c>
      <c r="M385">
        <v>1</v>
      </c>
      <c r="N385">
        <v>0</v>
      </c>
      <c r="O385">
        <f t="shared" si="29"/>
        <v>2</v>
      </c>
      <c r="P385">
        <v>52</v>
      </c>
      <c r="Q385" t="str">
        <f t="shared" si="25"/>
        <v>High</v>
      </c>
      <c r="R385" t="s">
        <v>1514</v>
      </c>
    </row>
    <row r="386" spans="1:18" x14ac:dyDescent="0.45">
      <c r="A386">
        <v>385</v>
      </c>
      <c r="B386">
        <v>0</v>
      </c>
      <c r="C386" t="str">
        <f t="shared" si="26"/>
        <v>Not Survived</v>
      </c>
      <c r="D386">
        <v>3</v>
      </c>
      <c r="E386" t="s">
        <v>1093</v>
      </c>
      <c r="F386" t="s">
        <v>722</v>
      </c>
      <c r="G386" t="s">
        <v>379</v>
      </c>
      <c r="H386" t="s">
        <v>9</v>
      </c>
      <c r="I386" t="str">
        <f t="shared" si="27"/>
        <v>Male</v>
      </c>
      <c r="J386">
        <v>28</v>
      </c>
      <c r="K386" t="str">
        <f t="shared" si="28"/>
        <v>Adult</v>
      </c>
      <c r="L386" t="str" cm="1">
        <f t="array" ref="L386">_xlfn.IFS(J386&lt;13,"Child",J386&lt;18,"Teen",J386&lt;60,"Adult",J386&gt;60,"Old Age")</f>
        <v>Adult</v>
      </c>
      <c r="M386">
        <v>0</v>
      </c>
      <c r="N386">
        <v>0</v>
      </c>
      <c r="O386">
        <f t="shared" si="29"/>
        <v>1</v>
      </c>
      <c r="P386">
        <v>7.8958000000000004</v>
      </c>
      <c r="Q386" t="str">
        <f t="shared" ref="Q386:Q449" si="30">IF(A386&lt;=10,"Low",IF(A386&lt;=50,"Medium","High"))</f>
        <v>High</v>
      </c>
      <c r="R386" t="s">
        <v>1514</v>
      </c>
    </row>
    <row r="387" spans="1:18" x14ac:dyDescent="0.45">
      <c r="A387">
        <v>386</v>
      </c>
      <c r="B387">
        <v>0</v>
      </c>
      <c r="C387" t="str">
        <f t="shared" ref="C387:C450" si="31">IF(B387 = 0, "Not Survived","Survived")</f>
        <v>Not Survived</v>
      </c>
      <c r="D387">
        <v>2</v>
      </c>
      <c r="E387" t="s">
        <v>1094</v>
      </c>
      <c r="F387" t="s">
        <v>722</v>
      </c>
      <c r="G387" t="s">
        <v>380</v>
      </c>
      <c r="H387" t="s">
        <v>9</v>
      </c>
      <c r="I387" t="str">
        <f t="shared" ref="I387:I450" si="32">PROPER(H387)</f>
        <v>Male</v>
      </c>
      <c r="J387">
        <v>18</v>
      </c>
      <c r="K387" t="str">
        <f t="shared" ref="K387:K450" si="33">IF(J387&lt;13,"Child",IF(J387&lt;18,"Teen",IF(J387&lt;60,"Adult","Old Age")))</f>
        <v>Adult</v>
      </c>
      <c r="L387" t="str" cm="1">
        <f t="array" ref="L387">_xlfn.IFS(J387&lt;13,"Child",J387&lt;18,"Teen",J387&lt;60,"Adult",J387&gt;60,"Old Age")</f>
        <v>Adult</v>
      </c>
      <c r="M387">
        <v>0</v>
      </c>
      <c r="N387">
        <v>0</v>
      </c>
      <c r="O387">
        <f t="shared" ref="O387:O450" si="34">M387+N387+1</f>
        <v>1</v>
      </c>
      <c r="P387">
        <v>73.5</v>
      </c>
      <c r="Q387" t="str">
        <f t="shared" si="30"/>
        <v>High</v>
      </c>
      <c r="R387" t="s">
        <v>1514</v>
      </c>
    </row>
    <row r="388" spans="1:18" x14ac:dyDescent="0.45">
      <c r="A388">
        <v>387</v>
      </c>
      <c r="B388">
        <v>0</v>
      </c>
      <c r="C388" t="str">
        <f t="shared" si="31"/>
        <v>Not Survived</v>
      </c>
      <c r="D388">
        <v>3</v>
      </c>
      <c r="E388" t="s">
        <v>1095</v>
      </c>
      <c r="F388" t="s">
        <v>725</v>
      </c>
      <c r="G388" t="s">
        <v>112</v>
      </c>
      <c r="H388" t="s">
        <v>9</v>
      </c>
      <c r="I388" t="str">
        <f t="shared" si="32"/>
        <v>Male</v>
      </c>
      <c r="J388">
        <v>1</v>
      </c>
      <c r="K388" t="str">
        <f t="shared" si="33"/>
        <v>Child</v>
      </c>
      <c r="L388" t="str" cm="1">
        <f t="array" ref="L388">_xlfn.IFS(J388&lt;13,"Child",J388&lt;18,"Teen",J388&lt;60,"Adult",J388&gt;60,"Old Age")</f>
        <v>Child</v>
      </c>
      <c r="M388">
        <v>5</v>
      </c>
      <c r="N388">
        <v>2</v>
      </c>
      <c r="O388">
        <f t="shared" si="34"/>
        <v>8</v>
      </c>
      <c r="P388">
        <v>46.9</v>
      </c>
      <c r="Q388" t="str">
        <f t="shared" si="30"/>
        <v>High</v>
      </c>
      <c r="R388" t="s">
        <v>1514</v>
      </c>
    </row>
    <row r="389" spans="1:18" x14ac:dyDescent="0.45">
      <c r="A389">
        <v>388</v>
      </c>
      <c r="B389">
        <v>1</v>
      </c>
      <c r="C389" t="str">
        <f t="shared" si="31"/>
        <v>Survived</v>
      </c>
      <c r="D389">
        <v>2</v>
      </c>
      <c r="E389" t="s">
        <v>1010</v>
      </c>
      <c r="F389" t="s">
        <v>724</v>
      </c>
      <c r="G389" t="s">
        <v>381</v>
      </c>
      <c r="H389" t="s">
        <v>10</v>
      </c>
      <c r="I389" t="str">
        <f t="shared" si="32"/>
        <v>Female</v>
      </c>
      <c r="J389">
        <v>36</v>
      </c>
      <c r="K389" t="str">
        <f t="shared" si="33"/>
        <v>Adult</v>
      </c>
      <c r="L389" t="str" cm="1">
        <f t="array" ref="L389">_xlfn.IFS(J389&lt;13,"Child",J389&lt;18,"Teen",J389&lt;60,"Adult",J389&gt;60,"Old Age")</f>
        <v>Adult</v>
      </c>
      <c r="M389">
        <v>0</v>
      </c>
      <c r="N389">
        <v>0</v>
      </c>
      <c r="O389">
        <f t="shared" si="34"/>
        <v>1</v>
      </c>
      <c r="P389">
        <v>13</v>
      </c>
      <c r="Q389" t="str">
        <f t="shared" si="30"/>
        <v>High</v>
      </c>
      <c r="R389" t="s">
        <v>1514</v>
      </c>
    </row>
    <row r="390" spans="1:18" x14ac:dyDescent="0.45">
      <c r="A390">
        <v>389</v>
      </c>
      <c r="B390">
        <v>0</v>
      </c>
      <c r="C390" t="str">
        <f t="shared" si="31"/>
        <v>Not Survived</v>
      </c>
      <c r="D390">
        <v>3</v>
      </c>
      <c r="E390" t="s">
        <v>1096</v>
      </c>
      <c r="F390" t="s">
        <v>722</v>
      </c>
      <c r="G390" t="s">
        <v>382</v>
      </c>
      <c r="H390" t="s">
        <v>9</v>
      </c>
      <c r="I390" t="str">
        <f t="shared" si="32"/>
        <v>Male</v>
      </c>
      <c r="J390">
        <v>28</v>
      </c>
      <c r="K390" t="str">
        <f t="shared" si="33"/>
        <v>Adult</v>
      </c>
      <c r="L390" t="str" cm="1">
        <f t="array" ref="L390">_xlfn.IFS(J390&lt;13,"Child",J390&lt;18,"Teen",J390&lt;60,"Adult",J390&gt;60,"Old Age")</f>
        <v>Adult</v>
      </c>
      <c r="M390">
        <v>0</v>
      </c>
      <c r="N390">
        <v>0</v>
      </c>
      <c r="O390">
        <f t="shared" si="34"/>
        <v>1</v>
      </c>
      <c r="P390">
        <v>7.7291999999999996</v>
      </c>
      <c r="Q390" t="str">
        <f t="shared" si="30"/>
        <v>High</v>
      </c>
      <c r="R390" t="s">
        <v>1516</v>
      </c>
    </row>
    <row r="391" spans="1:18" x14ac:dyDescent="0.45">
      <c r="A391">
        <v>390</v>
      </c>
      <c r="B391">
        <v>1</v>
      </c>
      <c r="C391" t="str">
        <f t="shared" si="31"/>
        <v>Survived</v>
      </c>
      <c r="D391">
        <v>2</v>
      </c>
      <c r="E391" t="s">
        <v>820</v>
      </c>
      <c r="F391" t="s">
        <v>724</v>
      </c>
      <c r="G391" t="s">
        <v>383</v>
      </c>
      <c r="H391" t="s">
        <v>10</v>
      </c>
      <c r="I391" t="str">
        <f t="shared" si="32"/>
        <v>Female</v>
      </c>
      <c r="J391">
        <v>17</v>
      </c>
      <c r="K391" t="str">
        <f t="shared" si="33"/>
        <v>Teen</v>
      </c>
      <c r="L391" t="str" cm="1">
        <f t="array" ref="L391">_xlfn.IFS(J391&lt;13,"Child",J391&lt;18,"Teen",J391&lt;60,"Adult",J391&gt;60,"Old Age")</f>
        <v>Teen</v>
      </c>
      <c r="M391">
        <v>0</v>
      </c>
      <c r="N391">
        <v>0</v>
      </c>
      <c r="O391">
        <f t="shared" si="34"/>
        <v>1</v>
      </c>
      <c r="P391">
        <v>12</v>
      </c>
      <c r="Q391" t="str">
        <f t="shared" si="30"/>
        <v>High</v>
      </c>
      <c r="R391" t="s">
        <v>1515</v>
      </c>
    </row>
    <row r="392" spans="1:18" x14ac:dyDescent="0.45">
      <c r="A392">
        <v>391</v>
      </c>
      <c r="B392">
        <v>1</v>
      </c>
      <c r="C392" t="str">
        <f t="shared" si="31"/>
        <v>Survived</v>
      </c>
      <c r="D392">
        <v>1</v>
      </c>
      <c r="E392" t="s">
        <v>1097</v>
      </c>
      <c r="F392" t="s">
        <v>722</v>
      </c>
      <c r="G392" t="s">
        <v>273</v>
      </c>
      <c r="H392" t="s">
        <v>9</v>
      </c>
      <c r="I392" t="str">
        <f t="shared" si="32"/>
        <v>Male</v>
      </c>
      <c r="J392">
        <v>36</v>
      </c>
      <c r="K392" t="str">
        <f t="shared" si="33"/>
        <v>Adult</v>
      </c>
      <c r="L392" t="str" cm="1">
        <f t="array" ref="L392">_xlfn.IFS(J392&lt;13,"Child",J392&lt;18,"Teen",J392&lt;60,"Adult",J392&gt;60,"Old Age")</f>
        <v>Adult</v>
      </c>
      <c r="M392">
        <v>1</v>
      </c>
      <c r="N392">
        <v>2</v>
      </c>
      <c r="O392">
        <f t="shared" si="34"/>
        <v>4</v>
      </c>
      <c r="P392">
        <v>1214.4541999999999</v>
      </c>
      <c r="Q392" t="str">
        <f t="shared" si="30"/>
        <v>High</v>
      </c>
      <c r="R392" t="s">
        <v>1514</v>
      </c>
    </row>
    <row r="393" spans="1:18" x14ac:dyDescent="0.45">
      <c r="A393">
        <v>392</v>
      </c>
      <c r="B393">
        <v>1</v>
      </c>
      <c r="C393" t="str">
        <f t="shared" si="31"/>
        <v>Survived</v>
      </c>
      <c r="D393">
        <v>3</v>
      </c>
      <c r="E393" t="s">
        <v>1098</v>
      </c>
      <c r="F393" t="s">
        <v>722</v>
      </c>
      <c r="G393" t="s">
        <v>384</v>
      </c>
      <c r="H393" t="s">
        <v>9</v>
      </c>
      <c r="I393" t="str">
        <f t="shared" si="32"/>
        <v>Male</v>
      </c>
      <c r="J393">
        <v>21</v>
      </c>
      <c r="K393" t="str">
        <f t="shared" si="33"/>
        <v>Adult</v>
      </c>
      <c r="L393" t="str" cm="1">
        <f t="array" ref="L393">_xlfn.IFS(J393&lt;13,"Child",J393&lt;18,"Teen",J393&lt;60,"Adult",J393&gt;60,"Old Age")</f>
        <v>Adult</v>
      </c>
      <c r="M393">
        <v>0</v>
      </c>
      <c r="N393">
        <v>0</v>
      </c>
      <c r="O393">
        <f t="shared" si="34"/>
        <v>1</v>
      </c>
      <c r="P393">
        <v>7.7957999999999998</v>
      </c>
      <c r="Q393" t="str">
        <f t="shared" si="30"/>
        <v>High</v>
      </c>
      <c r="R393" t="s">
        <v>1514</v>
      </c>
    </row>
    <row r="394" spans="1:18" x14ac:dyDescent="0.45">
      <c r="A394">
        <v>393</v>
      </c>
      <c r="B394">
        <v>0</v>
      </c>
      <c r="C394" t="str">
        <f t="shared" si="31"/>
        <v>Not Survived</v>
      </c>
      <c r="D394">
        <v>3</v>
      </c>
      <c r="E394" t="s">
        <v>1099</v>
      </c>
      <c r="F394" t="s">
        <v>722</v>
      </c>
      <c r="G394" t="s">
        <v>154</v>
      </c>
      <c r="H394" t="s">
        <v>9</v>
      </c>
      <c r="I394" t="str">
        <f t="shared" si="32"/>
        <v>Male</v>
      </c>
      <c r="J394">
        <v>28</v>
      </c>
      <c r="K394" t="str">
        <f t="shared" si="33"/>
        <v>Adult</v>
      </c>
      <c r="L394" t="str" cm="1">
        <f t="array" ref="L394">_xlfn.IFS(J394&lt;13,"Child",J394&lt;18,"Teen",J394&lt;60,"Adult",J394&gt;60,"Old Age")</f>
        <v>Adult</v>
      </c>
      <c r="M394">
        <v>2</v>
      </c>
      <c r="N394">
        <v>0</v>
      </c>
      <c r="O394">
        <f t="shared" si="34"/>
        <v>3</v>
      </c>
      <c r="P394">
        <v>7.9249999999999998</v>
      </c>
      <c r="Q394" t="str">
        <f t="shared" si="30"/>
        <v>High</v>
      </c>
      <c r="R394" t="s">
        <v>1514</v>
      </c>
    </row>
    <row r="395" spans="1:18" x14ac:dyDescent="0.45">
      <c r="A395">
        <v>394</v>
      </c>
      <c r="B395">
        <v>1</v>
      </c>
      <c r="C395" t="str">
        <f t="shared" si="31"/>
        <v>Survived</v>
      </c>
      <c r="D395">
        <v>1</v>
      </c>
      <c r="E395" t="s">
        <v>1100</v>
      </c>
      <c r="F395" t="s">
        <v>724</v>
      </c>
      <c r="G395" t="s">
        <v>245</v>
      </c>
      <c r="H395" t="s">
        <v>10</v>
      </c>
      <c r="I395" t="str">
        <f t="shared" si="32"/>
        <v>Female</v>
      </c>
      <c r="J395">
        <v>23</v>
      </c>
      <c r="K395" t="str">
        <f t="shared" si="33"/>
        <v>Adult</v>
      </c>
      <c r="L395" t="str" cm="1">
        <f t="array" ref="L395">_xlfn.IFS(J395&lt;13,"Child",J395&lt;18,"Teen",J395&lt;60,"Adult",J395&gt;60,"Old Age")</f>
        <v>Adult</v>
      </c>
      <c r="M395">
        <v>1</v>
      </c>
      <c r="N395">
        <v>0</v>
      </c>
      <c r="O395">
        <f t="shared" si="34"/>
        <v>2</v>
      </c>
      <c r="P395">
        <v>113.27500000000001</v>
      </c>
      <c r="Q395" t="str">
        <f t="shared" si="30"/>
        <v>High</v>
      </c>
      <c r="R395" t="s">
        <v>1515</v>
      </c>
    </row>
    <row r="396" spans="1:18" x14ac:dyDescent="0.45">
      <c r="A396">
        <v>395</v>
      </c>
      <c r="B396">
        <v>1</v>
      </c>
      <c r="C396" t="str">
        <f t="shared" si="31"/>
        <v>Survived</v>
      </c>
      <c r="D396">
        <v>3</v>
      </c>
      <c r="E396" t="s">
        <v>1101</v>
      </c>
      <c r="F396" t="s">
        <v>723</v>
      </c>
      <c r="G396" t="s">
        <v>65</v>
      </c>
      <c r="H396" t="s">
        <v>10</v>
      </c>
      <c r="I396" t="str">
        <f t="shared" si="32"/>
        <v>Female</v>
      </c>
      <c r="J396">
        <v>24</v>
      </c>
      <c r="K396" t="str">
        <f t="shared" si="33"/>
        <v>Adult</v>
      </c>
      <c r="L396" t="str" cm="1">
        <f t="array" ref="L396">_xlfn.IFS(J396&lt;13,"Child",J396&lt;18,"Teen",J396&lt;60,"Adult",J396&gt;60,"Old Age")</f>
        <v>Adult</v>
      </c>
      <c r="M396">
        <v>0</v>
      </c>
      <c r="N396">
        <v>2</v>
      </c>
      <c r="O396">
        <f t="shared" si="34"/>
        <v>3</v>
      </c>
      <c r="P396">
        <v>16.7</v>
      </c>
      <c r="Q396" t="str">
        <f t="shared" si="30"/>
        <v>High</v>
      </c>
      <c r="R396" t="s">
        <v>1514</v>
      </c>
    </row>
    <row r="397" spans="1:18" x14ac:dyDescent="0.45">
      <c r="A397">
        <v>396</v>
      </c>
      <c r="B397">
        <v>0</v>
      </c>
      <c r="C397" t="str">
        <f t="shared" si="31"/>
        <v>Not Survived</v>
      </c>
      <c r="D397">
        <v>3</v>
      </c>
      <c r="E397" t="s">
        <v>1102</v>
      </c>
      <c r="F397" t="s">
        <v>722</v>
      </c>
      <c r="G397" t="s">
        <v>153</v>
      </c>
      <c r="H397" t="s">
        <v>9</v>
      </c>
      <c r="I397" t="str">
        <f t="shared" si="32"/>
        <v>Male</v>
      </c>
      <c r="J397">
        <v>22</v>
      </c>
      <c r="K397" t="str">
        <f t="shared" si="33"/>
        <v>Adult</v>
      </c>
      <c r="L397" t="str" cm="1">
        <f t="array" ref="L397">_xlfn.IFS(J397&lt;13,"Child",J397&lt;18,"Teen",J397&lt;60,"Adult",J397&gt;60,"Old Age")</f>
        <v>Adult</v>
      </c>
      <c r="M397">
        <v>0</v>
      </c>
      <c r="N397">
        <v>0</v>
      </c>
      <c r="O397">
        <f t="shared" si="34"/>
        <v>1</v>
      </c>
      <c r="P397">
        <v>7.7957999999999998</v>
      </c>
      <c r="Q397" t="str">
        <f t="shared" si="30"/>
        <v>High</v>
      </c>
      <c r="R397" t="s">
        <v>1514</v>
      </c>
    </row>
    <row r="398" spans="1:18" x14ac:dyDescent="0.45">
      <c r="A398">
        <v>397</v>
      </c>
      <c r="B398">
        <v>0</v>
      </c>
      <c r="C398" t="str">
        <f t="shared" si="31"/>
        <v>Not Survived</v>
      </c>
      <c r="D398">
        <v>3</v>
      </c>
      <c r="E398" t="s">
        <v>1103</v>
      </c>
      <c r="F398" t="s">
        <v>724</v>
      </c>
      <c r="G398" t="s">
        <v>300</v>
      </c>
      <c r="H398" t="s">
        <v>10</v>
      </c>
      <c r="I398" t="str">
        <f t="shared" si="32"/>
        <v>Female</v>
      </c>
      <c r="J398">
        <v>31</v>
      </c>
      <c r="K398" t="str">
        <f t="shared" si="33"/>
        <v>Adult</v>
      </c>
      <c r="L398" t="str" cm="1">
        <f t="array" ref="L398">_xlfn.IFS(J398&lt;13,"Child",J398&lt;18,"Teen",J398&lt;60,"Adult",J398&gt;60,"Old Age")</f>
        <v>Adult</v>
      </c>
      <c r="M398">
        <v>0</v>
      </c>
      <c r="N398">
        <v>0</v>
      </c>
      <c r="O398">
        <f t="shared" si="34"/>
        <v>1</v>
      </c>
      <c r="P398">
        <v>7.8541999999999996</v>
      </c>
      <c r="Q398" t="str">
        <f t="shared" si="30"/>
        <v>High</v>
      </c>
      <c r="R398" t="s">
        <v>1514</v>
      </c>
    </row>
    <row r="399" spans="1:18" x14ac:dyDescent="0.45">
      <c r="A399">
        <v>398</v>
      </c>
      <c r="B399">
        <v>0</v>
      </c>
      <c r="C399" t="str">
        <f t="shared" si="31"/>
        <v>Not Survived</v>
      </c>
      <c r="D399">
        <v>2</v>
      </c>
      <c r="E399" t="s">
        <v>1104</v>
      </c>
      <c r="F399" t="s">
        <v>722</v>
      </c>
      <c r="G399" t="s">
        <v>385</v>
      </c>
      <c r="H399" t="s">
        <v>9</v>
      </c>
      <c r="I399" t="str">
        <f t="shared" si="32"/>
        <v>Male</v>
      </c>
      <c r="J399">
        <v>46</v>
      </c>
      <c r="K399" t="str">
        <f t="shared" si="33"/>
        <v>Adult</v>
      </c>
      <c r="L399" t="str" cm="1">
        <f t="array" ref="L399">_xlfn.IFS(J399&lt;13,"Child",J399&lt;18,"Teen",J399&lt;60,"Adult",J399&gt;60,"Old Age")</f>
        <v>Adult</v>
      </c>
      <c r="M399">
        <v>0</v>
      </c>
      <c r="N399">
        <v>0</v>
      </c>
      <c r="O399">
        <f t="shared" si="34"/>
        <v>1</v>
      </c>
      <c r="P399">
        <v>26</v>
      </c>
      <c r="Q399" t="str">
        <f t="shared" si="30"/>
        <v>High</v>
      </c>
      <c r="R399" t="s">
        <v>1514</v>
      </c>
    </row>
    <row r="400" spans="1:18" x14ac:dyDescent="0.45">
      <c r="A400">
        <v>399</v>
      </c>
      <c r="B400">
        <v>0</v>
      </c>
      <c r="C400" t="str">
        <f t="shared" si="31"/>
        <v>Not Survived</v>
      </c>
      <c r="D400">
        <v>2</v>
      </c>
      <c r="E400" t="s">
        <v>1105</v>
      </c>
      <c r="F400" t="s">
        <v>728</v>
      </c>
      <c r="G400" t="s">
        <v>386</v>
      </c>
      <c r="H400" t="s">
        <v>9</v>
      </c>
      <c r="I400" t="str">
        <f t="shared" si="32"/>
        <v>Male</v>
      </c>
      <c r="J400">
        <v>23</v>
      </c>
      <c r="K400" t="str">
        <f t="shared" si="33"/>
        <v>Adult</v>
      </c>
      <c r="L400" t="str" cm="1">
        <f t="array" ref="L400">_xlfn.IFS(J400&lt;13,"Child",J400&lt;18,"Teen",J400&lt;60,"Adult",J400&gt;60,"Old Age")</f>
        <v>Adult</v>
      </c>
      <c r="M400">
        <v>0</v>
      </c>
      <c r="N400">
        <v>0</v>
      </c>
      <c r="O400">
        <f t="shared" si="34"/>
        <v>1</v>
      </c>
      <c r="P400" t="s">
        <v>18</v>
      </c>
      <c r="Q400" t="str">
        <f t="shared" si="30"/>
        <v>High</v>
      </c>
      <c r="R400" t="s">
        <v>1514</v>
      </c>
    </row>
    <row r="401" spans="1:18" x14ac:dyDescent="0.45">
      <c r="A401">
        <v>400</v>
      </c>
      <c r="B401">
        <v>1</v>
      </c>
      <c r="C401" t="str">
        <f t="shared" si="31"/>
        <v>Survived</v>
      </c>
      <c r="D401">
        <v>2</v>
      </c>
      <c r="E401" t="s">
        <v>1106</v>
      </c>
      <c r="F401" t="s">
        <v>723</v>
      </c>
      <c r="G401" t="s">
        <v>387</v>
      </c>
      <c r="H401" t="s">
        <v>10</v>
      </c>
      <c r="I401" t="str">
        <f t="shared" si="32"/>
        <v>Female</v>
      </c>
      <c r="J401">
        <v>28</v>
      </c>
      <c r="K401" t="str">
        <f t="shared" si="33"/>
        <v>Adult</v>
      </c>
      <c r="L401" t="str" cm="1">
        <f t="array" ref="L401">_xlfn.IFS(J401&lt;13,"Child",J401&lt;18,"Teen",J401&lt;60,"Adult",J401&gt;60,"Old Age")</f>
        <v>Adult</v>
      </c>
      <c r="M401">
        <v>0</v>
      </c>
      <c r="N401">
        <v>0</v>
      </c>
      <c r="O401">
        <f t="shared" si="34"/>
        <v>1</v>
      </c>
      <c r="P401">
        <v>12.65</v>
      </c>
      <c r="Q401" t="str">
        <f t="shared" si="30"/>
        <v>High</v>
      </c>
      <c r="R401" t="s">
        <v>1514</v>
      </c>
    </row>
    <row r="402" spans="1:18" x14ac:dyDescent="0.45">
      <c r="A402">
        <v>401</v>
      </c>
      <c r="B402">
        <v>1</v>
      </c>
      <c r="C402" t="str">
        <f t="shared" si="31"/>
        <v>Survived</v>
      </c>
      <c r="D402">
        <v>3</v>
      </c>
      <c r="E402" t="s">
        <v>1107</v>
      </c>
      <c r="F402" t="s">
        <v>722</v>
      </c>
      <c r="G402" t="s">
        <v>388</v>
      </c>
      <c r="H402" t="s">
        <v>9</v>
      </c>
      <c r="I402" t="str">
        <f t="shared" si="32"/>
        <v>Male</v>
      </c>
      <c r="J402">
        <v>39</v>
      </c>
      <c r="K402" t="str">
        <f t="shared" si="33"/>
        <v>Adult</v>
      </c>
      <c r="L402" t="str" cm="1">
        <f t="array" ref="L402">_xlfn.IFS(J402&lt;13,"Child",J402&lt;18,"Teen",J402&lt;60,"Adult",J402&gt;60,"Old Age")</f>
        <v>Adult</v>
      </c>
      <c r="M402">
        <v>0</v>
      </c>
      <c r="N402">
        <v>0</v>
      </c>
      <c r="O402">
        <f t="shared" si="34"/>
        <v>1</v>
      </c>
      <c r="P402">
        <v>7.9249999999999998</v>
      </c>
      <c r="Q402" t="str">
        <f t="shared" si="30"/>
        <v>High</v>
      </c>
      <c r="R402" t="s">
        <v>1514</v>
      </c>
    </row>
    <row r="403" spans="1:18" x14ac:dyDescent="0.45">
      <c r="A403">
        <v>402</v>
      </c>
      <c r="B403">
        <v>0</v>
      </c>
      <c r="C403" t="str">
        <f t="shared" si="31"/>
        <v>Not Survived</v>
      </c>
      <c r="D403">
        <v>3</v>
      </c>
      <c r="E403" t="s">
        <v>920</v>
      </c>
      <c r="F403" t="s">
        <v>722</v>
      </c>
      <c r="G403" t="s">
        <v>389</v>
      </c>
      <c r="H403" t="s">
        <v>9</v>
      </c>
      <c r="I403" t="str">
        <f t="shared" si="32"/>
        <v>Male</v>
      </c>
      <c r="J403">
        <v>26</v>
      </c>
      <c r="K403" t="str">
        <f t="shared" si="33"/>
        <v>Adult</v>
      </c>
      <c r="L403" t="str" cm="1">
        <f t="array" ref="L403">_xlfn.IFS(J403&lt;13,"Child",J403&lt;18,"Teen",J403&lt;60,"Adult",J403&gt;60,"Old Age")</f>
        <v>Adult</v>
      </c>
      <c r="M403">
        <v>0</v>
      </c>
      <c r="N403">
        <v>0</v>
      </c>
      <c r="O403">
        <f t="shared" si="34"/>
        <v>1</v>
      </c>
      <c r="P403" t="s">
        <v>12</v>
      </c>
      <c r="Q403" t="str">
        <f t="shared" si="30"/>
        <v>High</v>
      </c>
      <c r="R403" t="s">
        <v>1514</v>
      </c>
    </row>
    <row r="404" spans="1:18" x14ac:dyDescent="0.45">
      <c r="A404">
        <v>403</v>
      </c>
      <c r="B404">
        <v>0</v>
      </c>
      <c r="C404" t="str">
        <f t="shared" si="31"/>
        <v>Not Survived</v>
      </c>
      <c r="D404">
        <v>3</v>
      </c>
      <c r="E404" t="s">
        <v>1108</v>
      </c>
      <c r="F404" t="s">
        <v>724</v>
      </c>
      <c r="G404" t="s">
        <v>162</v>
      </c>
      <c r="H404" t="s">
        <v>10</v>
      </c>
      <c r="I404" t="str">
        <f t="shared" si="32"/>
        <v>Female</v>
      </c>
      <c r="J404">
        <v>21</v>
      </c>
      <c r="K404" t="str">
        <f t="shared" si="33"/>
        <v>Adult</v>
      </c>
      <c r="L404" t="str" cm="1">
        <f t="array" ref="L404">_xlfn.IFS(J404&lt;13,"Child",J404&lt;18,"Teen",J404&lt;60,"Adult",J404&gt;60,"Old Age")</f>
        <v>Adult</v>
      </c>
      <c r="M404">
        <v>1</v>
      </c>
      <c r="N404">
        <v>0</v>
      </c>
      <c r="O404">
        <f t="shared" si="34"/>
        <v>2</v>
      </c>
      <c r="P404">
        <v>9.8249999999999993</v>
      </c>
      <c r="Q404" t="str">
        <f t="shared" si="30"/>
        <v>High</v>
      </c>
      <c r="R404" t="s">
        <v>1514</v>
      </c>
    </row>
    <row r="405" spans="1:18" x14ac:dyDescent="0.45">
      <c r="A405">
        <v>404</v>
      </c>
      <c r="B405">
        <v>0</v>
      </c>
      <c r="C405" t="str">
        <f t="shared" si="31"/>
        <v>Not Survived</v>
      </c>
      <c r="D405">
        <v>3</v>
      </c>
      <c r="E405" t="s">
        <v>1109</v>
      </c>
      <c r="F405" t="s">
        <v>722</v>
      </c>
      <c r="G405" t="s">
        <v>185</v>
      </c>
      <c r="H405" t="s">
        <v>9</v>
      </c>
      <c r="I405" t="str">
        <f t="shared" si="32"/>
        <v>Male</v>
      </c>
      <c r="J405">
        <v>28</v>
      </c>
      <c r="K405" t="str">
        <f t="shared" si="33"/>
        <v>Adult</v>
      </c>
      <c r="L405" t="str" cm="1">
        <f t="array" ref="L405">_xlfn.IFS(J405&lt;13,"Child",J405&lt;18,"Teen",J405&lt;60,"Adult",J405&gt;60,"Old Age")</f>
        <v>Adult</v>
      </c>
      <c r="M405">
        <v>1</v>
      </c>
      <c r="N405">
        <v>0</v>
      </c>
      <c r="O405">
        <f t="shared" si="34"/>
        <v>2</v>
      </c>
      <c r="P405">
        <v>15.85</v>
      </c>
      <c r="Q405" t="str">
        <f t="shared" si="30"/>
        <v>High</v>
      </c>
      <c r="R405" t="s">
        <v>1514</v>
      </c>
    </row>
    <row r="406" spans="1:18" x14ac:dyDescent="0.45">
      <c r="A406">
        <v>405</v>
      </c>
      <c r="B406">
        <v>0</v>
      </c>
      <c r="C406" t="str">
        <f t="shared" si="31"/>
        <v>Not Survived</v>
      </c>
      <c r="D406">
        <v>3</v>
      </c>
      <c r="E406" t="s">
        <v>1110</v>
      </c>
      <c r="F406" t="s">
        <v>724</v>
      </c>
      <c r="G406" t="s">
        <v>390</v>
      </c>
      <c r="H406" t="s">
        <v>10</v>
      </c>
      <c r="I406" t="str">
        <f t="shared" si="32"/>
        <v>Female</v>
      </c>
      <c r="J406">
        <v>20</v>
      </c>
      <c r="K406" t="str">
        <f t="shared" si="33"/>
        <v>Adult</v>
      </c>
      <c r="L406" t="str" cm="1">
        <f t="array" ref="L406">_xlfn.IFS(J406&lt;13,"Child",J406&lt;18,"Teen",J406&lt;60,"Adult",J406&gt;60,"Old Age")</f>
        <v>Adult</v>
      </c>
      <c r="M406">
        <v>0</v>
      </c>
      <c r="N406">
        <v>0</v>
      </c>
      <c r="O406">
        <f t="shared" si="34"/>
        <v>1</v>
      </c>
      <c r="P406">
        <v>8.6624999999999996</v>
      </c>
      <c r="Q406" t="str">
        <f t="shared" si="30"/>
        <v>High</v>
      </c>
      <c r="R406" t="s">
        <v>1514</v>
      </c>
    </row>
    <row r="407" spans="1:18" x14ac:dyDescent="0.45">
      <c r="A407">
        <v>406</v>
      </c>
      <c r="B407">
        <v>0</v>
      </c>
      <c r="C407" t="str">
        <f t="shared" si="31"/>
        <v>Not Survived</v>
      </c>
      <c r="D407">
        <v>2</v>
      </c>
      <c r="E407" t="s">
        <v>1111</v>
      </c>
      <c r="F407" t="s">
        <v>722</v>
      </c>
      <c r="G407" t="s">
        <v>391</v>
      </c>
      <c r="H407" t="s">
        <v>9</v>
      </c>
      <c r="I407" t="str">
        <f t="shared" si="32"/>
        <v>Male</v>
      </c>
      <c r="J407">
        <v>34</v>
      </c>
      <c r="K407" t="str">
        <f t="shared" si="33"/>
        <v>Adult</v>
      </c>
      <c r="L407" t="str" cm="1">
        <f t="array" ref="L407">_xlfn.IFS(J407&lt;13,"Child",J407&lt;18,"Teen",J407&lt;60,"Adult",J407&gt;60,"Old Age")</f>
        <v>Adult</v>
      </c>
      <c r="M407">
        <v>1</v>
      </c>
      <c r="N407">
        <v>0</v>
      </c>
      <c r="O407">
        <f t="shared" si="34"/>
        <v>2</v>
      </c>
      <c r="P407">
        <v>21</v>
      </c>
      <c r="Q407" t="str">
        <f t="shared" si="30"/>
        <v>High</v>
      </c>
      <c r="R407" t="s">
        <v>1514</v>
      </c>
    </row>
    <row r="408" spans="1:18" x14ac:dyDescent="0.45">
      <c r="A408">
        <v>407</v>
      </c>
      <c r="B408">
        <v>0</v>
      </c>
      <c r="C408" t="str">
        <f t="shared" si="31"/>
        <v>Not Survived</v>
      </c>
      <c r="D408">
        <v>3</v>
      </c>
      <c r="E408" t="s">
        <v>1112</v>
      </c>
      <c r="F408" t="s">
        <v>722</v>
      </c>
      <c r="G408" t="s">
        <v>392</v>
      </c>
      <c r="H408" t="s">
        <v>9</v>
      </c>
      <c r="I408" t="str">
        <f t="shared" si="32"/>
        <v>Male</v>
      </c>
      <c r="J408">
        <v>51</v>
      </c>
      <c r="K408" t="str">
        <f t="shared" si="33"/>
        <v>Adult</v>
      </c>
      <c r="L408" t="str" cm="1">
        <f t="array" ref="L408">_xlfn.IFS(J408&lt;13,"Child",J408&lt;18,"Teen",J408&lt;60,"Adult",J408&gt;60,"Old Age")</f>
        <v>Adult</v>
      </c>
      <c r="M408">
        <v>0</v>
      </c>
      <c r="N408">
        <v>0</v>
      </c>
      <c r="O408">
        <f t="shared" si="34"/>
        <v>1</v>
      </c>
      <c r="P408">
        <v>7.75</v>
      </c>
      <c r="Q408" t="str">
        <f t="shared" si="30"/>
        <v>High</v>
      </c>
      <c r="R408" t="s">
        <v>1514</v>
      </c>
    </row>
    <row r="409" spans="1:18" x14ac:dyDescent="0.45">
      <c r="A409">
        <v>408</v>
      </c>
      <c r="B409">
        <v>1</v>
      </c>
      <c r="C409" t="str">
        <f t="shared" si="31"/>
        <v>Survived</v>
      </c>
      <c r="D409">
        <v>2</v>
      </c>
      <c r="E409" t="s">
        <v>1113</v>
      </c>
      <c r="F409" t="s">
        <v>725</v>
      </c>
      <c r="G409" t="s">
        <v>393</v>
      </c>
      <c r="H409" t="s">
        <v>9</v>
      </c>
      <c r="I409" t="str">
        <f t="shared" si="32"/>
        <v>Male</v>
      </c>
      <c r="J409">
        <v>3</v>
      </c>
      <c r="K409" t="str">
        <f t="shared" si="33"/>
        <v>Child</v>
      </c>
      <c r="L409" t="str" cm="1">
        <f t="array" ref="L409">_xlfn.IFS(J409&lt;13,"Child",J409&lt;18,"Teen",J409&lt;60,"Adult",J409&gt;60,"Old Age")</f>
        <v>Child</v>
      </c>
      <c r="M409">
        <v>1</v>
      </c>
      <c r="N409">
        <v>1</v>
      </c>
      <c r="O409">
        <f t="shared" si="34"/>
        <v>3</v>
      </c>
      <c r="P409">
        <v>18.75</v>
      </c>
      <c r="Q409" t="str">
        <f t="shared" si="30"/>
        <v>High</v>
      </c>
      <c r="R409" t="s">
        <v>1514</v>
      </c>
    </row>
    <row r="410" spans="1:18" x14ac:dyDescent="0.45">
      <c r="A410">
        <v>409</v>
      </c>
      <c r="B410">
        <v>0</v>
      </c>
      <c r="C410" t="str">
        <f t="shared" si="31"/>
        <v>Not Survived</v>
      </c>
      <c r="D410">
        <v>3</v>
      </c>
      <c r="E410" t="s">
        <v>1114</v>
      </c>
      <c r="F410" t="s">
        <v>722</v>
      </c>
      <c r="G410" t="s">
        <v>394</v>
      </c>
      <c r="H410" t="s">
        <v>9</v>
      </c>
      <c r="I410" t="str">
        <f t="shared" si="32"/>
        <v>Male</v>
      </c>
      <c r="J410">
        <v>21</v>
      </c>
      <c r="K410" t="str">
        <f t="shared" si="33"/>
        <v>Adult</v>
      </c>
      <c r="L410" t="str" cm="1">
        <f t="array" ref="L410">_xlfn.IFS(J410&lt;13,"Child",J410&lt;18,"Teen",J410&lt;60,"Adult",J410&gt;60,"Old Age")</f>
        <v>Adult</v>
      </c>
      <c r="M410">
        <v>0</v>
      </c>
      <c r="N410">
        <v>0</v>
      </c>
      <c r="O410">
        <f t="shared" si="34"/>
        <v>1</v>
      </c>
      <c r="P410">
        <v>7.7750000000000004</v>
      </c>
      <c r="Q410" t="str">
        <f t="shared" si="30"/>
        <v>High</v>
      </c>
      <c r="R410" t="s">
        <v>1514</v>
      </c>
    </row>
    <row r="411" spans="1:18" x14ac:dyDescent="0.45">
      <c r="A411">
        <v>410</v>
      </c>
      <c r="B411">
        <v>0</v>
      </c>
      <c r="C411" t="str">
        <f t="shared" si="31"/>
        <v>Not Survived</v>
      </c>
      <c r="D411">
        <v>3</v>
      </c>
      <c r="E411" t="s">
        <v>1115</v>
      </c>
      <c r="F411" t="s">
        <v>724</v>
      </c>
      <c r="G411" t="s">
        <v>212</v>
      </c>
      <c r="H411" t="s">
        <v>10</v>
      </c>
      <c r="I411" t="str">
        <f t="shared" si="32"/>
        <v>Female</v>
      </c>
      <c r="J411">
        <v>28</v>
      </c>
      <c r="K411" t="str">
        <f t="shared" si="33"/>
        <v>Adult</v>
      </c>
      <c r="L411" t="str" cm="1">
        <f t="array" ref="L411">_xlfn.IFS(J411&lt;13,"Child",J411&lt;18,"Teen",J411&lt;60,"Adult",J411&gt;60,"Old Age")</f>
        <v>Adult</v>
      </c>
      <c r="M411">
        <v>3</v>
      </c>
      <c r="N411">
        <v>1</v>
      </c>
      <c r="O411">
        <f t="shared" si="34"/>
        <v>5</v>
      </c>
      <c r="P411">
        <v>25.466699999999999</v>
      </c>
      <c r="Q411" t="str">
        <f t="shared" si="30"/>
        <v>High</v>
      </c>
      <c r="R411" t="s">
        <v>1514</v>
      </c>
    </row>
    <row r="412" spans="1:18" x14ac:dyDescent="0.45">
      <c r="A412">
        <v>411</v>
      </c>
      <c r="B412">
        <v>0</v>
      </c>
      <c r="C412" t="str">
        <f t="shared" si="31"/>
        <v>Not Survived</v>
      </c>
      <c r="D412">
        <v>3</v>
      </c>
      <c r="E412" t="s">
        <v>1116</v>
      </c>
      <c r="F412" t="s">
        <v>722</v>
      </c>
      <c r="G412" t="s">
        <v>395</v>
      </c>
      <c r="H412" t="s">
        <v>9</v>
      </c>
      <c r="I412" t="str">
        <f t="shared" si="32"/>
        <v>Male</v>
      </c>
      <c r="J412">
        <v>28</v>
      </c>
      <c r="K412" t="str">
        <f t="shared" si="33"/>
        <v>Adult</v>
      </c>
      <c r="L412" t="str" cm="1">
        <f t="array" ref="L412">_xlfn.IFS(J412&lt;13,"Child",J412&lt;18,"Teen",J412&lt;60,"Adult",J412&gt;60,"Old Age")</f>
        <v>Adult</v>
      </c>
      <c r="M412">
        <v>0</v>
      </c>
      <c r="N412">
        <v>0</v>
      </c>
      <c r="O412">
        <f t="shared" si="34"/>
        <v>1</v>
      </c>
      <c r="P412">
        <v>7.8958000000000004</v>
      </c>
      <c r="Q412" t="str">
        <f t="shared" si="30"/>
        <v>High</v>
      </c>
      <c r="R412" t="s">
        <v>1514</v>
      </c>
    </row>
    <row r="413" spans="1:18" x14ac:dyDescent="0.45">
      <c r="A413">
        <v>412</v>
      </c>
      <c r="B413">
        <v>0</v>
      </c>
      <c r="C413" t="str">
        <f t="shared" si="31"/>
        <v>Not Survived</v>
      </c>
      <c r="D413">
        <v>3</v>
      </c>
      <c r="E413" t="s">
        <v>940</v>
      </c>
      <c r="F413" t="s">
        <v>722</v>
      </c>
      <c r="G413" t="s">
        <v>328</v>
      </c>
      <c r="H413" t="s">
        <v>9</v>
      </c>
      <c r="I413" t="str">
        <f t="shared" si="32"/>
        <v>Male</v>
      </c>
      <c r="J413">
        <v>28</v>
      </c>
      <c r="K413" t="str">
        <f t="shared" si="33"/>
        <v>Adult</v>
      </c>
      <c r="L413" t="str" cm="1">
        <f t="array" ref="L413">_xlfn.IFS(J413&lt;13,"Child",J413&lt;18,"Teen",J413&lt;60,"Adult",J413&gt;60,"Old Age")</f>
        <v>Adult</v>
      </c>
      <c r="M413">
        <v>0</v>
      </c>
      <c r="N413">
        <v>0</v>
      </c>
      <c r="O413">
        <f t="shared" si="34"/>
        <v>1</v>
      </c>
      <c r="P413">
        <v>6.8582999999999998</v>
      </c>
      <c r="Q413" t="str">
        <f t="shared" si="30"/>
        <v>High</v>
      </c>
      <c r="R413" t="s">
        <v>1516</v>
      </c>
    </row>
    <row r="414" spans="1:18" x14ac:dyDescent="0.45">
      <c r="A414">
        <v>413</v>
      </c>
      <c r="B414">
        <v>1</v>
      </c>
      <c r="C414" t="str">
        <f t="shared" si="31"/>
        <v>Survived</v>
      </c>
      <c r="D414">
        <v>1</v>
      </c>
      <c r="E414" t="s">
        <v>1117</v>
      </c>
      <c r="F414" t="s">
        <v>724</v>
      </c>
      <c r="G414" t="s">
        <v>269</v>
      </c>
      <c r="H414" t="s">
        <v>10</v>
      </c>
      <c r="I414" t="str">
        <f t="shared" si="32"/>
        <v>Female</v>
      </c>
      <c r="J414">
        <v>33</v>
      </c>
      <c r="K414" t="str">
        <f t="shared" si="33"/>
        <v>Adult</v>
      </c>
      <c r="L414" t="str" cm="1">
        <f t="array" ref="L414">_xlfn.IFS(J414&lt;13,"Child",J414&lt;18,"Teen",J414&lt;60,"Adult",J414&gt;60,"Old Age")</f>
        <v>Adult</v>
      </c>
      <c r="M414">
        <v>1</v>
      </c>
      <c r="N414">
        <v>0</v>
      </c>
      <c r="O414">
        <f t="shared" si="34"/>
        <v>2</v>
      </c>
      <c r="P414">
        <v>914.45420000000001</v>
      </c>
      <c r="Q414" t="str">
        <f t="shared" si="30"/>
        <v>High</v>
      </c>
      <c r="R414" t="s">
        <v>1516</v>
      </c>
    </row>
    <row r="415" spans="1:18" x14ac:dyDescent="0.45">
      <c r="A415">
        <v>414</v>
      </c>
      <c r="B415">
        <v>0</v>
      </c>
      <c r="C415" t="str">
        <f t="shared" si="31"/>
        <v>Not Survived</v>
      </c>
      <c r="D415">
        <v>2</v>
      </c>
      <c r="E415" t="s">
        <v>1118</v>
      </c>
      <c r="F415" t="s">
        <v>722</v>
      </c>
      <c r="G415" t="s">
        <v>396</v>
      </c>
      <c r="H415" t="s">
        <v>9</v>
      </c>
      <c r="I415" t="str">
        <f t="shared" si="32"/>
        <v>Male</v>
      </c>
      <c r="J415">
        <v>28</v>
      </c>
      <c r="K415" t="str">
        <f t="shared" si="33"/>
        <v>Adult</v>
      </c>
      <c r="L415" t="str" cm="1">
        <f t="array" ref="L415">_xlfn.IFS(J415&lt;13,"Child",J415&lt;18,"Teen",J415&lt;60,"Adult",J415&gt;60,"Old Age")</f>
        <v>Adult</v>
      </c>
      <c r="M415">
        <v>0</v>
      </c>
      <c r="N415">
        <v>0</v>
      </c>
      <c r="O415">
        <f t="shared" si="34"/>
        <v>1</v>
      </c>
      <c r="P415">
        <v>14.4542</v>
      </c>
      <c r="Q415" t="str">
        <f t="shared" si="30"/>
        <v>High</v>
      </c>
      <c r="R415" t="s">
        <v>1514</v>
      </c>
    </row>
    <row r="416" spans="1:18" x14ac:dyDescent="0.45">
      <c r="A416">
        <v>415</v>
      </c>
      <c r="B416">
        <v>1</v>
      </c>
      <c r="C416" t="str">
        <f t="shared" si="31"/>
        <v>Survived</v>
      </c>
      <c r="D416">
        <v>3</v>
      </c>
      <c r="E416" t="s">
        <v>1119</v>
      </c>
      <c r="F416" t="s">
        <v>722</v>
      </c>
      <c r="G416" t="s">
        <v>397</v>
      </c>
      <c r="H416" t="s">
        <v>9</v>
      </c>
      <c r="I416" t="str">
        <f t="shared" si="32"/>
        <v>Male</v>
      </c>
      <c r="J416">
        <v>44</v>
      </c>
      <c r="K416" t="str">
        <f t="shared" si="33"/>
        <v>Adult</v>
      </c>
      <c r="L416" t="str" cm="1">
        <f t="array" ref="L416">_xlfn.IFS(J416&lt;13,"Child",J416&lt;18,"Teen",J416&lt;60,"Adult",J416&gt;60,"Old Age")</f>
        <v>Adult</v>
      </c>
      <c r="M416">
        <v>0</v>
      </c>
      <c r="N416">
        <v>0</v>
      </c>
      <c r="O416">
        <f t="shared" si="34"/>
        <v>1</v>
      </c>
      <c r="P416">
        <v>7.9249999999999998</v>
      </c>
      <c r="Q416" t="str">
        <f t="shared" si="30"/>
        <v>High</v>
      </c>
      <c r="R416" t="s">
        <v>1514</v>
      </c>
    </row>
    <row r="417" spans="1:18" x14ac:dyDescent="0.45">
      <c r="A417">
        <v>416</v>
      </c>
      <c r="B417">
        <v>0</v>
      </c>
      <c r="C417" t="str">
        <f t="shared" si="31"/>
        <v>Not Survived</v>
      </c>
      <c r="D417">
        <v>3</v>
      </c>
      <c r="E417" t="s">
        <v>886</v>
      </c>
      <c r="F417" t="s">
        <v>723</v>
      </c>
      <c r="G417" t="s">
        <v>398</v>
      </c>
      <c r="H417" t="s">
        <v>10</v>
      </c>
      <c r="I417" t="str">
        <f t="shared" si="32"/>
        <v>Female</v>
      </c>
      <c r="J417">
        <v>28</v>
      </c>
      <c r="K417" t="str">
        <f t="shared" si="33"/>
        <v>Adult</v>
      </c>
      <c r="L417" t="str" cm="1">
        <f t="array" ref="L417">_xlfn.IFS(J417&lt;13,"Child",J417&lt;18,"Teen",J417&lt;60,"Adult",J417&gt;60,"Old Age")</f>
        <v>Adult</v>
      </c>
      <c r="M417">
        <v>0</v>
      </c>
      <c r="N417">
        <v>0</v>
      </c>
      <c r="O417">
        <f t="shared" si="34"/>
        <v>1</v>
      </c>
      <c r="P417" t="s">
        <v>12</v>
      </c>
      <c r="Q417" t="str">
        <f t="shared" si="30"/>
        <v>High</v>
      </c>
      <c r="R417" t="s">
        <v>1514</v>
      </c>
    </row>
    <row r="418" spans="1:18" x14ac:dyDescent="0.45">
      <c r="A418">
        <v>417</v>
      </c>
      <c r="B418">
        <v>1</v>
      </c>
      <c r="C418" t="str">
        <f t="shared" si="31"/>
        <v>Survived</v>
      </c>
      <c r="D418">
        <v>2</v>
      </c>
      <c r="E418" t="s">
        <v>1120</v>
      </c>
      <c r="F418" t="s">
        <v>723</v>
      </c>
      <c r="G418" t="s">
        <v>399</v>
      </c>
      <c r="H418" t="s">
        <v>10</v>
      </c>
      <c r="I418" t="str">
        <f t="shared" si="32"/>
        <v>Female</v>
      </c>
      <c r="J418">
        <v>34</v>
      </c>
      <c r="K418" t="str">
        <f t="shared" si="33"/>
        <v>Adult</v>
      </c>
      <c r="L418" t="str" cm="1">
        <f t="array" ref="L418">_xlfn.IFS(J418&lt;13,"Child",J418&lt;18,"Teen",J418&lt;60,"Adult",J418&gt;60,"Old Age")</f>
        <v>Adult</v>
      </c>
      <c r="M418">
        <v>1</v>
      </c>
      <c r="N418">
        <v>1</v>
      </c>
      <c r="O418">
        <f t="shared" si="34"/>
        <v>3</v>
      </c>
      <c r="P418">
        <v>32.5</v>
      </c>
      <c r="Q418" t="str">
        <f t="shared" si="30"/>
        <v>High</v>
      </c>
      <c r="R418" t="s">
        <v>1514</v>
      </c>
    </row>
    <row r="419" spans="1:18" x14ac:dyDescent="0.45">
      <c r="A419">
        <v>418</v>
      </c>
      <c r="B419">
        <v>1</v>
      </c>
      <c r="C419" t="str">
        <f t="shared" si="31"/>
        <v>Survived</v>
      </c>
      <c r="D419">
        <v>2</v>
      </c>
      <c r="E419" t="s">
        <v>1121</v>
      </c>
      <c r="F419" t="s">
        <v>724</v>
      </c>
      <c r="G419" t="s">
        <v>400</v>
      </c>
      <c r="H419" t="s">
        <v>10</v>
      </c>
      <c r="I419" t="str">
        <f t="shared" si="32"/>
        <v>Female</v>
      </c>
      <c r="J419">
        <v>18</v>
      </c>
      <c r="K419" t="str">
        <f t="shared" si="33"/>
        <v>Adult</v>
      </c>
      <c r="L419" t="str" cm="1">
        <f t="array" ref="L419">_xlfn.IFS(J419&lt;13,"Child",J419&lt;18,"Teen",J419&lt;60,"Adult",J419&gt;60,"Old Age")</f>
        <v>Adult</v>
      </c>
      <c r="M419">
        <v>0</v>
      </c>
      <c r="N419">
        <v>2</v>
      </c>
      <c r="O419">
        <f t="shared" si="34"/>
        <v>3</v>
      </c>
      <c r="P419">
        <v>13</v>
      </c>
      <c r="Q419" t="str">
        <f t="shared" si="30"/>
        <v>High</v>
      </c>
      <c r="R419" t="s">
        <v>1514</v>
      </c>
    </row>
    <row r="420" spans="1:18" x14ac:dyDescent="0.45">
      <c r="A420">
        <v>419</v>
      </c>
      <c r="B420">
        <v>0</v>
      </c>
      <c r="C420" t="str">
        <f t="shared" si="31"/>
        <v>Not Survived</v>
      </c>
      <c r="D420">
        <v>2</v>
      </c>
      <c r="E420" t="s">
        <v>783</v>
      </c>
      <c r="F420" t="s">
        <v>722</v>
      </c>
      <c r="G420" t="s">
        <v>401</v>
      </c>
      <c r="H420" t="s">
        <v>9</v>
      </c>
      <c r="I420" t="str">
        <f t="shared" si="32"/>
        <v>Male</v>
      </c>
      <c r="J420">
        <v>30</v>
      </c>
      <c r="K420" t="str">
        <f t="shared" si="33"/>
        <v>Adult</v>
      </c>
      <c r="L420" t="str" cm="1">
        <f t="array" ref="L420">_xlfn.IFS(J420&lt;13,"Child",J420&lt;18,"Teen",J420&lt;60,"Adult",J420&gt;60,"Old Age")</f>
        <v>Adult</v>
      </c>
      <c r="M420">
        <v>0</v>
      </c>
      <c r="N420">
        <v>0</v>
      </c>
      <c r="O420">
        <f t="shared" si="34"/>
        <v>1</v>
      </c>
      <c r="P420">
        <v>13</v>
      </c>
      <c r="Q420" t="str">
        <f t="shared" si="30"/>
        <v>High</v>
      </c>
      <c r="R420" t="s">
        <v>1514</v>
      </c>
    </row>
    <row r="421" spans="1:18" x14ac:dyDescent="0.45">
      <c r="A421">
        <v>420</v>
      </c>
      <c r="B421">
        <v>0</v>
      </c>
      <c r="C421" t="str">
        <f t="shared" si="31"/>
        <v>Not Survived</v>
      </c>
      <c r="D421">
        <v>3</v>
      </c>
      <c r="E421" t="s">
        <v>1122</v>
      </c>
      <c r="F421" t="s">
        <v>724</v>
      </c>
      <c r="G421" t="s">
        <v>402</v>
      </c>
      <c r="H421" t="s">
        <v>10</v>
      </c>
      <c r="I421" t="str">
        <f t="shared" si="32"/>
        <v>Female</v>
      </c>
      <c r="J421">
        <v>10</v>
      </c>
      <c r="K421" t="str">
        <f t="shared" si="33"/>
        <v>Child</v>
      </c>
      <c r="L421" t="str" cm="1">
        <f t="array" ref="L421">_xlfn.IFS(J421&lt;13,"Child",J421&lt;18,"Teen",J421&lt;60,"Adult",J421&gt;60,"Old Age")</f>
        <v>Child</v>
      </c>
      <c r="M421">
        <v>0</v>
      </c>
      <c r="N421">
        <v>2</v>
      </c>
      <c r="O421">
        <f t="shared" si="34"/>
        <v>3</v>
      </c>
      <c r="P421">
        <v>24.15</v>
      </c>
      <c r="Q421" t="str">
        <f t="shared" si="30"/>
        <v>High</v>
      </c>
      <c r="R421" t="s">
        <v>1514</v>
      </c>
    </row>
    <row r="422" spans="1:18" x14ac:dyDescent="0.45">
      <c r="A422">
        <v>421</v>
      </c>
      <c r="B422">
        <v>0</v>
      </c>
      <c r="C422" t="str">
        <f t="shared" si="31"/>
        <v>Not Survived</v>
      </c>
      <c r="D422">
        <v>3</v>
      </c>
      <c r="E422" t="s">
        <v>1123</v>
      </c>
      <c r="F422" t="s">
        <v>722</v>
      </c>
      <c r="G422" t="s">
        <v>403</v>
      </c>
      <c r="H422" t="s">
        <v>9</v>
      </c>
      <c r="I422" t="str">
        <f t="shared" si="32"/>
        <v>Male</v>
      </c>
      <c r="J422">
        <v>28</v>
      </c>
      <c r="K422" t="str">
        <f t="shared" si="33"/>
        <v>Adult</v>
      </c>
      <c r="L422" t="str" cm="1">
        <f t="array" ref="L422">_xlfn.IFS(J422&lt;13,"Child",J422&lt;18,"Teen",J422&lt;60,"Adult",J422&gt;60,"Old Age")</f>
        <v>Adult</v>
      </c>
      <c r="M422">
        <v>0</v>
      </c>
      <c r="N422">
        <v>0</v>
      </c>
      <c r="O422">
        <f t="shared" si="34"/>
        <v>1</v>
      </c>
      <c r="P422">
        <v>7.8958000000000004</v>
      </c>
      <c r="Q422" t="str">
        <f t="shared" si="30"/>
        <v>High</v>
      </c>
      <c r="R422" t="s">
        <v>1515</v>
      </c>
    </row>
    <row r="423" spans="1:18" x14ac:dyDescent="0.45">
      <c r="A423">
        <v>422</v>
      </c>
      <c r="B423">
        <v>0</v>
      </c>
      <c r="C423" t="str">
        <f t="shared" si="31"/>
        <v>Not Survived</v>
      </c>
      <c r="D423">
        <v>3</v>
      </c>
      <c r="E423" t="s">
        <v>989</v>
      </c>
      <c r="F423" t="s">
        <v>722</v>
      </c>
      <c r="G423" t="s">
        <v>404</v>
      </c>
      <c r="H423" t="s">
        <v>9</v>
      </c>
      <c r="I423" t="str">
        <f t="shared" si="32"/>
        <v>Male</v>
      </c>
      <c r="J423">
        <v>21</v>
      </c>
      <c r="K423" t="str">
        <f t="shared" si="33"/>
        <v>Adult</v>
      </c>
      <c r="L423" t="str" cm="1">
        <f t="array" ref="L423">_xlfn.IFS(J423&lt;13,"Child",J423&lt;18,"Teen",J423&lt;60,"Adult",J423&gt;60,"Old Age")</f>
        <v>Adult</v>
      </c>
      <c r="M423">
        <v>0</v>
      </c>
      <c r="N423">
        <v>0</v>
      </c>
      <c r="O423">
        <f t="shared" si="34"/>
        <v>1</v>
      </c>
      <c r="P423">
        <v>7.7332999999999998</v>
      </c>
      <c r="Q423" t="str">
        <f t="shared" si="30"/>
        <v>High</v>
      </c>
      <c r="R423" t="s">
        <v>1516</v>
      </c>
    </row>
    <row r="424" spans="1:18" x14ac:dyDescent="0.45">
      <c r="A424">
        <v>423</v>
      </c>
      <c r="B424">
        <v>0</v>
      </c>
      <c r="C424" t="str">
        <f t="shared" si="31"/>
        <v>Not Survived</v>
      </c>
      <c r="D424">
        <v>3</v>
      </c>
      <c r="E424" t="s">
        <v>1124</v>
      </c>
      <c r="F424" t="s">
        <v>722</v>
      </c>
      <c r="G424" t="s">
        <v>405</v>
      </c>
      <c r="H424" t="s">
        <v>9</v>
      </c>
      <c r="I424" t="str">
        <f t="shared" si="32"/>
        <v>Male</v>
      </c>
      <c r="J424">
        <v>29</v>
      </c>
      <c r="K424" t="str">
        <f t="shared" si="33"/>
        <v>Adult</v>
      </c>
      <c r="L424" t="str" cm="1">
        <f t="array" ref="L424">_xlfn.IFS(J424&lt;13,"Child",J424&lt;18,"Teen",J424&lt;60,"Adult",J424&gt;60,"Old Age")</f>
        <v>Adult</v>
      </c>
      <c r="M424">
        <v>0</v>
      </c>
      <c r="N424">
        <v>0</v>
      </c>
      <c r="O424">
        <f t="shared" si="34"/>
        <v>1</v>
      </c>
      <c r="P424">
        <v>7.875</v>
      </c>
      <c r="Q424" t="str">
        <f t="shared" si="30"/>
        <v>High</v>
      </c>
      <c r="R424" t="s">
        <v>1514</v>
      </c>
    </row>
    <row r="425" spans="1:18" x14ac:dyDescent="0.45">
      <c r="A425">
        <v>424</v>
      </c>
      <c r="B425">
        <v>0</v>
      </c>
      <c r="C425" t="str">
        <f t="shared" si="31"/>
        <v>Not Survived</v>
      </c>
      <c r="D425">
        <v>3</v>
      </c>
      <c r="E425" t="s">
        <v>1125</v>
      </c>
      <c r="F425" t="s">
        <v>723</v>
      </c>
      <c r="G425" t="s">
        <v>406</v>
      </c>
      <c r="H425" t="s">
        <v>10</v>
      </c>
      <c r="I425" t="str">
        <f t="shared" si="32"/>
        <v>Female</v>
      </c>
      <c r="J425">
        <v>28</v>
      </c>
      <c r="K425" t="str">
        <f t="shared" si="33"/>
        <v>Adult</v>
      </c>
      <c r="L425" t="str" cm="1">
        <f t="array" ref="L425">_xlfn.IFS(J425&lt;13,"Child",J425&lt;18,"Teen",J425&lt;60,"Adult",J425&gt;60,"Old Age")</f>
        <v>Adult</v>
      </c>
      <c r="M425">
        <v>1</v>
      </c>
      <c r="N425">
        <v>1</v>
      </c>
      <c r="O425">
        <f t="shared" si="34"/>
        <v>3</v>
      </c>
      <c r="P425">
        <v>14.4</v>
      </c>
      <c r="Q425" t="str">
        <f t="shared" si="30"/>
        <v>High</v>
      </c>
      <c r="R425" t="s">
        <v>1514</v>
      </c>
    </row>
    <row r="426" spans="1:18" x14ac:dyDescent="0.45">
      <c r="A426">
        <v>425</v>
      </c>
      <c r="B426">
        <v>0</v>
      </c>
      <c r="C426" t="str">
        <f t="shared" si="31"/>
        <v>Not Survived</v>
      </c>
      <c r="D426">
        <v>3</v>
      </c>
      <c r="E426" t="s">
        <v>1126</v>
      </c>
      <c r="F426" t="s">
        <v>722</v>
      </c>
      <c r="G426" t="s">
        <v>277</v>
      </c>
      <c r="H426" t="s">
        <v>9</v>
      </c>
      <c r="I426" t="str">
        <f t="shared" si="32"/>
        <v>Male</v>
      </c>
      <c r="J426">
        <v>18</v>
      </c>
      <c r="K426" t="str">
        <f t="shared" si="33"/>
        <v>Adult</v>
      </c>
      <c r="L426" t="str" cm="1">
        <f t="array" ref="L426">_xlfn.IFS(J426&lt;13,"Child",J426&lt;18,"Teen",J426&lt;60,"Adult",J426&gt;60,"Old Age")</f>
        <v>Adult</v>
      </c>
      <c r="M426">
        <v>1</v>
      </c>
      <c r="N426">
        <v>1</v>
      </c>
      <c r="O426">
        <f t="shared" si="34"/>
        <v>3</v>
      </c>
      <c r="P426" t="s">
        <v>30</v>
      </c>
      <c r="Q426" t="str">
        <f t="shared" si="30"/>
        <v>High</v>
      </c>
      <c r="R426" t="s">
        <v>1514</v>
      </c>
    </row>
    <row r="427" spans="1:18" x14ac:dyDescent="0.45">
      <c r="A427">
        <v>426</v>
      </c>
      <c r="B427">
        <v>0</v>
      </c>
      <c r="C427" t="str">
        <f t="shared" si="31"/>
        <v>Not Survived</v>
      </c>
      <c r="D427">
        <v>3</v>
      </c>
      <c r="E427" t="s">
        <v>1127</v>
      </c>
      <c r="F427" t="s">
        <v>722</v>
      </c>
      <c r="G427" t="s">
        <v>407</v>
      </c>
      <c r="H427" t="s">
        <v>9</v>
      </c>
      <c r="I427" t="str">
        <f t="shared" si="32"/>
        <v>Male</v>
      </c>
      <c r="J427">
        <v>28</v>
      </c>
      <c r="K427" t="str">
        <f t="shared" si="33"/>
        <v>Adult</v>
      </c>
      <c r="L427" t="str" cm="1">
        <f t="array" ref="L427">_xlfn.IFS(J427&lt;13,"Child",J427&lt;18,"Teen",J427&lt;60,"Adult",J427&gt;60,"Old Age")</f>
        <v>Adult</v>
      </c>
      <c r="M427">
        <v>0</v>
      </c>
      <c r="N427">
        <v>0</v>
      </c>
      <c r="O427">
        <f t="shared" si="34"/>
        <v>1</v>
      </c>
      <c r="P427">
        <v>7.25</v>
      </c>
      <c r="Q427" t="str">
        <f t="shared" si="30"/>
        <v>High</v>
      </c>
      <c r="R427" t="s">
        <v>1514</v>
      </c>
    </row>
    <row r="428" spans="1:18" x14ac:dyDescent="0.45">
      <c r="A428">
        <v>427</v>
      </c>
      <c r="B428">
        <v>1</v>
      </c>
      <c r="C428" t="str">
        <f t="shared" si="31"/>
        <v>Survived</v>
      </c>
      <c r="D428">
        <v>2</v>
      </c>
      <c r="E428" t="s">
        <v>1128</v>
      </c>
      <c r="F428" t="s">
        <v>723</v>
      </c>
      <c r="G428" t="s">
        <v>408</v>
      </c>
      <c r="H428" t="s">
        <v>10</v>
      </c>
      <c r="I428" t="str">
        <f t="shared" si="32"/>
        <v>Female</v>
      </c>
      <c r="J428">
        <v>28</v>
      </c>
      <c r="K428" t="str">
        <f t="shared" si="33"/>
        <v>Adult</v>
      </c>
      <c r="L428" t="str" cm="1">
        <f t="array" ref="L428">_xlfn.IFS(J428&lt;13,"Child",J428&lt;18,"Teen",J428&lt;60,"Adult",J428&gt;60,"Old Age")</f>
        <v>Adult</v>
      </c>
      <c r="M428">
        <v>1</v>
      </c>
      <c r="N428">
        <v>0</v>
      </c>
      <c r="O428">
        <f t="shared" si="34"/>
        <v>2</v>
      </c>
      <c r="P428">
        <v>26</v>
      </c>
      <c r="Q428" t="str">
        <f t="shared" si="30"/>
        <v>High</v>
      </c>
      <c r="R428" t="s">
        <v>1514</v>
      </c>
    </row>
    <row r="429" spans="1:18" x14ac:dyDescent="0.45">
      <c r="A429">
        <v>428</v>
      </c>
      <c r="B429">
        <v>1</v>
      </c>
      <c r="C429" t="str">
        <f t="shared" si="31"/>
        <v>Survived</v>
      </c>
      <c r="D429">
        <v>2</v>
      </c>
      <c r="E429" t="s">
        <v>1129</v>
      </c>
      <c r="F429" t="s">
        <v>724</v>
      </c>
      <c r="G429" t="s">
        <v>409</v>
      </c>
      <c r="H429" t="s">
        <v>10</v>
      </c>
      <c r="I429" t="str">
        <f t="shared" si="32"/>
        <v>Female</v>
      </c>
      <c r="J429">
        <v>19</v>
      </c>
      <c r="K429" t="str">
        <f t="shared" si="33"/>
        <v>Adult</v>
      </c>
      <c r="L429" t="str" cm="1">
        <f t="array" ref="L429">_xlfn.IFS(J429&lt;13,"Child",J429&lt;18,"Teen",J429&lt;60,"Adult",J429&gt;60,"Old Age")</f>
        <v>Adult</v>
      </c>
      <c r="M429">
        <v>0</v>
      </c>
      <c r="N429">
        <v>0</v>
      </c>
      <c r="O429">
        <f t="shared" si="34"/>
        <v>1</v>
      </c>
      <c r="P429">
        <v>26</v>
      </c>
      <c r="Q429" t="str">
        <f t="shared" si="30"/>
        <v>High</v>
      </c>
      <c r="R429" t="s">
        <v>1514</v>
      </c>
    </row>
    <row r="430" spans="1:18" x14ac:dyDescent="0.45">
      <c r="A430">
        <v>429</v>
      </c>
      <c r="B430">
        <v>0</v>
      </c>
      <c r="C430" t="str">
        <f t="shared" si="31"/>
        <v>Not Survived</v>
      </c>
      <c r="D430">
        <v>3</v>
      </c>
      <c r="E430" t="s">
        <v>744</v>
      </c>
      <c r="F430" t="s">
        <v>722</v>
      </c>
      <c r="G430" t="s">
        <v>410</v>
      </c>
      <c r="H430" t="s">
        <v>9</v>
      </c>
      <c r="I430" t="str">
        <f t="shared" si="32"/>
        <v>Male</v>
      </c>
      <c r="J430">
        <v>28</v>
      </c>
      <c r="K430" t="str">
        <f t="shared" si="33"/>
        <v>Adult</v>
      </c>
      <c r="L430" t="str" cm="1">
        <f t="array" ref="L430">_xlfn.IFS(J430&lt;13,"Child",J430&lt;18,"Teen",J430&lt;60,"Adult",J430&gt;60,"Old Age")</f>
        <v>Adult</v>
      </c>
      <c r="M430">
        <v>0</v>
      </c>
      <c r="N430">
        <v>0</v>
      </c>
      <c r="O430">
        <f t="shared" si="34"/>
        <v>1</v>
      </c>
      <c r="P430">
        <v>7.75</v>
      </c>
      <c r="Q430" t="str">
        <f t="shared" si="30"/>
        <v>High</v>
      </c>
      <c r="R430" t="s">
        <v>1516</v>
      </c>
    </row>
    <row r="431" spans="1:18" x14ac:dyDescent="0.45">
      <c r="A431">
        <v>430</v>
      </c>
      <c r="B431">
        <v>1</v>
      </c>
      <c r="C431" t="str">
        <f t="shared" si="31"/>
        <v>Survived</v>
      </c>
      <c r="D431">
        <v>3</v>
      </c>
      <c r="E431" t="s">
        <v>1130</v>
      </c>
      <c r="F431" t="s">
        <v>722</v>
      </c>
      <c r="G431" t="s">
        <v>411</v>
      </c>
      <c r="H431" t="s">
        <v>9</v>
      </c>
      <c r="I431" t="str">
        <f t="shared" si="32"/>
        <v>Male</v>
      </c>
      <c r="J431">
        <v>32</v>
      </c>
      <c r="K431" t="str">
        <f t="shared" si="33"/>
        <v>Adult</v>
      </c>
      <c r="L431" t="str" cm="1">
        <f t="array" ref="L431">_xlfn.IFS(J431&lt;13,"Child",J431&lt;18,"Teen",J431&lt;60,"Adult",J431&gt;60,"Old Age")</f>
        <v>Adult</v>
      </c>
      <c r="M431">
        <v>0</v>
      </c>
      <c r="N431">
        <v>0</v>
      </c>
      <c r="O431">
        <f t="shared" si="34"/>
        <v>1</v>
      </c>
      <c r="P431" t="s">
        <v>12</v>
      </c>
      <c r="Q431" t="str">
        <f t="shared" si="30"/>
        <v>High</v>
      </c>
      <c r="R431" t="s">
        <v>1514</v>
      </c>
    </row>
    <row r="432" spans="1:18" x14ac:dyDescent="0.45">
      <c r="A432">
        <v>431</v>
      </c>
      <c r="B432">
        <v>1</v>
      </c>
      <c r="C432" t="str">
        <f t="shared" si="31"/>
        <v>Survived</v>
      </c>
      <c r="D432">
        <v>1</v>
      </c>
      <c r="E432" t="s">
        <v>1131</v>
      </c>
      <c r="F432" t="s">
        <v>722</v>
      </c>
      <c r="G432" t="s">
        <v>412</v>
      </c>
      <c r="H432" t="s">
        <v>9</v>
      </c>
      <c r="I432" t="str">
        <f t="shared" si="32"/>
        <v>Male</v>
      </c>
      <c r="J432">
        <v>28</v>
      </c>
      <c r="K432" t="str">
        <f t="shared" si="33"/>
        <v>Adult</v>
      </c>
      <c r="L432" t="str" cm="1">
        <f t="array" ref="L432">_xlfn.IFS(J432&lt;13,"Child",J432&lt;18,"Teen",J432&lt;60,"Adult",J432&gt;60,"Old Age")</f>
        <v>Adult</v>
      </c>
      <c r="M432">
        <v>0</v>
      </c>
      <c r="N432">
        <v>0</v>
      </c>
      <c r="O432">
        <f t="shared" si="34"/>
        <v>1</v>
      </c>
      <c r="P432">
        <v>26.55</v>
      </c>
      <c r="Q432" t="str">
        <f t="shared" si="30"/>
        <v>High</v>
      </c>
      <c r="R432" t="s">
        <v>1514</v>
      </c>
    </row>
    <row r="433" spans="1:18" x14ac:dyDescent="0.45">
      <c r="A433">
        <v>432</v>
      </c>
      <c r="B433">
        <v>1</v>
      </c>
      <c r="C433" t="str">
        <f t="shared" si="31"/>
        <v>Survived</v>
      </c>
      <c r="D433">
        <v>3</v>
      </c>
      <c r="E433" t="s">
        <v>1132</v>
      </c>
      <c r="F433" t="s">
        <v>723</v>
      </c>
      <c r="G433" t="s">
        <v>413</v>
      </c>
      <c r="H433" t="s">
        <v>10</v>
      </c>
      <c r="I433" t="str">
        <f t="shared" si="32"/>
        <v>Female</v>
      </c>
      <c r="J433">
        <v>28</v>
      </c>
      <c r="K433" t="str">
        <f t="shared" si="33"/>
        <v>Adult</v>
      </c>
      <c r="L433" t="str" cm="1">
        <f t="array" ref="L433">_xlfn.IFS(J433&lt;13,"Child",J433&lt;18,"Teen",J433&lt;60,"Adult",J433&gt;60,"Old Age")</f>
        <v>Adult</v>
      </c>
      <c r="M433">
        <v>1</v>
      </c>
      <c r="N433">
        <v>0</v>
      </c>
      <c r="O433">
        <f t="shared" si="34"/>
        <v>2</v>
      </c>
      <c r="P433">
        <v>16.100000000000001</v>
      </c>
      <c r="Q433" t="str">
        <f t="shared" si="30"/>
        <v>High</v>
      </c>
      <c r="R433" t="s">
        <v>1514</v>
      </c>
    </row>
    <row r="434" spans="1:18" x14ac:dyDescent="0.45">
      <c r="A434">
        <v>433</v>
      </c>
      <c r="B434">
        <v>1</v>
      </c>
      <c r="C434" t="str">
        <f t="shared" si="31"/>
        <v>Survived</v>
      </c>
      <c r="D434">
        <v>2</v>
      </c>
      <c r="E434" t="s">
        <v>1133</v>
      </c>
      <c r="F434" t="s">
        <v>723</v>
      </c>
      <c r="G434" t="s">
        <v>414</v>
      </c>
      <c r="H434" t="s">
        <v>10</v>
      </c>
      <c r="I434" t="str">
        <f t="shared" si="32"/>
        <v>Female</v>
      </c>
      <c r="J434">
        <v>42</v>
      </c>
      <c r="K434" t="str">
        <f t="shared" si="33"/>
        <v>Adult</v>
      </c>
      <c r="L434" t="str" cm="1">
        <f t="array" ref="L434">_xlfn.IFS(J434&lt;13,"Child",J434&lt;18,"Teen",J434&lt;60,"Adult",J434&gt;60,"Old Age")</f>
        <v>Adult</v>
      </c>
      <c r="M434">
        <v>1</v>
      </c>
      <c r="N434">
        <v>0</v>
      </c>
      <c r="O434">
        <f t="shared" si="34"/>
        <v>2</v>
      </c>
      <c r="P434">
        <v>26</v>
      </c>
      <c r="Q434" t="str">
        <f t="shared" si="30"/>
        <v>High</v>
      </c>
      <c r="R434" t="s">
        <v>1514</v>
      </c>
    </row>
    <row r="435" spans="1:18" x14ac:dyDescent="0.45">
      <c r="A435">
        <v>434</v>
      </c>
      <c r="B435">
        <v>0</v>
      </c>
      <c r="C435" t="str">
        <f t="shared" si="31"/>
        <v>Not Survived</v>
      </c>
      <c r="D435">
        <v>3</v>
      </c>
      <c r="E435" t="s">
        <v>1134</v>
      </c>
      <c r="F435" t="s">
        <v>722</v>
      </c>
      <c r="G435" t="s">
        <v>415</v>
      </c>
      <c r="H435" t="s">
        <v>9</v>
      </c>
      <c r="I435" t="str">
        <f t="shared" si="32"/>
        <v>Male</v>
      </c>
      <c r="J435">
        <v>17</v>
      </c>
      <c r="K435" t="str">
        <f t="shared" si="33"/>
        <v>Teen</v>
      </c>
      <c r="L435" t="str" cm="1">
        <f t="array" ref="L435">_xlfn.IFS(J435&lt;13,"Child",J435&lt;18,"Teen",J435&lt;60,"Adult",J435&gt;60,"Old Age")</f>
        <v>Teen</v>
      </c>
      <c r="M435">
        <v>0</v>
      </c>
      <c r="N435">
        <v>0</v>
      </c>
      <c r="O435">
        <f t="shared" si="34"/>
        <v>1</v>
      </c>
      <c r="P435">
        <v>7.125</v>
      </c>
      <c r="Q435" t="str">
        <f t="shared" si="30"/>
        <v>High</v>
      </c>
      <c r="R435" t="s">
        <v>1514</v>
      </c>
    </row>
    <row r="436" spans="1:18" x14ac:dyDescent="0.45">
      <c r="A436">
        <v>435</v>
      </c>
      <c r="B436">
        <v>0</v>
      </c>
      <c r="C436" t="str">
        <f t="shared" si="31"/>
        <v>Not Survived</v>
      </c>
      <c r="D436">
        <v>1</v>
      </c>
      <c r="E436" t="s">
        <v>1135</v>
      </c>
      <c r="F436" t="s">
        <v>722</v>
      </c>
      <c r="G436" t="s">
        <v>416</v>
      </c>
      <c r="H436" t="s">
        <v>9</v>
      </c>
      <c r="I436" t="str">
        <f t="shared" si="32"/>
        <v>Male</v>
      </c>
      <c r="J436">
        <v>50</v>
      </c>
      <c r="K436" t="str">
        <f t="shared" si="33"/>
        <v>Adult</v>
      </c>
      <c r="L436" t="str" cm="1">
        <f t="array" ref="L436">_xlfn.IFS(J436&lt;13,"Child",J436&lt;18,"Teen",J436&lt;60,"Adult",J436&gt;60,"Old Age")</f>
        <v>Adult</v>
      </c>
      <c r="M436">
        <v>1</v>
      </c>
      <c r="N436">
        <v>0</v>
      </c>
      <c r="O436">
        <f t="shared" si="34"/>
        <v>2</v>
      </c>
      <c r="P436">
        <v>55.9</v>
      </c>
      <c r="Q436" t="str">
        <f t="shared" si="30"/>
        <v>High</v>
      </c>
      <c r="R436" t="s">
        <v>1514</v>
      </c>
    </row>
    <row r="437" spans="1:18" x14ac:dyDescent="0.45">
      <c r="A437">
        <v>436</v>
      </c>
      <c r="B437">
        <v>1</v>
      </c>
      <c r="C437" t="str">
        <f t="shared" si="31"/>
        <v>Survived</v>
      </c>
      <c r="D437">
        <v>1</v>
      </c>
      <c r="E437" t="s">
        <v>1136</v>
      </c>
      <c r="F437" t="s">
        <v>724</v>
      </c>
      <c r="G437" t="s">
        <v>273</v>
      </c>
      <c r="H437" t="s">
        <v>10</v>
      </c>
      <c r="I437" t="str">
        <f t="shared" si="32"/>
        <v>Female</v>
      </c>
      <c r="J437">
        <v>14</v>
      </c>
      <c r="K437" t="str">
        <f t="shared" si="33"/>
        <v>Teen</v>
      </c>
      <c r="L437" t="str" cm="1">
        <f t="array" ref="L437">_xlfn.IFS(J437&lt;13,"Child",J437&lt;18,"Teen",J437&lt;60,"Adult",J437&gt;60,"Old Age")</f>
        <v>Teen</v>
      </c>
      <c r="M437">
        <v>1</v>
      </c>
      <c r="N437">
        <v>2</v>
      </c>
      <c r="O437">
        <f t="shared" si="34"/>
        <v>4</v>
      </c>
      <c r="P437">
        <v>1214.4541999999999</v>
      </c>
      <c r="Q437" t="str">
        <f t="shared" si="30"/>
        <v>High</v>
      </c>
      <c r="R437" t="s">
        <v>1514</v>
      </c>
    </row>
    <row r="438" spans="1:18" x14ac:dyDescent="0.45">
      <c r="A438">
        <v>437</v>
      </c>
      <c r="B438">
        <v>0</v>
      </c>
      <c r="C438" t="str">
        <f t="shared" si="31"/>
        <v>Not Survived</v>
      </c>
      <c r="D438">
        <v>3</v>
      </c>
      <c r="E438" t="s">
        <v>1137</v>
      </c>
      <c r="F438" t="s">
        <v>724</v>
      </c>
      <c r="G438" t="s">
        <v>137</v>
      </c>
      <c r="H438" t="s">
        <v>10</v>
      </c>
      <c r="I438" t="str">
        <f t="shared" si="32"/>
        <v>Female</v>
      </c>
      <c r="J438">
        <v>21</v>
      </c>
      <c r="K438" t="str">
        <f t="shared" si="33"/>
        <v>Adult</v>
      </c>
      <c r="L438" t="str" cm="1">
        <f t="array" ref="L438">_xlfn.IFS(J438&lt;13,"Child",J438&lt;18,"Teen",J438&lt;60,"Adult",J438&gt;60,"Old Age")</f>
        <v>Adult</v>
      </c>
      <c r="M438">
        <v>2</v>
      </c>
      <c r="N438">
        <v>2</v>
      </c>
      <c r="O438">
        <f t="shared" si="34"/>
        <v>5</v>
      </c>
      <c r="P438">
        <v>34.375</v>
      </c>
      <c r="Q438" t="str">
        <f t="shared" si="30"/>
        <v>High</v>
      </c>
      <c r="R438" t="s">
        <v>1514</v>
      </c>
    </row>
    <row r="439" spans="1:18" x14ac:dyDescent="0.45">
      <c r="A439">
        <v>438</v>
      </c>
      <c r="B439">
        <v>1</v>
      </c>
      <c r="C439" t="str">
        <f t="shared" si="31"/>
        <v>Survived</v>
      </c>
      <c r="D439">
        <v>2</v>
      </c>
      <c r="E439" t="s">
        <v>1138</v>
      </c>
      <c r="F439" t="s">
        <v>723</v>
      </c>
      <c r="G439" t="s">
        <v>393</v>
      </c>
      <c r="H439" t="s">
        <v>10</v>
      </c>
      <c r="I439" t="str">
        <f t="shared" si="32"/>
        <v>Female</v>
      </c>
      <c r="J439">
        <v>24</v>
      </c>
      <c r="K439" t="str">
        <f t="shared" si="33"/>
        <v>Adult</v>
      </c>
      <c r="L439" t="str" cm="1">
        <f t="array" ref="L439">_xlfn.IFS(J439&lt;13,"Child",J439&lt;18,"Teen",J439&lt;60,"Adult",J439&gt;60,"Old Age")</f>
        <v>Adult</v>
      </c>
      <c r="M439">
        <v>2</v>
      </c>
      <c r="N439">
        <v>3</v>
      </c>
      <c r="O439">
        <f t="shared" si="34"/>
        <v>6</v>
      </c>
      <c r="P439">
        <v>18.75</v>
      </c>
      <c r="Q439" t="str">
        <f t="shared" si="30"/>
        <v>High</v>
      </c>
      <c r="R439" t="s">
        <v>1514</v>
      </c>
    </row>
    <row r="440" spans="1:18" x14ac:dyDescent="0.45">
      <c r="A440">
        <v>439</v>
      </c>
      <c r="B440">
        <v>0</v>
      </c>
      <c r="C440" t="str">
        <f t="shared" si="31"/>
        <v>Not Survived</v>
      </c>
      <c r="D440">
        <v>1</v>
      </c>
      <c r="E440" t="s">
        <v>1139</v>
      </c>
      <c r="F440" t="s">
        <v>722</v>
      </c>
      <c r="G440" t="s">
        <v>81</v>
      </c>
      <c r="H440" t="s">
        <v>9</v>
      </c>
      <c r="I440" t="str">
        <f t="shared" si="32"/>
        <v>Male</v>
      </c>
      <c r="J440">
        <v>64</v>
      </c>
      <c r="K440" t="str">
        <f t="shared" si="33"/>
        <v>Old Age</v>
      </c>
      <c r="L440" t="str" cm="1">
        <f t="array" ref="L440">_xlfn.IFS(J440&lt;13,"Child",J440&lt;18,"Teen",J440&lt;60,"Adult",J440&gt;60,"Old Age")</f>
        <v>Old Age</v>
      </c>
      <c r="M440">
        <v>1</v>
      </c>
      <c r="N440">
        <v>4</v>
      </c>
      <c r="O440">
        <f t="shared" si="34"/>
        <v>6</v>
      </c>
      <c r="P440">
        <v>263</v>
      </c>
      <c r="Q440" t="str">
        <f t="shared" si="30"/>
        <v>High</v>
      </c>
      <c r="R440" t="s">
        <v>1514</v>
      </c>
    </row>
    <row r="441" spans="1:18" x14ac:dyDescent="0.45">
      <c r="A441">
        <v>440</v>
      </c>
      <c r="B441">
        <v>0</v>
      </c>
      <c r="C441" t="str">
        <f t="shared" si="31"/>
        <v>Not Survived</v>
      </c>
      <c r="D441">
        <v>2</v>
      </c>
      <c r="E441" t="s">
        <v>1140</v>
      </c>
      <c r="F441" t="s">
        <v>722</v>
      </c>
      <c r="G441" t="s">
        <v>417</v>
      </c>
      <c r="H441" t="s">
        <v>9</v>
      </c>
      <c r="I441" t="str">
        <f t="shared" si="32"/>
        <v>Male</v>
      </c>
      <c r="J441">
        <v>31</v>
      </c>
      <c r="K441" t="str">
        <f t="shared" si="33"/>
        <v>Adult</v>
      </c>
      <c r="L441" t="str" cm="1">
        <f t="array" ref="L441">_xlfn.IFS(J441&lt;13,"Child",J441&lt;18,"Teen",J441&lt;60,"Adult",J441&gt;60,"Old Age")</f>
        <v>Adult</v>
      </c>
      <c r="M441">
        <v>0</v>
      </c>
      <c r="N441">
        <v>0</v>
      </c>
      <c r="O441">
        <f t="shared" si="34"/>
        <v>1</v>
      </c>
      <c r="P441" t="s">
        <v>18</v>
      </c>
      <c r="Q441" t="str">
        <f t="shared" si="30"/>
        <v>High</v>
      </c>
      <c r="R441" t="s">
        <v>1514</v>
      </c>
    </row>
    <row r="442" spans="1:18" x14ac:dyDescent="0.45">
      <c r="A442">
        <v>441</v>
      </c>
      <c r="B442">
        <v>1</v>
      </c>
      <c r="C442" t="str">
        <f t="shared" si="31"/>
        <v>Survived</v>
      </c>
      <c r="D442">
        <v>2</v>
      </c>
      <c r="E442" t="s">
        <v>1141</v>
      </c>
      <c r="F442" t="s">
        <v>723</v>
      </c>
      <c r="G442" t="s">
        <v>328</v>
      </c>
      <c r="H442" t="s">
        <v>10</v>
      </c>
      <c r="I442" t="str">
        <f t="shared" si="32"/>
        <v>Female</v>
      </c>
      <c r="J442">
        <v>45</v>
      </c>
      <c r="K442" t="str">
        <f t="shared" si="33"/>
        <v>Adult</v>
      </c>
      <c r="L442" t="str" cm="1">
        <f t="array" ref="L442">_xlfn.IFS(J442&lt;13,"Child",J442&lt;18,"Teen",J442&lt;60,"Adult",J442&gt;60,"Old Age")</f>
        <v>Adult</v>
      </c>
      <c r="M442">
        <v>1</v>
      </c>
      <c r="N442">
        <v>1</v>
      </c>
      <c r="O442">
        <f t="shared" si="34"/>
        <v>3</v>
      </c>
      <c r="P442">
        <v>26.25</v>
      </c>
      <c r="Q442" t="str">
        <f t="shared" si="30"/>
        <v>High</v>
      </c>
      <c r="R442" t="s">
        <v>1514</v>
      </c>
    </row>
    <row r="443" spans="1:18" x14ac:dyDescent="0.45">
      <c r="A443">
        <v>442</v>
      </c>
      <c r="B443">
        <v>0</v>
      </c>
      <c r="C443" t="str">
        <f t="shared" si="31"/>
        <v>Not Survived</v>
      </c>
      <c r="D443">
        <v>3</v>
      </c>
      <c r="E443" t="s">
        <v>1142</v>
      </c>
      <c r="F443" t="s">
        <v>722</v>
      </c>
      <c r="G443" t="s">
        <v>418</v>
      </c>
      <c r="H443" t="s">
        <v>9</v>
      </c>
      <c r="I443" t="str">
        <f t="shared" si="32"/>
        <v>Male</v>
      </c>
      <c r="J443">
        <v>20</v>
      </c>
      <c r="K443" t="str">
        <f t="shared" si="33"/>
        <v>Adult</v>
      </c>
      <c r="L443" t="str" cm="1">
        <f t="array" ref="L443">_xlfn.IFS(J443&lt;13,"Child",J443&lt;18,"Teen",J443&lt;60,"Adult",J443&gt;60,"Old Age")</f>
        <v>Adult</v>
      </c>
      <c r="M443">
        <v>0</v>
      </c>
      <c r="N443">
        <v>0</v>
      </c>
      <c r="O443">
        <f t="shared" si="34"/>
        <v>1</v>
      </c>
      <c r="P443">
        <v>9.5</v>
      </c>
      <c r="Q443" t="str">
        <f t="shared" si="30"/>
        <v>High</v>
      </c>
      <c r="R443" t="s">
        <v>1514</v>
      </c>
    </row>
    <row r="444" spans="1:18" x14ac:dyDescent="0.45">
      <c r="A444">
        <v>443</v>
      </c>
      <c r="B444">
        <v>0</v>
      </c>
      <c r="C444" t="str">
        <f t="shared" si="31"/>
        <v>Not Survived</v>
      </c>
      <c r="D444">
        <v>3</v>
      </c>
      <c r="E444" t="s">
        <v>1143</v>
      </c>
      <c r="F444" t="s">
        <v>722</v>
      </c>
      <c r="G444" t="s">
        <v>419</v>
      </c>
      <c r="H444" t="s">
        <v>9</v>
      </c>
      <c r="I444" t="str">
        <f t="shared" si="32"/>
        <v>Male</v>
      </c>
      <c r="J444">
        <v>25</v>
      </c>
      <c r="K444" t="str">
        <f t="shared" si="33"/>
        <v>Adult</v>
      </c>
      <c r="L444" t="str" cm="1">
        <f t="array" ref="L444">_xlfn.IFS(J444&lt;13,"Child",J444&lt;18,"Teen",J444&lt;60,"Adult",J444&gt;60,"Old Age")</f>
        <v>Adult</v>
      </c>
      <c r="M444">
        <v>1</v>
      </c>
      <c r="N444">
        <v>0</v>
      </c>
      <c r="O444">
        <f t="shared" si="34"/>
        <v>2</v>
      </c>
      <c r="P444">
        <v>7.7750000000000004</v>
      </c>
      <c r="Q444" t="str">
        <f t="shared" si="30"/>
        <v>High</v>
      </c>
      <c r="R444" t="s">
        <v>1514</v>
      </c>
    </row>
    <row r="445" spans="1:18" x14ac:dyDescent="0.45">
      <c r="A445">
        <v>444</v>
      </c>
      <c r="B445">
        <v>1</v>
      </c>
      <c r="C445" t="str">
        <f t="shared" si="31"/>
        <v>Survived</v>
      </c>
      <c r="D445">
        <v>2</v>
      </c>
      <c r="E445" t="s">
        <v>1144</v>
      </c>
      <c r="F445" t="s">
        <v>730</v>
      </c>
      <c r="G445" t="s">
        <v>420</v>
      </c>
      <c r="H445" t="s">
        <v>10</v>
      </c>
      <c r="I445" t="str">
        <f t="shared" si="32"/>
        <v>Female</v>
      </c>
      <c r="J445">
        <v>28</v>
      </c>
      <c r="K445" t="str">
        <f t="shared" si="33"/>
        <v>Adult</v>
      </c>
      <c r="L445" t="str" cm="1">
        <f t="array" ref="L445">_xlfn.IFS(J445&lt;13,"Child",J445&lt;18,"Teen",J445&lt;60,"Adult",J445&gt;60,"Old Age")</f>
        <v>Adult</v>
      </c>
      <c r="M445">
        <v>0</v>
      </c>
      <c r="N445">
        <v>0</v>
      </c>
      <c r="O445">
        <f t="shared" si="34"/>
        <v>1</v>
      </c>
      <c r="P445">
        <v>13</v>
      </c>
      <c r="Q445" t="str">
        <f t="shared" si="30"/>
        <v>High</v>
      </c>
      <c r="R445" t="s">
        <v>1514</v>
      </c>
    </row>
    <row r="446" spans="1:18" x14ac:dyDescent="0.45">
      <c r="A446">
        <v>445</v>
      </c>
      <c r="B446">
        <v>1</v>
      </c>
      <c r="C446" t="str">
        <f t="shared" si="31"/>
        <v>Survived</v>
      </c>
      <c r="D446">
        <v>3</v>
      </c>
      <c r="E446" t="s">
        <v>1145</v>
      </c>
      <c r="F446" t="s">
        <v>722</v>
      </c>
      <c r="G446" t="s">
        <v>421</v>
      </c>
      <c r="H446" t="s">
        <v>9</v>
      </c>
      <c r="I446" t="str">
        <f t="shared" si="32"/>
        <v>Male</v>
      </c>
      <c r="J446">
        <v>28</v>
      </c>
      <c r="K446" t="str">
        <f t="shared" si="33"/>
        <v>Adult</v>
      </c>
      <c r="L446" t="str" cm="1">
        <f t="array" ref="L446">_xlfn.IFS(J446&lt;13,"Child",J446&lt;18,"Teen",J446&lt;60,"Adult",J446&gt;60,"Old Age")</f>
        <v>Adult</v>
      </c>
      <c r="M446">
        <v>0</v>
      </c>
      <c r="N446">
        <v>0</v>
      </c>
      <c r="O446">
        <f t="shared" si="34"/>
        <v>1</v>
      </c>
      <c r="P446">
        <v>8.1125000000000007</v>
      </c>
      <c r="Q446" t="str">
        <f t="shared" si="30"/>
        <v>High</v>
      </c>
      <c r="R446" t="s">
        <v>1514</v>
      </c>
    </row>
    <row r="447" spans="1:18" x14ac:dyDescent="0.45">
      <c r="A447">
        <v>446</v>
      </c>
      <c r="B447">
        <v>1</v>
      </c>
      <c r="C447" t="str">
        <f t="shared" si="31"/>
        <v>Survived</v>
      </c>
      <c r="D447">
        <v>1</v>
      </c>
      <c r="E447" t="s">
        <v>1146</v>
      </c>
      <c r="F447" t="s">
        <v>725</v>
      </c>
      <c r="G447" t="s">
        <v>422</v>
      </c>
      <c r="H447" t="s">
        <v>9</v>
      </c>
      <c r="I447" t="str">
        <f t="shared" si="32"/>
        <v>Male</v>
      </c>
      <c r="J447">
        <v>4</v>
      </c>
      <c r="K447" t="str">
        <f t="shared" si="33"/>
        <v>Child</v>
      </c>
      <c r="L447" t="str" cm="1">
        <f t="array" ref="L447">_xlfn.IFS(J447&lt;13,"Child",J447&lt;18,"Teen",J447&lt;60,"Adult",J447&gt;60,"Old Age")</f>
        <v>Child</v>
      </c>
      <c r="M447">
        <v>0</v>
      </c>
      <c r="N447">
        <v>2</v>
      </c>
      <c r="O447">
        <f t="shared" si="34"/>
        <v>3</v>
      </c>
      <c r="P447">
        <v>81.8583</v>
      </c>
      <c r="Q447" t="str">
        <f t="shared" si="30"/>
        <v>High</v>
      </c>
      <c r="R447" t="s">
        <v>1514</v>
      </c>
    </row>
    <row r="448" spans="1:18" x14ac:dyDescent="0.45">
      <c r="A448">
        <v>447</v>
      </c>
      <c r="B448">
        <v>1</v>
      </c>
      <c r="C448" t="str">
        <f t="shared" si="31"/>
        <v>Survived</v>
      </c>
      <c r="D448">
        <v>2</v>
      </c>
      <c r="E448" t="s">
        <v>1147</v>
      </c>
      <c r="F448" t="s">
        <v>724</v>
      </c>
      <c r="G448" t="s">
        <v>292</v>
      </c>
      <c r="H448" t="s">
        <v>10</v>
      </c>
      <c r="I448" t="str">
        <f t="shared" si="32"/>
        <v>Female</v>
      </c>
      <c r="J448">
        <v>13</v>
      </c>
      <c r="K448" t="str">
        <f t="shared" si="33"/>
        <v>Teen</v>
      </c>
      <c r="L448" t="str" cm="1">
        <f t="array" ref="L448">_xlfn.IFS(J448&lt;13,"Child",J448&lt;18,"Teen",J448&lt;60,"Adult",J448&gt;60,"Old Age")</f>
        <v>Teen</v>
      </c>
      <c r="M448">
        <v>0</v>
      </c>
      <c r="N448">
        <v>1</v>
      </c>
      <c r="O448">
        <f t="shared" si="34"/>
        <v>2</v>
      </c>
      <c r="P448">
        <v>19.5</v>
      </c>
      <c r="Q448" t="str">
        <f t="shared" si="30"/>
        <v>High</v>
      </c>
      <c r="R448" t="s">
        <v>1514</v>
      </c>
    </row>
    <row r="449" spans="1:18" x14ac:dyDescent="0.45">
      <c r="A449">
        <v>448</v>
      </c>
      <c r="B449">
        <v>1</v>
      </c>
      <c r="C449" t="str">
        <f t="shared" si="31"/>
        <v>Survived</v>
      </c>
      <c r="D449">
        <v>1</v>
      </c>
      <c r="E449" t="s">
        <v>1148</v>
      </c>
      <c r="F449" t="s">
        <v>722</v>
      </c>
      <c r="G449" t="s">
        <v>423</v>
      </c>
      <c r="H449" t="s">
        <v>9</v>
      </c>
      <c r="I449" t="str">
        <f t="shared" si="32"/>
        <v>Male</v>
      </c>
      <c r="J449">
        <v>34</v>
      </c>
      <c r="K449" t="str">
        <f t="shared" si="33"/>
        <v>Adult</v>
      </c>
      <c r="L449" t="str" cm="1">
        <f t="array" ref="L449">_xlfn.IFS(J449&lt;13,"Child",J449&lt;18,"Teen",J449&lt;60,"Adult",J449&gt;60,"Old Age")</f>
        <v>Adult</v>
      </c>
      <c r="M449">
        <v>0</v>
      </c>
      <c r="N449">
        <v>0</v>
      </c>
      <c r="O449">
        <f t="shared" si="34"/>
        <v>1</v>
      </c>
      <c r="P449">
        <v>26.55</v>
      </c>
      <c r="Q449" t="str">
        <f t="shared" si="30"/>
        <v>High</v>
      </c>
      <c r="R449" t="s">
        <v>1514</v>
      </c>
    </row>
    <row r="450" spans="1:18" x14ac:dyDescent="0.45">
      <c r="A450">
        <v>449</v>
      </c>
      <c r="B450">
        <v>1</v>
      </c>
      <c r="C450" t="str">
        <f t="shared" si="31"/>
        <v>Survived</v>
      </c>
      <c r="D450">
        <v>3</v>
      </c>
      <c r="E450" t="s">
        <v>1149</v>
      </c>
      <c r="F450" t="s">
        <v>724</v>
      </c>
      <c r="G450" t="s">
        <v>424</v>
      </c>
      <c r="H450" t="s">
        <v>10</v>
      </c>
      <c r="I450" t="str">
        <f t="shared" si="32"/>
        <v>Female</v>
      </c>
      <c r="J450">
        <v>5</v>
      </c>
      <c r="K450" t="str">
        <f t="shared" si="33"/>
        <v>Child</v>
      </c>
      <c r="L450" t="str" cm="1">
        <f t="array" ref="L450">_xlfn.IFS(J450&lt;13,"Child",J450&lt;18,"Teen",J450&lt;60,"Adult",J450&gt;60,"Old Age")</f>
        <v>Child</v>
      </c>
      <c r="M450">
        <v>2</v>
      </c>
      <c r="N450">
        <v>1</v>
      </c>
      <c r="O450">
        <f t="shared" si="34"/>
        <v>4</v>
      </c>
      <c r="P450">
        <v>19.258299999999998</v>
      </c>
      <c r="Q450" t="str">
        <f t="shared" ref="Q450:Q513" si="35">IF(A450&lt;=10,"Low",IF(A450&lt;=50,"Medium","High"))</f>
        <v>High</v>
      </c>
      <c r="R450" t="s">
        <v>1515</v>
      </c>
    </row>
    <row r="451" spans="1:18" x14ac:dyDescent="0.45">
      <c r="A451">
        <v>450</v>
      </c>
      <c r="B451">
        <v>1</v>
      </c>
      <c r="C451" t="str">
        <f t="shared" ref="C451:C514" si="36">IF(B451 = 0, "Not Survived","Survived")</f>
        <v>Survived</v>
      </c>
      <c r="D451">
        <v>1</v>
      </c>
      <c r="E451" t="s">
        <v>1150</v>
      </c>
      <c r="F451" t="s">
        <v>731</v>
      </c>
      <c r="G451" t="s">
        <v>425</v>
      </c>
      <c r="H451" t="s">
        <v>9</v>
      </c>
      <c r="I451" t="str">
        <f t="shared" ref="I451:I514" si="37">PROPER(H451)</f>
        <v>Male</v>
      </c>
      <c r="J451">
        <v>52</v>
      </c>
      <c r="K451" t="str">
        <f t="shared" ref="K451:K514" si="38">IF(J451&lt;13,"Child",IF(J451&lt;18,"Teen",IF(J451&lt;60,"Adult","Old Age")))</f>
        <v>Adult</v>
      </c>
      <c r="L451" t="str" cm="1">
        <f t="array" ref="L451">_xlfn.IFS(J451&lt;13,"Child",J451&lt;18,"Teen",J451&lt;60,"Adult",J451&gt;60,"Old Age")</f>
        <v>Adult</v>
      </c>
      <c r="M451">
        <v>0</v>
      </c>
      <c r="N451">
        <v>0</v>
      </c>
      <c r="O451">
        <f t="shared" ref="O451:O514" si="39">M451+N451+1</f>
        <v>1</v>
      </c>
      <c r="P451" t="s">
        <v>33</v>
      </c>
      <c r="Q451" t="str">
        <f t="shared" si="35"/>
        <v>High</v>
      </c>
      <c r="R451" t="s">
        <v>1514</v>
      </c>
    </row>
    <row r="452" spans="1:18" x14ac:dyDescent="0.45">
      <c r="A452">
        <v>451</v>
      </c>
      <c r="B452">
        <v>0</v>
      </c>
      <c r="C452" t="str">
        <f t="shared" si="36"/>
        <v>Not Survived</v>
      </c>
      <c r="D452">
        <v>2</v>
      </c>
      <c r="E452" t="s">
        <v>1151</v>
      </c>
      <c r="F452" t="s">
        <v>722</v>
      </c>
      <c r="G452" t="s">
        <v>111</v>
      </c>
      <c r="H452" t="s">
        <v>9</v>
      </c>
      <c r="I452" t="str">
        <f t="shared" si="37"/>
        <v>Male</v>
      </c>
      <c r="J452">
        <v>36</v>
      </c>
      <c r="K452" t="str">
        <f t="shared" si="38"/>
        <v>Adult</v>
      </c>
      <c r="L452" t="str" cm="1">
        <f t="array" ref="L452">_xlfn.IFS(J452&lt;13,"Child",J452&lt;18,"Teen",J452&lt;60,"Adult",J452&gt;60,"Old Age")</f>
        <v>Adult</v>
      </c>
      <c r="M452">
        <v>1</v>
      </c>
      <c r="N452">
        <v>2</v>
      </c>
      <c r="O452">
        <f t="shared" si="39"/>
        <v>4</v>
      </c>
      <c r="P452">
        <v>27.75</v>
      </c>
      <c r="Q452" t="str">
        <f t="shared" si="35"/>
        <v>High</v>
      </c>
      <c r="R452" t="s">
        <v>1514</v>
      </c>
    </row>
    <row r="453" spans="1:18" x14ac:dyDescent="0.45">
      <c r="A453">
        <v>452</v>
      </c>
      <c r="B453">
        <v>0</v>
      </c>
      <c r="C453" t="str">
        <f t="shared" si="36"/>
        <v>Not Survived</v>
      </c>
      <c r="D453">
        <v>3</v>
      </c>
      <c r="E453" t="s">
        <v>1152</v>
      </c>
      <c r="F453" t="s">
        <v>722</v>
      </c>
      <c r="G453" t="s">
        <v>426</v>
      </c>
      <c r="H453" t="s">
        <v>9</v>
      </c>
      <c r="I453" t="str">
        <f t="shared" si="37"/>
        <v>Male</v>
      </c>
      <c r="J453">
        <v>28</v>
      </c>
      <c r="K453" t="str">
        <f t="shared" si="38"/>
        <v>Adult</v>
      </c>
      <c r="L453" t="str" cm="1">
        <f t="array" ref="L453">_xlfn.IFS(J453&lt;13,"Child",J453&lt;18,"Teen",J453&lt;60,"Adult",J453&gt;60,"Old Age")</f>
        <v>Adult</v>
      </c>
      <c r="M453">
        <v>1</v>
      </c>
      <c r="N453">
        <v>0</v>
      </c>
      <c r="O453">
        <f t="shared" si="39"/>
        <v>2</v>
      </c>
      <c r="P453">
        <v>19.966699999999999</v>
      </c>
      <c r="Q453" t="str">
        <f t="shared" si="35"/>
        <v>High</v>
      </c>
      <c r="R453" t="s">
        <v>1514</v>
      </c>
    </row>
    <row r="454" spans="1:18" x14ac:dyDescent="0.45">
      <c r="A454">
        <v>453</v>
      </c>
      <c r="B454">
        <v>0</v>
      </c>
      <c r="C454" t="str">
        <f t="shared" si="36"/>
        <v>Not Survived</v>
      </c>
      <c r="D454">
        <v>1</v>
      </c>
      <c r="E454" t="s">
        <v>1153</v>
      </c>
      <c r="F454" t="s">
        <v>722</v>
      </c>
      <c r="G454" t="s">
        <v>427</v>
      </c>
      <c r="H454" t="s">
        <v>9</v>
      </c>
      <c r="I454" t="str">
        <f t="shared" si="37"/>
        <v>Male</v>
      </c>
      <c r="J454">
        <v>30</v>
      </c>
      <c r="K454" t="str">
        <f t="shared" si="38"/>
        <v>Adult</v>
      </c>
      <c r="L454" t="str" cm="1">
        <f t="array" ref="L454">_xlfn.IFS(J454&lt;13,"Child",J454&lt;18,"Teen",J454&lt;60,"Adult",J454&gt;60,"Old Age")</f>
        <v>Adult</v>
      </c>
      <c r="M454">
        <v>0</v>
      </c>
      <c r="N454">
        <v>0</v>
      </c>
      <c r="O454">
        <f t="shared" si="39"/>
        <v>1</v>
      </c>
      <c r="P454">
        <v>27.75</v>
      </c>
      <c r="Q454" t="str">
        <f t="shared" si="35"/>
        <v>High</v>
      </c>
      <c r="R454" t="s">
        <v>1515</v>
      </c>
    </row>
    <row r="455" spans="1:18" x14ac:dyDescent="0.45">
      <c r="A455">
        <v>454</v>
      </c>
      <c r="B455">
        <v>1</v>
      </c>
      <c r="C455" t="str">
        <f t="shared" si="36"/>
        <v>Survived</v>
      </c>
      <c r="D455">
        <v>1</v>
      </c>
      <c r="E455" t="s">
        <v>1154</v>
      </c>
      <c r="F455" t="s">
        <v>722</v>
      </c>
      <c r="G455" t="s">
        <v>428</v>
      </c>
      <c r="H455" t="s">
        <v>9</v>
      </c>
      <c r="I455" t="str">
        <f t="shared" si="37"/>
        <v>Male</v>
      </c>
      <c r="J455">
        <v>49</v>
      </c>
      <c r="K455" t="str">
        <f t="shared" si="38"/>
        <v>Adult</v>
      </c>
      <c r="L455" t="str" cm="1">
        <f t="array" ref="L455">_xlfn.IFS(J455&lt;13,"Child",J455&lt;18,"Teen",J455&lt;60,"Adult",J455&gt;60,"Old Age")</f>
        <v>Adult</v>
      </c>
      <c r="M455">
        <v>1</v>
      </c>
      <c r="N455">
        <v>0</v>
      </c>
      <c r="O455">
        <f t="shared" si="39"/>
        <v>2</v>
      </c>
      <c r="P455" t="s">
        <v>37</v>
      </c>
      <c r="Q455" t="str">
        <f t="shared" si="35"/>
        <v>High</v>
      </c>
      <c r="R455" t="s">
        <v>1515</v>
      </c>
    </row>
    <row r="456" spans="1:18" x14ac:dyDescent="0.45">
      <c r="A456">
        <v>455</v>
      </c>
      <c r="B456">
        <v>0</v>
      </c>
      <c r="C456" t="str">
        <f t="shared" si="36"/>
        <v>Not Survived</v>
      </c>
      <c r="D456">
        <v>3</v>
      </c>
      <c r="E456" t="s">
        <v>1155</v>
      </c>
      <c r="F456" t="s">
        <v>722</v>
      </c>
      <c r="G456" t="s">
        <v>429</v>
      </c>
      <c r="H456" t="s">
        <v>9</v>
      </c>
      <c r="I456" t="str">
        <f t="shared" si="37"/>
        <v>Male</v>
      </c>
      <c r="J456">
        <v>28</v>
      </c>
      <c r="K456" t="str">
        <f t="shared" si="38"/>
        <v>Adult</v>
      </c>
      <c r="L456" t="str" cm="1">
        <f t="array" ref="L456">_xlfn.IFS(J456&lt;13,"Child",J456&lt;18,"Teen",J456&lt;60,"Adult",J456&gt;60,"Old Age")</f>
        <v>Adult</v>
      </c>
      <c r="M456">
        <v>0</v>
      </c>
      <c r="N456">
        <v>0</v>
      </c>
      <c r="O456">
        <f t="shared" si="39"/>
        <v>1</v>
      </c>
      <c r="P456" t="s">
        <v>12</v>
      </c>
      <c r="Q456" t="str">
        <f t="shared" si="35"/>
        <v>High</v>
      </c>
      <c r="R456" t="s">
        <v>1514</v>
      </c>
    </row>
    <row r="457" spans="1:18" x14ac:dyDescent="0.45">
      <c r="A457">
        <v>456</v>
      </c>
      <c r="B457">
        <v>1</v>
      </c>
      <c r="C457" t="str">
        <f t="shared" si="36"/>
        <v>Survived</v>
      </c>
      <c r="D457">
        <v>3</v>
      </c>
      <c r="E457" t="s">
        <v>813</v>
      </c>
      <c r="F457" t="s">
        <v>722</v>
      </c>
      <c r="G457" t="s">
        <v>430</v>
      </c>
      <c r="H457" t="s">
        <v>9</v>
      </c>
      <c r="I457" t="str">
        <f t="shared" si="37"/>
        <v>Male</v>
      </c>
      <c r="J457">
        <v>29</v>
      </c>
      <c r="K457" t="str">
        <f t="shared" si="38"/>
        <v>Adult</v>
      </c>
      <c r="L457" t="str" cm="1">
        <f t="array" ref="L457">_xlfn.IFS(J457&lt;13,"Child",J457&lt;18,"Teen",J457&lt;60,"Adult",J457&gt;60,"Old Age")</f>
        <v>Adult</v>
      </c>
      <c r="M457">
        <v>0</v>
      </c>
      <c r="N457">
        <v>0</v>
      </c>
      <c r="O457">
        <f t="shared" si="39"/>
        <v>1</v>
      </c>
      <c r="P457">
        <v>7.8958000000000004</v>
      </c>
      <c r="Q457" t="str">
        <f t="shared" si="35"/>
        <v>High</v>
      </c>
      <c r="R457" t="s">
        <v>1515</v>
      </c>
    </row>
    <row r="458" spans="1:18" x14ac:dyDescent="0.45">
      <c r="A458">
        <v>457</v>
      </c>
      <c r="B458">
        <v>0</v>
      </c>
      <c r="C458" t="str">
        <f t="shared" si="36"/>
        <v>Not Survived</v>
      </c>
      <c r="D458">
        <v>1</v>
      </c>
      <c r="E458" t="s">
        <v>1156</v>
      </c>
      <c r="F458" t="s">
        <v>722</v>
      </c>
      <c r="G458" t="s">
        <v>431</v>
      </c>
      <c r="H458" t="s">
        <v>9</v>
      </c>
      <c r="I458" t="str">
        <f t="shared" si="37"/>
        <v>Male</v>
      </c>
      <c r="J458">
        <v>65</v>
      </c>
      <c r="K458" t="str">
        <f t="shared" si="38"/>
        <v>Old Age</v>
      </c>
      <c r="L458" t="str" cm="1">
        <f t="array" ref="L458">_xlfn.IFS(J458&lt;13,"Child",J458&lt;18,"Teen",J458&lt;60,"Adult",J458&gt;60,"Old Age")</f>
        <v>Old Age</v>
      </c>
      <c r="M458">
        <v>0</v>
      </c>
      <c r="N458">
        <v>0</v>
      </c>
      <c r="O458">
        <f t="shared" si="39"/>
        <v>1</v>
      </c>
      <c r="P458">
        <v>26.55</v>
      </c>
      <c r="Q458" t="str">
        <f t="shared" si="35"/>
        <v>High</v>
      </c>
      <c r="R458" t="s">
        <v>1514</v>
      </c>
    </row>
    <row r="459" spans="1:18" x14ac:dyDescent="0.45">
      <c r="A459">
        <v>458</v>
      </c>
      <c r="B459">
        <v>1</v>
      </c>
      <c r="C459" t="str">
        <f t="shared" si="36"/>
        <v>Survived</v>
      </c>
      <c r="D459">
        <v>1</v>
      </c>
      <c r="E459" t="s">
        <v>1157</v>
      </c>
      <c r="F459" t="s">
        <v>723</v>
      </c>
      <c r="G459" t="s">
        <v>432</v>
      </c>
      <c r="H459" t="s">
        <v>10</v>
      </c>
      <c r="I459" t="str">
        <f t="shared" si="37"/>
        <v>Female</v>
      </c>
      <c r="J459">
        <v>28</v>
      </c>
      <c r="K459" t="str">
        <f t="shared" si="38"/>
        <v>Adult</v>
      </c>
      <c r="L459" t="str" cm="1">
        <f t="array" ref="L459">_xlfn.IFS(J459&lt;13,"Child",J459&lt;18,"Teen",J459&lt;60,"Adult",J459&gt;60,"Old Age")</f>
        <v>Adult</v>
      </c>
      <c r="M459">
        <v>1</v>
      </c>
      <c r="N459">
        <v>0</v>
      </c>
      <c r="O459">
        <f t="shared" si="39"/>
        <v>2</v>
      </c>
      <c r="P459">
        <v>51.862499999999997</v>
      </c>
      <c r="Q459" t="str">
        <f t="shared" si="35"/>
        <v>High</v>
      </c>
      <c r="R459" t="s">
        <v>1514</v>
      </c>
    </row>
    <row r="460" spans="1:18" x14ac:dyDescent="0.45">
      <c r="A460">
        <v>459</v>
      </c>
      <c r="B460">
        <v>1</v>
      </c>
      <c r="C460" t="str">
        <f t="shared" si="36"/>
        <v>Survived</v>
      </c>
      <c r="D460">
        <v>2</v>
      </c>
      <c r="E460" t="s">
        <v>1158</v>
      </c>
      <c r="F460" t="s">
        <v>724</v>
      </c>
      <c r="G460" t="s">
        <v>433</v>
      </c>
      <c r="H460" t="s">
        <v>10</v>
      </c>
      <c r="I460" t="str">
        <f t="shared" si="37"/>
        <v>Female</v>
      </c>
      <c r="J460">
        <v>50</v>
      </c>
      <c r="K460" t="str">
        <f t="shared" si="38"/>
        <v>Adult</v>
      </c>
      <c r="L460" t="str" cm="1">
        <f t="array" ref="L460">_xlfn.IFS(J460&lt;13,"Child",J460&lt;18,"Teen",J460&lt;60,"Adult",J460&gt;60,"Old Age")</f>
        <v>Adult</v>
      </c>
      <c r="M460">
        <v>0</v>
      </c>
      <c r="N460">
        <v>0</v>
      </c>
      <c r="O460">
        <f t="shared" si="39"/>
        <v>1</v>
      </c>
      <c r="P460" t="s">
        <v>18</v>
      </c>
      <c r="Q460" t="str">
        <f t="shared" si="35"/>
        <v>High</v>
      </c>
      <c r="R460" t="s">
        <v>1514</v>
      </c>
    </row>
    <row r="461" spans="1:18" x14ac:dyDescent="0.45">
      <c r="A461">
        <v>460</v>
      </c>
      <c r="B461">
        <v>0</v>
      </c>
      <c r="C461" t="str">
        <f t="shared" si="36"/>
        <v>Not Survived</v>
      </c>
      <c r="D461">
        <v>3</v>
      </c>
      <c r="E461" t="s">
        <v>1159</v>
      </c>
      <c r="F461" t="s">
        <v>722</v>
      </c>
      <c r="G461" t="s">
        <v>434</v>
      </c>
      <c r="H461" t="s">
        <v>9</v>
      </c>
      <c r="I461" t="str">
        <f t="shared" si="37"/>
        <v>Male</v>
      </c>
      <c r="J461">
        <v>28</v>
      </c>
      <c r="K461" t="str">
        <f t="shared" si="38"/>
        <v>Adult</v>
      </c>
      <c r="L461" t="str" cm="1">
        <f t="array" ref="L461">_xlfn.IFS(J461&lt;13,"Child",J461&lt;18,"Teen",J461&lt;60,"Adult",J461&gt;60,"Old Age")</f>
        <v>Adult</v>
      </c>
      <c r="M461">
        <v>0</v>
      </c>
      <c r="N461">
        <v>0</v>
      </c>
      <c r="O461">
        <f t="shared" si="39"/>
        <v>1</v>
      </c>
      <c r="P461">
        <v>7.75</v>
      </c>
      <c r="Q461" t="str">
        <f t="shared" si="35"/>
        <v>High</v>
      </c>
      <c r="R461" t="s">
        <v>1516</v>
      </c>
    </row>
    <row r="462" spans="1:18" x14ac:dyDescent="0.45">
      <c r="A462">
        <v>461</v>
      </c>
      <c r="B462">
        <v>1</v>
      </c>
      <c r="C462" t="str">
        <f t="shared" si="36"/>
        <v>Survived</v>
      </c>
      <c r="D462">
        <v>1</v>
      </c>
      <c r="E462" t="s">
        <v>892</v>
      </c>
      <c r="F462" t="s">
        <v>722</v>
      </c>
      <c r="G462" t="s">
        <v>435</v>
      </c>
      <c r="H462" t="s">
        <v>9</v>
      </c>
      <c r="I462" t="str">
        <f t="shared" si="37"/>
        <v>Male</v>
      </c>
      <c r="J462">
        <v>48</v>
      </c>
      <c r="K462" t="str">
        <f t="shared" si="38"/>
        <v>Adult</v>
      </c>
      <c r="L462" t="str" cm="1">
        <f t="array" ref="L462">_xlfn.IFS(J462&lt;13,"Child",J462&lt;18,"Teen",J462&lt;60,"Adult",J462&gt;60,"Old Age")</f>
        <v>Adult</v>
      </c>
      <c r="M462">
        <v>0</v>
      </c>
      <c r="N462">
        <v>0</v>
      </c>
      <c r="O462">
        <f t="shared" si="39"/>
        <v>1</v>
      </c>
      <c r="P462">
        <v>26.55</v>
      </c>
      <c r="Q462" t="str">
        <f t="shared" si="35"/>
        <v>High</v>
      </c>
      <c r="R462" t="s">
        <v>1514</v>
      </c>
    </row>
    <row r="463" spans="1:18" x14ac:dyDescent="0.45">
      <c r="A463">
        <v>462</v>
      </c>
      <c r="B463">
        <v>0</v>
      </c>
      <c r="C463" t="str">
        <f t="shared" si="36"/>
        <v>Not Survived</v>
      </c>
      <c r="D463">
        <v>3</v>
      </c>
      <c r="E463" t="s">
        <v>922</v>
      </c>
      <c r="F463" t="s">
        <v>722</v>
      </c>
      <c r="G463" t="s">
        <v>436</v>
      </c>
      <c r="H463" t="s">
        <v>9</v>
      </c>
      <c r="I463" t="str">
        <f t="shared" si="37"/>
        <v>Male</v>
      </c>
      <c r="J463">
        <v>34</v>
      </c>
      <c r="K463" t="str">
        <f t="shared" si="38"/>
        <v>Adult</v>
      </c>
      <c r="L463" t="str" cm="1">
        <f t="array" ref="L463">_xlfn.IFS(J463&lt;13,"Child",J463&lt;18,"Teen",J463&lt;60,"Adult",J463&gt;60,"Old Age")</f>
        <v>Adult</v>
      </c>
      <c r="M463">
        <v>0</v>
      </c>
      <c r="N463">
        <v>0</v>
      </c>
      <c r="O463">
        <f t="shared" si="39"/>
        <v>1</v>
      </c>
      <c r="P463" t="s">
        <v>12</v>
      </c>
      <c r="Q463" t="str">
        <f t="shared" si="35"/>
        <v>High</v>
      </c>
      <c r="R463" t="s">
        <v>1514</v>
      </c>
    </row>
    <row r="464" spans="1:18" x14ac:dyDescent="0.45">
      <c r="A464">
        <v>463</v>
      </c>
      <c r="B464">
        <v>0</v>
      </c>
      <c r="C464" t="str">
        <f t="shared" si="36"/>
        <v>Not Survived</v>
      </c>
      <c r="D464">
        <v>1</v>
      </c>
      <c r="E464" t="s">
        <v>1160</v>
      </c>
      <c r="F464" t="s">
        <v>722</v>
      </c>
      <c r="G464" t="s">
        <v>437</v>
      </c>
      <c r="H464" t="s">
        <v>9</v>
      </c>
      <c r="I464" t="str">
        <f t="shared" si="37"/>
        <v>Male</v>
      </c>
      <c r="J464">
        <v>47</v>
      </c>
      <c r="K464" t="str">
        <f t="shared" si="38"/>
        <v>Adult</v>
      </c>
      <c r="L464" t="str" cm="1">
        <f t="array" ref="L464">_xlfn.IFS(J464&lt;13,"Child",J464&lt;18,"Teen",J464&lt;60,"Adult",J464&gt;60,"Old Age")</f>
        <v>Adult</v>
      </c>
      <c r="M464">
        <v>0</v>
      </c>
      <c r="N464">
        <v>0</v>
      </c>
      <c r="O464">
        <f t="shared" si="39"/>
        <v>1</v>
      </c>
      <c r="P464">
        <v>38.5</v>
      </c>
      <c r="Q464" t="str">
        <f t="shared" si="35"/>
        <v>High</v>
      </c>
      <c r="R464" t="s">
        <v>1514</v>
      </c>
    </row>
    <row r="465" spans="1:18" x14ac:dyDescent="0.45">
      <c r="A465">
        <v>464</v>
      </c>
      <c r="B465">
        <v>0</v>
      </c>
      <c r="C465" t="str">
        <f t="shared" si="36"/>
        <v>Not Survived</v>
      </c>
      <c r="D465">
        <v>2</v>
      </c>
      <c r="E465" t="s">
        <v>1161</v>
      </c>
      <c r="F465" t="s">
        <v>722</v>
      </c>
      <c r="G465" t="s">
        <v>438</v>
      </c>
      <c r="H465" t="s">
        <v>9</v>
      </c>
      <c r="I465" t="str">
        <f t="shared" si="37"/>
        <v>Male</v>
      </c>
      <c r="J465">
        <v>48</v>
      </c>
      <c r="K465" t="str">
        <f t="shared" si="38"/>
        <v>Adult</v>
      </c>
      <c r="L465" t="str" cm="1">
        <f t="array" ref="L465">_xlfn.IFS(J465&lt;13,"Child",J465&lt;18,"Teen",J465&lt;60,"Adult",J465&gt;60,"Old Age")</f>
        <v>Adult</v>
      </c>
      <c r="M465">
        <v>0</v>
      </c>
      <c r="N465">
        <v>0</v>
      </c>
      <c r="O465">
        <f t="shared" si="39"/>
        <v>1</v>
      </c>
      <c r="P465">
        <v>13</v>
      </c>
      <c r="Q465" t="str">
        <f t="shared" si="35"/>
        <v>High</v>
      </c>
      <c r="R465" t="s">
        <v>1514</v>
      </c>
    </row>
    <row r="466" spans="1:18" x14ac:dyDescent="0.45">
      <c r="A466">
        <v>465</v>
      </c>
      <c r="B466">
        <v>0</v>
      </c>
      <c r="C466" t="str">
        <f t="shared" si="36"/>
        <v>Not Survived</v>
      </c>
      <c r="D466">
        <v>3</v>
      </c>
      <c r="E466" t="s">
        <v>1162</v>
      </c>
      <c r="F466" t="s">
        <v>722</v>
      </c>
      <c r="G466" t="s">
        <v>439</v>
      </c>
      <c r="H466" t="s">
        <v>9</v>
      </c>
      <c r="I466" t="str">
        <f t="shared" si="37"/>
        <v>Male</v>
      </c>
      <c r="J466">
        <v>28</v>
      </c>
      <c r="K466" t="str">
        <f t="shared" si="38"/>
        <v>Adult</v>
      </c>
      <c r="L466" t="str" cm="1">
        <f t="array" ref="L466">_xlfn.IFS(J466&lt;13,"Child",J466&lt;18,"Teen",J466&lt;60,"Adult",J466&gt;60,"Old Age")</f>
        <v>Adult</v>
      </c>
      <c r="M466">
        <v>0</v>
      </c>
      <c r="N466">
        <v>0</v>
      </c>
      <c r="O466">
        <f t="shared" si="39"/>
        <v>1</v>
      </c>
      <c r="P466" t="s">
        <v>12</v>
      </c>
      <c r="Q466" t="str">
        <f t="shared" si="35"/>
        <v>High</v>
      </c>
      <c r="R466" t="s">
        <v>1514</v>
      </c>
    </row>
    <row r="467" spans="1:18" x14ac:dyDescent="0.45">
      <c r="A467">
        <v>466</v>
      </c>
      <c r="B467">
        <v>0</v>
      </c>
      <c r="C467" t="str">
        <f t="shared" si="36"/>
        <v>Not Survived</v>
      </c>
      <c r="D467">
        <v>3</v>
      </c>
      <c r="E467" t="s">
        <v>1163</v>
      </c>
      <c r="F467" t="s">
        <v>722</v>
      </c>
      <c r="G467" t="s">
        <v>440</v>
      </c>
      <c r="H467" t="s">
        <v>9</v>
      </c>
      <c r="I467" t="str">
        <f t="shared" si="37"/>
        <v>Male</v>
      </c>
      <c r="J467">
        <v>38</v>
      </c>
      <c r="K467" t="str">
        <f t="shared" si="38"/>
        <v>Adult</v>
      </c>
      <c r="L467" t="str" cm="1">
        <f t="array" ref="L467">_xlfn.IFS(J467&lt;13,"Child",J467&lt;18,"Teen",J467&lt;60,"Adult",J467&gt;60,"Old Age")</f>
        <v>Adult</v>
      </c>
      <c r="M467">
        <v>0</v>
      </c>
      <c r="N467">
        <v>0</v>
      </c>
      <c r="O467">
        <f t="shared" si="39"/>
        <v>1</v>
      </c>
      <c r="P467" t="s">
        <v>22</v>
      </c>
      <c r="Q467" t="str">
        <f t="shared" si="35"/>
        <v>High</v>
      </c>
      <c r="R467" t="s">
        <v>1514</v>
      </c>
    </row>
    <row r="468" spans="1:18" x14ac:dyDescent="0.45">
      <c r="A468">
        <v>467</v>
      </c>
      <c r="B468">
        <v>0</v>
      </c>
      <c r="C468" t="str">
        <f t="shared" si="36"/>
        <v>Not Survived</v>
      </c>
      <c r="D468">
        <v>2</v>
      </c>
      <c r="E468" t="s">
        <v>922</v>
      </c>
      <c r="F468" t="s">
        <v>722</v>
      </c>
      <c r="G468" t="s">
        <v>441</v>
      </c>
      <c r="H468" t="s">
        <v>9</v>
      </c>
      <c r="I468" t="str">
        <f t="shared" si="37"/>
        <v>Male</v>
      </c>
      <c r="J468">
        <v>28</v>
      </c>
      <c r="K468" t="str">
        <f t="shared" si="38"/>
        <v>Adult</v>
      </c>
      <c r="L468" t="str" cm="1">
        <f t="array" ref="L468">_xlfn.IFS(J468&lt;13,"Child",J468&lt;18,"Teen",J468&lt;60,"Adult",J468&gt;60,"Old Age")</f>
        <v>Adult</v>
      </c>
      <c r="M468">
        <v>0</v>
      </c>
      <c r="N468">
        <v>0</v>
      </c>
      <c r="O468">
        <f t="shared" si="39"/>
        <v>1</v>
      </c>
      <c r="P468">
        <v>14.4542</v>
      </c>
      <c r="Q468" t="str">
        <f t="shared" si="35"/>
        <v>High</v>
      </c>
      <c r="R468" t="s">
        <v>1514</v>
      </c>
    </row>
    <row r="469" spans="1:18" x14ac:dyDescent="0.45">
      <c r="A469">
        <v>468</v>
      </c>
      <c r="B469">
        <v>0</v>
      </c>
      <c r="C469" t="str">
        <f t="shared" si="36"/>
        <v>Not Survived</v>
      </c>
      <c r="D469">
        <v>1</v>
      </c>
      <c r="E469" t="s">
        <v>1164</v>
      </c>
      <c r="F469" t="s">
        <v>722</v>
      </c>
      <c r="G469" t="s">
        <v>442</v>
      </c>
      <c r="H469" t="s">
        <v>9</v>
      </c>
      <c r="I469" t="str">
        <f t="shared" si="37"/>
        <v>Male</v>
      </c>
      <c r="J469">
        <v>56</v>
      </c>
      <c r="K469" t="str">
        <f t="shared" si="38"/>
        <v>Adult</v>
      </c>
      <c r="L469" t="str" cm="1">
        <f t="array" ref="L469">_xlfn.IFS(J469&lt;13,"Child",J469&lt;18,"Teen",J469&lt;60,"Adult",J469&gt;60,"Old Age")</f>
        <v>Adult</v>
      </c>
      <c r="M469">
        <v>0</v>
      </c>
      <c r="N469">
        <v>0</v>
      </c>
      <c r="O469">
        <f t="shared" si="39"/>
        <v>1</v>
      </c>
      <c r="P469">
        <v>26.55</v>
      </c>
      <c r="Q469" t="str">
        <f t="shared" si="35"/>
        <v>High</v>
      </c>
      <c r="R469" t="s">
        <v>1514</v>
      </c>
    </row>
    <row r="470" spans="1:18" x14ac:dyDescent="0.45">
      <c r="A470">
        <v>469</v>
      </c>
      <c r="B470">
        <v>0</v>
      </c>
      <c r="C470" t="str">
        <f t="shared" si="36"/>
        <v>Not Survived</v>
      </c>
      <c r="D470">
        <v>3</v>
      </c>
      <c r="E470" t="s">
        <v>744</v>
      </c>
      <c r="F470" t="s">
        <v>722</v>
      </c>
      <c r="G470" t="s">
        <v>443</v>
      </c>
      <c r="H470" t="s">
        <v>9</v>
      </c>
      <c r="I470" t="str">
        <f t="shared" si="37"/>
        <v>Male</v>
      </c>
      <c r="J470">
        <v>28</v>
      </c>
      <c r="K470" t="str">
        <f t="shared" si="38"/>
        <v>Adult</v>
      </c>
      <c r="L470" t="str" cm="1">
        <f t="array" ref="L470">_xlfn.IFS(J470&lt;13,"Child",J470&lt;18,"Teen",J470&lt;60,"Adult",J470&gt;60,"Old Age")</f>
        <v>Adult</v>
      </c>
      <c r="M470">
        <v>0</v>
      </c>
      <c r="N470">
        <v>0</v>
      </c>
      <c r="O470">
        <f t="shared" si="39"/>
        <v>1</v>
      </c>
      <c r="P470">
        <v>7.7249999999999996</v>
      </c>
      <c r="Q470" t="str">
        <f t="shared" si="35"/>
        <v>High</v>
      </c>
      <c r="R470" t="s">
        <v>1516</v>
      </c>
    </row>
    <row r="471" spans="1:18" x14ac:dyDescent="0.45">
      <c r="A471">
        <v>470</v>
      </c>
      <c r="B471">
        <v>1</v>
      </c>
      <c r="C471" t="str">
        <f t="shared" si="36"/>
        <v>Survived</v>
      </c>
      <c r="D471">
        <v>3</v>
      </c>
      <c r="E471" t="s">
        <v>1165</v>
      </c>
      <c r="F471" t="s">
        <v>724</v>
      </c>
      <c r="G471" t="s">
        <v>424</v>
      </c>
      <c r="H471" t="s">
        <v>10</v>
      </c>
      <c r="I471" t="str">
        <f t="shared" si="37"/>
        <v>Female</v>
      </c>
      <c r="J471">
        <v>0.75</v>
      </c>
      <c r="K471" t="str">
        <f t="shared" si="38"/>
        <v>Child</v>
      </c>
      <c r="L471" t="str" cm="1">
        <f t="array" ref="L471">_xlfn.IFS(J471&lt;13,"Child",J471&lt;18,"Teen",J471&lt;60,"Adult",J471&gt;60,"Old Age")</f>
        <v>Child</v>
      </c>
      <c r="M471">
        <v>2</v>
      </c>
      <c r="N471">
        <v>1</v>
      </c>
      <c r="O471">
        <f t="shared" si="39"/>
        <v>4</v>
      </c>
      <c r="P471">
        <v>19.258299999999998</v>
      </c>
      <c r="Q471" t="str">
        <f t="shared" si="35"/>
        <v>High</v>
      </c>
      <c r="R471" t="s">
        <v>1515</v>
      </c>
    </row>
    <row r="472" spans="1:18" x14ac:dyDescent="0.45">
      <c r="A472">
        <v>471</v>
      </c>
      <c r="B472">
        <v>0</v>
      </c>
      <c r="C472" t="str">
        <f t="shared" si="36"/>
        <v>Not Survived</v>
      </c>
      <c r="D472">
        <v>3</v>
      </c>
      <c r="E472" t="s">
        <v>904</v>
      </c>
      <c r="F472" t="s">
        <v>722</v>
      </c>
      <c r="G472" t="s">
        <v>444</v>
      </c>
      <c r="H472" t="s">
        <v>9</v>
      </c>
      <c r="I472" t="str">
        <f t="shared" si="37"/>
        <v>Male</v>
      </c>
      <c r="J472">
        <v>28</v>
      </c>
      <c r="K472" t="str">
        <f t="shared" si="38"/>
        <v>Adult</v>
      </c>
      <c r="L472" t="str" cm="1">
        <f t="array" ref="L472">_xlfn.IFS(J472&lt;13,"Child",J472&lt;18,"Teen",J472&lt;60,"Adult",J472&gt;60,"Old Age")</f>
        <v>Adult</v>
      </c>
      <c r="M472">
        <v>0</v>
      </c>
      <c r="N472">
        <v>0</v>
      </c>
      <c r="O472">
        <f t="shared" si="39"/>
        <v>1</v>
      </c>
      <c r="P472">
        <v>7.25</v>
      </c>
      <c r="Q472" t="str">
        <f t="shared" si="35"/>
        <v>High</v>
      </c>
      <c r="R472" t="s">
        <v>1514</v>
      </c>
    </row>
    <row r="473" spans="1:18" x14ac:dyDescent="0.45">
      <c r="A473">
        <v>472</v>
      </c>
      <c r="B473">
        <v>0</v>
      </c>
      <c r="C473" t="str">
        <f t="shared" si="36"/>
        <v>Not Survived</v>
      </c>
      <c r="D473">
        <v>3</v>
      </c>
      <c r="E473" t="s">
        <v>1166</v>
      </c>
      <c r="F473" t="s">
        <v>722</v>
      </c>
      <c r="G473" t="s">
        <v>445</v>
      </c>
      <c r="H473" t="s">
        <v>9</v>
      </c>
      <c r="I473" t="str">
        <f t="shared" si="37"/>
        <v>Male</v>
      </c>
      <c r="J473">
        <v>38</v>
      </c>
      <c r="K473" t="str">
        <f t="shared" si="38"/>
        <v>Adult</v>
      </c>
      <c r="L473" t="str" cm="1">
        <f t="array" ref="L473">_xlfn.IFS(J473&lt;13,"Child",J473&lt;18,"Teen",J473&lt;60,"Adult",J473&gt;60,"Old Age")</f>
        <v>Adult</v>
      </c>
      <c r="M473">
        <v>0</v>
      </c>
      <c r="N473">
        <v>0</v>
      </c>
      <c r="O473">
        <f t="shared" si="39"/>
        <v>1</v>
      </c>
      <c r="P473">
        <v>8.6624999999999996</v>
      </c>
      <c r="Q473" t="str">
        <f t="shared" si="35"/>
        <v>High</v>
      </c>
      <c r="R473" t="s">
        <v>1514</v>
      </c>
    </row>
    <row r="474" spans="1:18" x14ac:dyDescent="0.45">
      <c r="A474">
        <v>473</v>
      </c>
      <c r="B474">
        <v>1</v>
      </c>
      <c r="C474" t="str">
        <f t="shared" si="36"/>
        <v>Survived</v>
      </c>
      <c r="D474">
        <v>2</v>
      </c>
      <c r="E474" t="s">
        <v>1167</v>
      </c>
      <c r="F474" t="s">
        <v>723</v>
      </c>
      <c r="G474" t="s">
        <v>111</v>
      </c>
      <c r="H474" t="s">
        <v>10</v>
      </c>
      <c r="I474" t="str">
        <f t="shared" si="37"/>
        <v>Female</v>
      </c>
      <c r="J474">
        <v>33</v>
      </c>
      <c r="K474" t="str">
        <f t="shared" si="38"/>
        <v>Adult</v>
      </c>
      <c r="L474" t="str" cm="1">
        <f t="array" ref="L474">_xlfn.IFS(J474&lt;13,"Child",J474&lt;18,"Teen",J474&lt;60,"Adult",J474&gt;60,"Old Age")</f>
        <v>Adult</v>
      </c>
      <c r="M474">
        <v>1</v>
      </c>
      <c r="N474">
        <v>2</v>
      </c>
      <c r="O474">
        <f t="shared" si="39"/>
        <v>4</v>
      </c>
      <c r="P474">
        <v>27.75</v>
      </c>
      <c r="Q474" t="str">
        <f t="shared" si="35"/>
        <v>High</v>
      </c>
      <c r="R474" t="s">
        <v>1514</v>
      </c>
    </row>
    <row r="475" spans="1:18" x14ac:dyDescent="0.45">
      <c r="A475">
        <v>474</v>
      </c>
      <c r="B475">
        <v>1</v>
      </c>
      <c r="C475" t="str">
        <f t="shared" si="36"/>
        <v>Survived</v>
      </c>
      <c r="D475">
        <v>2</v>
      </c>
      <c r="E475" t="s">
        <v>1168</v>
      </c>
      <c r="F475" t="s">
        <v>723</v>
      </c>
      <c r="G475" t="s">
        <v>446</v>
      </c>
      <c r="H475" t="s">
        <v>10</v>
      </c>
      <c r="I475" t="str">
        <f t="shared" si="37"/>
        <v>Female</v>
      </c>
      <c r="J475">
        <v>23</v>
      </c>
      <c r="K475" t="str">
        <f t="shared" si="38"/>
        <v>Adult</v>
      </c>
      <c r="L475" t="str" cm="1">
        <f t="array" ref="L475">_xlfn.IFS(J475&lt;13,"Child",J475&lt;18,"Teen",J475&lt;60,"Adult",J475&gt;60,"Old Age")</f>
        <v>Adult</v>
      </c>
      <c r="M475">
        <v>0</v>
      </c>
      <c r="N475">
        <v>0</v>
      </c>
      <c r="O475">
        <f t="shared" si="39"/>
        <v>1</v>
      </c>
      <c r="P475">
        <v>13.791700000000001</v>
      </c>
      <c r="Q475" t="str">
        <f t="shared" si="35"/>
        <v>High</v>
      </c>
      <c r="R475" t="s">
        <v>1515</v>
      </c>
    </row>
    <row r="476" spans="1:18" x14ac:dyDescent="0.45">
      <c r="A476">
        <v>475</v>
      </c>
      <c r="B476">
        <v>0</v>
      </c>
      <c r="C476" t="str">
        <f t="shared" si="36"/>
        <v>Not Survived</v>
      </c>
      <c r="D476">
        <v>3</v>
      </c>
      <c r="E476" t="s">
        <v>1169</v>
      </c>
      <c r="F476" t="s">
        <v>724</v>
      </c>
      <c r="G476" t="s">
        <v>447</v>
      </c>
      <c r="H476" t="s">
        <v>10</v>
      </c>
      <c r="I476" t="str">
        <f t="shared" si="37"/>
        <v>Female</v>
      </c>
      <c r="J476">
        <v>22</v>
      </c>
      <c r="K476" t="str">
        <f t="shared" si="38"/>
        <v>Adult</v>
      </c>
      <c r="L476" t="str" cm="1">
        <f t="array" ref="L476">_xlfn.IFS(J476&lt;13,"Child",J476&lt;18,"Teen",J476&lt;60,"Adult",J476&gt;60,"Old Age")</f>
        <v>Adult</v>
      </c>
      <c r="M476">
        <v>0</v>
      </c>
      <c r="N476">
        <v>0</v>
      </c>
      <c r="O476">
        <f t="shared" si="39"/>
        <v>1</v>
      </c>
      <c r="P476">
        <v>9.8375000000000004</v>
      </c>
      <c r="Q476" t="str">
        <f t="shared" si="35"/>
        <v>High</v>
      </c>
      <c r="R476" t="s">
        <v>1514</v>
      </c>
    </row>
    <row r="477" spans="1:18" x14ac:dyDescent="0.45">
      <c r="A477">
        <v>476</v>
      </c>
      <c r="B477">
        <v>0</v>
      </c>
      <c r="C477" t="str">
        <f t="shared" si="36"/>
        <v>Not Survived</v>
      </c>
      <c r="D477">
        <v>1</v>
      </c>
      <c r="E477" t="s">
        <v>1170</v>
      </c>
      <c r="F477" t="s">
        <v>722</v>
      </c>
      <c r="G477" t="s">
        <v>448</v>
      </c>
      <c r="H477" t="s">
        <v>9</v>
      </c>
      <c r="I477" t="str">
        <f t="shared" si="37"/>
        <v>Male</v>
      </c>
      <c r="J477">
        <v>28</v>
      </c>
      <c r="K477" t="str">
        <f t="shared" si="38"/>
        <v>Adult</v>
      </c>
      <c r="L477" t="str" cm="1">
        <f t="array" ref="L477">_xlfn.IFS(J477&lt;13,"Child",J477&lt;18,"Teen",J477&lt;60,"Adult",J477&gt;60,"Old Age")</f>
        <v>Adult</v>
      </c>
      <c r="M477">
        <v>0</v>
      </c>
      <c r="N477">
        <v>0</v>
      </c>
      <c r="O477">
        <f t="shared" si="39"/>
        <v>1</v>
      </c>
      <c r="P477">
        <v>52</v>
      </c>
      <c r="Q477" t="str">
        <f t="shared" si="35"/>
        <v>High</v>
      </c>
      <c r="R477" t="s">
        <v>1514</v>
      </c>
    </row>
    <row r="478" spans="1:18" x14ac:dyDescent="0.45">
      <c r="A478">
        <v>477</v>
      </c>
      <c r="B478">
        <v>0</v>
      </c>
      <c r="C478" t="str">
        <f t="shared" si="36"/>
        <v>Not Survived</v>
      </c>
      <c r="D478">
        <v>2</v>
      </c>
      <c r="E478" t="s">
        <v>1171</v>
      </c>
      <c r="F478" t="s">
        <v>722</v>
      </c>
      <c r="G478" t="s">
        <v>449</v>
      </c>
      <c r="H478" t="s">
        <v>9</v>
      </c>
      <c r="I478" t="str">
        <f t="shared" si="37"/>
        <v>Male</v>
      </c>
      <c r="J478">
        <v>34</v>
      </c>
      <c r="K478" t="str">
        <f t="shared" si="38"/>
        <v>Adult</v>
      </c>
      <c r="L478" t="str" cm="1">
        <f t="array" ref="L478">_xlfn.IFS(J478&lt;13,"Child",J478&lt;18,"Teen",J478&lt;60,"Adult",J478&gt;60,"Old Age")</f>
        <v>Adult</v>
      </c>
      <c r="M478">
        <v>1</v>
      </c>
      <c r="N478">
        <v>0</v>
      </c>
      <c r="O478">
        <f t="shared" si="39"/>
        <v>2</v>
      </c>
      <c r="P478">
        <v>21</v>
      </c>
      <c r="Q478" t="str">
        <f t="shared" si="35"/>
        <v>High</v>
      </c>
      <c r="R478" t="s">
        <v>1514</v>
      </c>
    </row>
    <row r="479" spans="1:18" x14ac:dyDescent="0.45">
      <c r="A479">
        <v>478</v>
      </c>
      <c r="B479">
        <v>0</v>
      </c>
      <c r="C479" t="str">
        <f t="shared" si="36"/>
        <v>Not Survived</v>
      </c>
      <c r="D479">
        <v>3</v>
      </c>
      <c r="E479" t="s">
        <v>1172</v>
      </c>
      <c r="F479" t="s">
        <v>722</v>
      </c>
      <c r="G479" t="s">
        <v>55</v>
      </c>
      <c r="H479" t="s">
        <v>9</v>
      </c>
      <c r="I479" t="str">
        <f t="shared" si="37"/>
        <v>Male</v>
      </c>
      <c r="J479">
        <v>29</v>
      </c>
      <c r="K479" t="str">
        <f t="shared" si="38"/>
        <v>Adult</v>
      </c>
      <c r="L479" t="str" cm="1">
        <f t="array" ref="L479">_xlfn.IFS(J479&lt;13,"Child",J479&lt;18,"Teen",J479&lt;60,"Adult",J479&gt;60,"Old Age")</f>
        <v>Adult</v>
      </c>
      <c r="M479">
        <v>1</v>
      </c>
      <c r="N479">
        <v>0</v>
      </c>
      <c r="O479">
        <f t="shared" si="39"/>
        <v>2</v>
      </c>
      <c r="P479" t="s">
        <v>38</v>
      </c>
      <c r="Q479" t="str">
        <f t="shared" si="35"/>
        <v>High</v>
      </c>
      <c r="R479" t="s">
        <v>1514</v>
      </c>
    </row>
    <row r="480" spans="1:18" x14ac:dyDescent="0.45">
      <c r="A480">
        <v>479</v>
      </c>
      <c r="B480">
        <v>0</v>
      </c>
      <c r="C480" t="str">
        <f t="shared" si="36"/>
        <v>Not Survived</v>
      </c>
      <c r="D480">
        <v>3</v>
      </c>
      <c r="E480" t="s">
        <v>1173</v>
      </c>
      <c r="F480" t="s">
        <v>722</v>
      </c>
      <c r="G480" t="s">
        <v>450</v>
      </c>
      <c r="H480" t="s">
        <v>9</v>
      </c>
      <c r="I480" t="str">
        <f t="shared" si="37"/>
        <v>Male</v>
      </c>
      <c r="J480">
        <v>22</v>
      </c>
      <c r="K480" t="str">
        <f t="shared" si="38"/>
        <v>Adult</v>
      </c>
      <c r="L480" t="str" cm="1">
        <f t="array" ref="L480">_xlfn.IFS(J480&lt;13,"Child",J480&lt;18,"Teen",J480&lt;60,"Adult",J480&gt;60,"Old Age")</f>
        <v>Adult</v>
      </c>
      <c r="M480">
        <v>0</v>
      </c>
      <c r="N480">
        <v>0</v>
      </c>
      <c r="O480">
        <f t="shared" si="39"/>
        <v>1</v>
      </c>
      <c r="P480" t="s">
        <v>39</v>
      </c>
      <c r="Q480" t="str">
        <f t="shared" si="35"/>
        <v>High</v>
      </c>
      <c r="R480" t="s">
        <v>1514</v>
      </c>
    </row>
    <row r="481" spans="1:18" x14ac:dyDescent="0.45">
      <c r="A481">
        <v>480</v>
      </c>
      <c r="B481">
        <v>1</v>
      </c>
      <c r="C481" t="str">
        <f t="shared" si="36"/>
        <v>Survived</v>
      </c>
      <c r="D481">
        <v>3</v>
      </c>
      <c r="E481" t="s">
        <v>1174</v>
      </c>
      <c r="F481" t="s">
        <v>724</v>
      </c>
      <c r="G481" t="s">
        <v>451</v>
      </c>
      <c r="H481" t="s">
        <v>10</v>
      </c>
      <c r="I481" t="str">
        <f t="shared" si="37"/>
        <v>Female</v>
      </c>
      <c r="J481">
        <v>2</v>
      </c>
      <c r="K481" t="str">
        <f t="shared" si="38"/>
        <v>Child</v>
      </c>
      <c r="L481" t="str" cm="1">
        <f t="array" ref="L481">_xlfn.IFS(J481&lt;13,"Child",J481&lt;18,"Teen",J481&lt;60,"Adult",J481&gt;60,"Old Age")</f>
        <v>Child</v>
      </c>
      <c r="M481">
        <v>0</v>
      </c>
      <c r="N481">
        <v>1</v>
      </c>
      <c r="O481">
        <f t="shared" si="39"/>
        <v>2</v>
      </c>
      <c r="P481">
        <v>12.2875</v>
      </c>
      <c r="Q481" t="str">
        <f t="shared" si="35"/>
        <v>High</v>
      </c>
      <c r="R481" t="s">
        <v>1514</v>
      </c>
    </row>
    <row r="482" spans="1:18" x14ac:dyDescent="0.45">
      <c r="A482">
        <v>481</v>
      </c>
      <c r="B482">
        <v>0</v>
      </c>
      <c r="C482" t="str">
        <f t="shared" si="36"/>
        <v>Not Survived</v>
      </c>
      <c r="D482">
        <v>3</v>
      </c>
      <c r="E482" t="s">
        <v>1175</v>
      </c>
      <c r="F482" t="s">
        <v>725</v>
      </c>
      <c r="G482" t="s">
        <v>112</v>
      </c>
      <c r="H482" t="s">
        <v>9</v>
      </c>
      <c r="I482" t="str">
        <f t="shared" si="37"/>
        <v>Male</v>
      </c>
      <c r="J482">
        <v>9</v>
      </c>
      <c r="K482" t="str">
        <f t="shared" si="38"/>
        <v>Child</v>
      </c>
      <c r="L482" t="str" cm="1">
        <f t="array" ref="L482">_xlfn.IFS(J482&lt;13,"Child",J482&lt;18,"Teen",J482&lt;60,"Adult",J482&gt;60,"Old Age")</f>
        <v>Child</v>
      </c>
      <c r="M482">
        <v>5</v>
      </c>
      <c r="N482">
        <v>2</v>
      </c>
      <c r="O482">
        <f t="shared" si="39"/>
        <v>8</v>
      </c>
      <c r="P482">
        <v>46.9</v>
      </c>
      <c r="Q482" t="str">
        <f t="shared" si="35"/>
        <v>High</v>
      </c>
      <c r="R482" t="s">
        <v>1514</v>
      </c>
    </row>
    <row r="483" spans="1:18" x14ac:dyDescent="0.45">
      <c r="A483">
        <v>482</v>
      </c>
      <c r="B483">
        <v>0</v>
      </c>
      <c r="C483" t="str">
        <f t="shared" si="36"/>
        <v>Not Survived</v>
      </c>
      <c r="D483">
        <v>2</v>
      </c>
      <c r="E483" t="s">
        <v>1176</v>
      </c>
      <c r="F483" t="s">
        <v>722</v>
      </c>
      <c r="G483" t="s">
        <v>452</v>
      </c>
      <c r="H483" t="s">
        <v>9</v>
      </c>
      <c r="I483" t="str">
        <f t="shared" si="37"/>
        <v>Male</v>
      </c>
      <c r="J483">
        <v>28</v>
      </c>
      <c r="K483" t="str">
        <f t="shared" si="38"/>
        <v>Adult</v>
      </c>
      <c r="L483" t="str" cm="1">
        <f t="array" ref="L483">_xlfn.IFS(J483&lt;13,"Child",J483&lt;18,"Teen",J483&lt;60,"Adult",J483&gt;60,"Old Age")</f>
        <v>Adult</v>
      </c>
      <c r="M483">
        <v>0</v>
      </c>
      <c r="N483">
        <v>0</v>
      </c>
      <c r="O483">
        <f t="shared" si="39"/>
        <v>1</v>
      </c>
      <c r="P483">
        <v>14.4542</v>
      </c>
      <c r="Q483" t="str">
        <f t="shared" si="35"/>
        <v>High</v>
      </c>
      <c r="R483" t="s">
        <v>1514</v>
      </c>
    </row>
    <row r="484" spans="1:18" x14ac:dyDescent="0.45">
      <c r="A484">
        <v>483</v>
      </c>
      <c r="B484">
        <v>0</v>
      </c>
      <c r="C484" t="str">
        <f t="shared" si="36"/>
        <v>Not Survived</v>
      </c>
      <c r="D484">
        <v>3</v>
      </c>
      <c r="E484" t="s">
        <v>1177</v>
      </c>
      <c r="F484" t="s">
        <v>722</v>
      </c>
      <c r="G484" t="s">
        <v>453</v>
      </c>
      <c r="H484" t="s">
        <v>9</v>
      </c>
      <c r="I484" t="str">
        <f t="shared" si="37"/>
        <v>Male</v>
      </c>
      <c r="J484">
        <v>50</v>
      </c>
      <c r="K484" t="str">
        <f t="shared" si="38"/>
        <v>Adult</v>
      </c>
      <c r="L484" t="str" cm="1">
        <f t="array" ref="L484">_xlfn.IFS(J484&lt;13,"Child",J484&lt;18,"Teen",J484&lt;60,"Adult",J484&gt;60,"Old Age")</f>
        <v>Adult</v>
      </c>
      <c r="M484">
        <v>0</v>
      </c>
      <c r="N484">
        <v>0</v>
      </c>
      <c r="O484">
        <f t="shared" si="39"/>
        <v>1</v>
      </c>
      <c r="P484" t="s">
        <v>12</v>
      </c>
      <c r="Q484" t="str">
        <f t="shared" si="35"/>
        <v>High</v>
      </c>
      <c r="R484" t="s">
        <v>1514</v>
      </c>
    </row>
    <row r="485" spans="1:18" x14ac:dyDescent="0.45">
      <c r="A485">
        <v>484</v>
      </c>
      <c r="B485">
        <v>1</v>
      </c>
      <c r="C485" t="str">
        <f t="shared" si="36"/>
        <v>Survived</v>
      </c>
      <c r="D485">
        <v>3</v>
      </c>
      <c r="E485" t="s">
        <v>753</v>
      </c>
      <c r="F485" t="s">
        <v>723</v>
      </c>
      <c r="G485" t="s">
        <v>454</v>
      </c>
      <c r="H485" t="s">
        <v>10</v>
      </c>
      <c r="I485" t="str">
        <f t="shared" si="37"/>
        <v>Female</v>
      </c>
      <c r="J485">
        <v>63</v>
      </c>
      <c r="K485" t="str">
        <f t="shared" si="38"/>
        <v>Old Age</v>
      </c>
      <c r="L485" t="str" cm="1">
        <f t="array" ref="L485">_xlfn.IFS(J485&lt;13,"Child",J485&lt;18,"Teen",J485&lt;60,"Adult",J485&gt;60,"Old Age")</f>
        <v>Old Age</v>
      </c>
      <c r="M485">
        <v>0</v>
      </c>
      <c r="N485">
        <v>0</v>
      </c>
      <c r="O485">
        <f t="shared" si="39"/>
        <v>1</v>
      </c>
      <c r="P485">
        <v>9.5875000000000004</v>
      </c>
      <c r="Q485" t="str">
        <f t="shared" si="35"/>
        <v>High</v>
      </c>
      <c r="R485" t="s">
        <v>1514</v>
      </c>
    </row>
    <row r="486" spans="1:18" x14ac:dyDescent="0.45">
      <c r="A486">
        <v>485</v>
      </c>
      <c r="B486">
        <v>1</v>
      </c>
      <c r="C486" t="str">
        <f t="shared" si="36"/>
        <v>Survived</v>
      </c>
      <c r="D486">
        <v>1</v>
      </c>
      <c r="E486" t="s">
        <v>1178</v>
      </c>
      <c r="F486" t="s">
        <v>722</v>
      </c>
      <c r="G486" t="s">
        <v>309</v>
      </c>
      <c r="H486" t="s">
        <v>9</v>
      </c>
      <c r="I486" t="str">
        <f t="shared" si="37"/>
        <v>Male</v>
      </c>
      <c r="J486">
        <v>25</v>
      </c>
      <c r="K486" t="str">
        <f t="shared" si="38"/>
        <v>Adult</v>
      </c>
      <c r="L486" t="str" cm="1">
        <f t="array" ref="L486">_xlfn.IFS(J486&lt;13,"Child",J486&lt;18,"Teen",J486&lt;60,"Adult",J486&gt;60,"Old Age")</f>
        <v>Adult</v>
      </c>
      <c r="M486">
        <v>1</v>
      </c>
      <c r="N486">
        <v>0</v>
      </c>
      <c r="O486">
        <f t="shared" si="39"/>
        <v>2</v>
      </c>
      <c r="P486" t="s">
        <v>32</v>
      </c>
      <c r="Q486" t="str">
        <f t="shared" si="35"/>
        <v>High</v>
      </c>
      <c r="R486" t="s">
        <v>1515</v>
      </c>
    </row>
    <row r="487" spans="1:18" x14ac:dyDescent="0.45">
      <c r="A487">
        <v>486</v>
      </c>
      <c r="B487">
        <v>0</v>
      </c>
      <c r="C487" t="str">
        <f t="shared" si="36"/>
        <v>Not Survived</v>
      </c>
      <c r="D487">
        <v>3</v>
      </c>
      <c r="E487" t="s">
        <v>1179</v>
      </c>
      <c r="F487" t="s">
        <v>724</v>
      </c>
      <c r="G487" t="s">
        <v>212</v>
      </c>
      <c r="H487" t="s">
        <v>10</v>
      </c>
      <c r="I487" t="str">
        <f t="shared" si="37"/>
        <v>Female</v>
      </c>
      <c r="J487">
        <v>28</v>
      </c>
      <c r="K487" t="str">
        <f t="shared" si="38"/>
        <v>Adult</v>
      </c>
      <c r="L487" t="str" cm="1">
        <f t="array" ref="L487">_xlfn.IFS(J487&lt;13,"Child",J487&lt;18,"Teen",J487&lt;60,"Adult",J487&gt;60,"Old Age")</f>
        <v>Adult</v>
      </c>
      <c r="M487">
        <v>3</v>
      </c>
      <c r="N487">
        <v>1</v>
      </c>
      <c r="O487">
        <f t="shared" si="39"/>
        <v>5</v>
      </c>
      <c r="P487">
        <v>25.466699999999999</v>
      </c>
      <c r="Q487" t="str">
        <f t="shared" si="35"/>
        <v>High</v>
      </c>
      <c r="R487" t="s">
        <v>1514</v>
      </c>
    </row>
    <row r="488" spans="1:18" x14ac:dyDescent="0.45">
      <c r="A488">
        <v>487</v>
      </c>
      <c r="B488">
        <v>1</v>
      </c>
      <c r="C488" t="str">
        <f t="shared" si="36"/>
        <v>Survived</v>
      </c>
      <c r="D488">
        <v>1</v>
      </c>
      <c r="E488" t="s">
        <v>1180</v>
      </c>
      <c r="F488" t="s">
        <v>723</v>
      </c>
      <c r="G488" t="s">
        <v>253</v>
      </c>
      <c r="H488" t="s">
        <v>10</v>
      </c>
      <c r="I488" t="str">
        <f t="shared" si="37"/>
        <v>Female</v>
      </c>
      <c r="J488">
        <v>35</v>
      </c>
      <c r="K488" t="str">
        <f t="shared" si="38"/>
        <v>Adult</v>
      </c>
      <c r="L488" t="str" cm="1">
        <f t="array" ref="L488">_xlfn.IFS(J488&lt;13,"Child",J488&lt;18,"Teen",J488&lt;60,"Adult",J488&gt;60,"Old Age")</f>
        <v>Adult</v>
      </c>
      <c r="M488">
        <v>1</v>
      </c>
      <c r="N488">
        <v>0</v>
      </c>
      <c r="O488">
        <f t="shared" si="39"/>
        <v>2</v>
      </c>
      <c r="P488">
        <v>914.45420000000001</v>
      </c>
      <c r="Q488" t="str">
        <f t="shared" si="35"/>
        <v>High</v>
      </c>
      <c r="R488" t="s">
        <v>1514</v>
      </c>
    </row>
    <row r="489" spans="1:18" x14ac:dyDescent="0.45">
      <c r="A489">
        <v>488</v>
      </c>
      <c r="B489">
        <v>0</v>
      </c>
      <c r="C489" t="str">
        <f t="shared" si="36"/>
        <v>Not Survived</v>
      </c>
      <c r="D489">
        <v>1</v>
      </c>
      <c r="E489" t="s">
        <v>1181</v>
      </c>
      <c r="F489" t="s">
        <v>722</v>
      </c>
      <c r="G489" t="s">
        <v>455</v>
      </c>
      <c r="H489" t="s">
        <v>9</v>
      </c>
      <c r="I489" t="str">
        <f t="shared" si="37"/>
        <v>Male</v>
      </c>
      <c r="J489">
        <v>58</v>
      </c>
      <c r="K489" t="str">
        <f t="shared" si="38"/>
        <v>Adult</v>
      </c>
      <c r="L489" t="str" cm="1">
        <f t="array" ref="L489">_xlfn.IFS(J489&lt;13,"Child",J489&lt;18,"Teen",J489&lt;60,"Adult",J489&gt;60,"Old Age")</f>
        <v>Adult</v>
      </c>
      <c r="M489">
        <v>0</v>
      </c>
      <c r="N489">
        <v>0</v>
      </c>
      <c r="O489">
        <f t="shared" si="39"/>
        <v>1</v>
      </c>
      <c r="P489">
        <v>29.7</v>
      </c>
      <c r="Q489" t="str">
        <f t="shared" si="35"/>
        <v>High</v>
      </c>
      <c r="R489" t="s">
        <v>1515</v>
      </c>
    </row>
    <row r="490" spans="1:18" x14ac:dyDescent="0.45">
      <c r="A490">
        <v>489</v>
      </c>
      <c r="B490">
        <v>0</v>
      </c>
      <c r="C490" t="str">
        <f t="shared" si="36"/>
        <v>Not Survived</v>
      </c>
      <c r="D490">
        <v>3</v>
      </c>
      <c r="E490" t="s">
        <v>1182</v>
      </c>
      <c r="F490" t="s">
        <v>722</v>
      </c>
      <c r="G490" t="s">
        <v>456</v>
      </c>
      <c r="H490" t="s">
        <v>9</v>
      </c>
      <c r="I490" t="str">
        <f t="shared" si="37"/>
        <v>Male</v>
      </c>
      <c r="J490">
        <v>30</v>
      </c>
      <c r="K490" t="str">
        <f t="shared" si="38"/>
        <v>Adult</v>
      </c>
      <c r="L490" t="str" cm="1">
        <f t="array" ref="L490">_xlfn.IFS(J490&lt;13,"Child",J490&lt;18,"Teen",J490&lt;60,"Adult",J490&gt;60,"Old Age")</f>
        <v>Adult</v>
      </c>
      <c r="M490">
        <v>0</v>
      </c>
      <c r="N490">
        <v>0</v>
      </c>
      <c r="O490">
        <f t="shared" si="39"/>
        <v>1</v>
      </c>
      <c r="P490" t="s">
        <v>12</v>
      </c>
      <c r="Q490" t="str">
        <f t="shared" si="35"/>
        <v>High</v>
      </c>
      <c r="R490" t="s">
        <v>1514</v>
      </c>
    </row>
    <row r="491" spans="1:18" x14ac:dyDescent="0.45">
      <c r="A491">
        <v>490</v>
      </c>
      <c r="B491">
        <v>1</v>
      </c>
      <c r="C491" t="str">
        <f t="shared" si="36"/>
        <v>Survived</v>
      </c>
      <c r="D491">
        <v>3</v>
      </c>
      <c r="E491" t="s">
        <v>1183</v>
      </c>
      <c r="F491" t="s">
        <v>725</v>
      </c>
      <c r="G491" t="s">
        <v>350</v>
      </c>
      <c r="H491" t="s">
        <v>9</v>
      </c>
      <c r="I491" t="str">
        <f t="shared" si="37"/>
        <v>Male</v>
      </c>
      <c r="J491">
        <v>9</v>
      </c>
      <c r="K491" t="str">
        <f t="shared" si="38"/>
        <v>Child</v>
      </c>
      <c r="L491" t="str" cm="1">
        <f t="array" ref="L491">_xlfn.IFS(J491&lt;13,"Child",J491&lt;18,"Teen",J491&lt;60,"Adult",J491&gt;60,"Old Age")</f>
        <v>Child</v>
      </c>
      <c r="M491">
        <v>1</v>
      </c>
      <c r="N491">
        <v>1</v>
      </c>
      <c r="O491">
        <f t="shared" si="39"/>
        <v>3</v>
      </c>
      <c r="P491">
        <v>15.9</v>
      </c>
      <c r="Q491" t="str">
        <f t="shared" si="35"/>
        <v>High</v>
      </c>
      <c r="R491" t="s">
        <v>1514</v>
      </c>
    </row>
    <row r="492" spans="1:18" x14ac:dyDescent="0.45">
      <c r="A492">
        <v>491</v>
      </c>
      <c r="B492">
        <v>0</v>
      </c>
      <c r="C492" t="str">
        <f t="shared" si="36"/>
        <v>Not Survived</v>
      </c>
      <c r="D492">
        <v>3</v>
      </c>
      <c r="E492" t="s">
        <v>1184</v>
      </c>
      <c r="F492" t="s">
        <v>722</v>
      </c>
      <c r="G492" t="s">
        <v>426</v>
      </c>
      <c r="H492" t="s">
        <v>9</v>
      </c>
      <c r="I492" t="str">
        <f t="shared" si="37"/>
        <v>Male</v>
      </c>
      <c r="J492">
        <v>28</v>
      </c>
      <c r="K492" t="str">
        <f t="shared" si="38"/>
        <v>Adult</v>
      </c>
      <c r="L492" t="str" cm="1">
        <f t="array" ref="L492">_xlfn.IFS(J492&lt;13,"Child",J492&lt;18,"Teen",J492&lt;60,"Adult",J492&gt;60,"Old Age")</f>
        <v>Adult</v>
      </c>
      <c r="M492">
        <v>1</v>
      </c>
      <c r="N492">
        <v>0</v>
      </c>
      <c r="O492">
        <f t="shared" si="39"/>
        <v>2</v>
      </c>
      <c r="P492">
        <v>19.966699999999999</v>
      </c>
      <c r="Q492" t="str">
        <f t="shared" si="35"/>
        <v>High</v>
      </c>
      <c r="R492" t="s">
        <v>1514</v>
      </c>
    </row>
    <row r="493" spans="1:18" x14ac:dyDescent="0.45">
      <c r="A493">
        <v>492</v>
      </c>
      <c r="B493">
        <v>0</v>
      </c>
      <c r="C493" t="str">
        <f t="shared" si="36"/>
        <v>Not Survived</v>
      </c>
      <c r="D493">
        <v>3</v>
      </c>
      <c r="E493" t="s">
        <v>1185</v>
      </c>
      <c r="F493" t="s">
        <v>722</v>
      </c>
      <c r="G493" t="s">
        <v>457</v>
      </c>
      <c r="H493" t="s">
        <v>9</v>
      </c>
      <c r="I493" t="str">
        <f t="shared" si="37"/>
        <v>Male</v>
      </c>
      <c r="J493">
        <v>21</v>
      </c>
      <c r="K493" t="str">
        <f t="shared" si="38"/>
        <v>Adult</v>
      </c>
      <c r="L493" t="str" cm="1">
        <f t="array" ref="L493">_xlfn.IFS(J493&lt;13,"Child",J493&lt;18,"Teen",J493&lt;60,"Adult",J493&gt;60,"Old Age")</f>
        <v>Adult</v>
      </c>
      <c r="M493">
        <v>0</v>
      </c>
      <c r="N493">
        <v>0</v>
      </c>
      <c r="O493">
        <f t="shared" si="39"/>
        <v>1</v>
      </c>
      <c r="P493">
        <v>7.25</v>
      </c>
      <c r="Q493" t="str">
        <f t="shared" si="35"/>
        <v>High</v>
      </c>
      <c r="R493" t="s">
        <v>1514</v>
      </c>
    </row>
    <row r="494" spans="1:18" x14ac:dyDescent="0.45">
      <c r="A494">
        <v>493</v>
      </c>
      <c r="B494">
        <v>0</v>
      </c>
      <c r="C494" t="str">
        <f t="shared" si="36"/>
        <v>Not Survived</v>
      </c>
      <c r="D494">
        <v>1</v>
      </c>
      <c r="E494" t="s">
        <v>1186</v>
      </c>
      <c r="F494" t="s">
        <v>722</v>
      </c>
      <c r="G494" t="s">
        <v>458</v>
      </c>
      <c r="H494" t="s">
        <v>9</v>
      </c>
      <c r="I494" t="str">
        <f t="shared" si="37"/>
        <v>Male</v>
      </c>
      <c r="J494">
        <v>55</v>
      </c>
      <c r="K494" t="str">
        <f t="shared" si="38"/>
        <v>Adult</v>
      </c>
      <c r="L494" t="str" cm="1">
        <f t="array" ref="L494">_xlfn.IFS(J494&lt;13,"Child",J494&lt;18,"Teen",J494&lt;60,"Adult",J494&gt;60,"Old Age")</f>
        <v>Adult</v>
      </c>
      <c r="M494">
        <v>0</v>
      </c>
      <c r="N494">
        <v>0</v>
      </c>
      <c r="O494">
        <f t="shared" si="39"/>
        <v>1</v>
      </c>
      <c r="P494" t="s">
        <v>33</v>
      </c>
      <c r="Q494" t="str">
        <f t="shared" si="35"/>
        <v>High</v>
      </c>
      <c r="R494" t="s">
        <v>1514</v>
      </c>
    </row>
    <row r="495" spans="1:18" x14ac:dyDescent="0.45">
      <c r="A495">
        <v>494</v>
      </c>
      <c r="B495">
        <v>0</v>
      </c>
      <c r="C495" t="str">
        <f t="shared" si="36"/>
        <v>Not Survived</v>
      </c>
      <c r="D495">
        <v>1</v>
      </c>
      <c r="E495" t="s">
        <v>1187</v>
      </c>
      <c r="F495" t="s">
        <v>722</v>
      </c>
      <c r="G495" t="s">
        <v>459</v>
      </c>
      <c r="H495" t="s">
        <v>9</v>
      </c>
      <c r="I495" t="str">
        <f t="shared" si="37"/>
        <v>Male</v>
      </c>
      <c r="J495">
        <v>71</v>
      </c>
      <c r="K495" t="str">
        <f t="shared" si="38"/>
        <v>Old Age</v>
      </c>
      <c r="L495" t="str" cm="1">
        <f t="array" ref="L495">_xlfn.IFS(J495&lt;13,"Child",J495&lt;18,"Teen",J495&lt;60,"Adult",J495&gt;60,"Old Age")</f>
        <v>Old Age</v>
      </c>
      <c r="M495">
        <v>0</v>
      </c>
      <c r="N495">
        <v>0</v>
      </c>
      <c r="O495">
        <f t="shared" si="39"/>
        <v>1</v>
      </c>
      <c r="P495" t="s">
        <v>40</v>
      </c>
      <c r="Q495" t="str">
        <f t="shared" si="35"/>
        <v>High</v>
      </c>
      <c r="R495" t="s">
        <v>1515</v>
      </c>
    </row>
    <row r="496" spans="1:18" x14ac:dyDescent="0.45">
      <c r="A496">
        <v>495</v>
      </c>
      <c r="B496">
        <v>0</v>
      </c>
      <c r="C496" t="str">
        <f t="shared" si="36"/>
        <v>Not Survived</v>
      </c>
      <c r="D496">
        <v>3</v>
      </c>
      <c r="E496" t="s">
        <v>1188</v>
      </c>
      <c r="F496" t="s">
        <v>722</v>
      </c>
      <c r="G496" t="s">
        <v>460</v>
      </c>
      <c r="H496" t="s">
        <v>9</v>
      </c>
      <c r="I496" t="str">
        <f t="shared" si="37"/>
        <v>Male</v>
      </c>
      <c r="J496">
        <v>21</v>
      </c>
      <c r="K496" t="str">
        <f t="shared" si="38"/>
        <v>Adult</v>
      </c>
      <c r="L496" t="str" cm="1">
        <f t="array" ref="L496">_xlfn.IFS(J496&lt;13,"Child",J496&lt;18,"Teen",J496&lt;60,"Adult",J496&gt;60,"Old Age")</f>
        <v>Adult</v>
      </c>
      <c r="M496">
        <v>0</v>
      </c>
      <c r="N496">
        <v>0</v>
      </c>
      <c r="O496">
        <f t="shared" si="39"/>
        <v>1</v>
      </c>
      <c r="P496" t="s">
        <v>12</v>
      </c>
      <c r="Q496" t="str">
        <f t="shared" si="35"/>
        <v>High</v>
      </c>
      <c r="R496" t="s">
        <v>1514</v>
      </c>
    </row>
    <row r="497" spans="1:18" x14ac:dyDescent="0.45">
      <c r="A497">
        <v>496</v>
      </c>
      <c r="B497">
        <v>0</v>
      </c>
      <c r="C497" t="str">
        <f t="shared" si="36"/>
        <v>Not Survived</v>
      </c>
      <c r="D497">
        <v>3</v>
      </c>
      <c r="E497" t="s">
        <v>934</v>
      </c>
      <c r="F497" t="s">
        <v>722</v>
      </c>
      <c r="G497" t="s">
        <v>461</v>
      </c>
      <c r="H497" t="s">
        <v>9</v>
      </c>
      <c r="I497" t="str">
        <f t="shared" si="37"/>
        <v>Male</v>
      </c>
      <c r="J497">
        <v>28</v>
      </c>
      <c r="K497" t="str">
        <f t="shared" si="38"/>
        <v>Adult</v>
      </c>
      <c r="L497" t="str" cm="1">
        <f t="array" ref="L497">_xlfn.IFS(J497&lt;13,"Child",J497&lt;18,"Teen",J497&lt;60,"Adult",J497&gt;60,"Old Age")</f>
        <v>Adult</v>
      </c>
      <c r="M497">
        <v>0</v>
      </c>
      <c r="N497">
        <v>0</v>
      </c>
      <c r="O497">
        <f t="shared" si="39"/>
        <v>1</v>
      </c>
      <c r="P497">
        <v>14.458299999999999</v>
      </c>
      <c r="Q497" t="str">
        <f t="shared" si="35"/>
        <v>High</v>
      </c>
      <c r="R497" t="s">
        <v>1515</v>
      </c>
    </row>
    <row r="498" spans="1:18" x14ac:dyDescent="0.45">
      <c r="A498">
        <v>497</v>
      </c>
      <c r="B498">
        <v>1</v>
      </c>
      <c r="C498" t="str">
        <f t="shared" si="36"/>
        <v>Survived</v>
      </c>
      <c r="D498">
        <v>1</v>
      </c>
      <c r="E498" t="s">
        <v>1189</v>
      </c>
      <c r="F498" t="s">
        <v>724</v>
      </c>
      <c r="G498" t="s">
        <v>462</v>
      </c>
      <c r="H498" t="s">
        <v>10</v>
      </c>
      <c r="I498" t="str">
        <f t="shared" si="37"/>
        <v>Female</v>
      </c>
      <c r="J498">
        <v>54</v>
      </c>
      <c r="K498" t="str">
        <f t="shared" si="38"/>
        <v>Adult</v>
      </c>
      <c r="L498" t="str" cm="1">
        <f t="array" ref="L498">_xlfn.IFS(J498&lt;13,"Child",J498&lt;18,"Teen",J498&lt;60,"Adult",J498&gt;60,"Old Age")</f>
        <v>Adult</v>
      </c>
      <c r="M498">
        <v>1</v>
      </c>
      <c r="N498">
        <v>0</v>
      </c>
      <c r="O498">
        <f t="shared" si="39"/>
        <v>2</v>
      </c>
      <c r="P498">
        <v>78.2667</v>
      </c>
      <c r="Q498" t="str">
        <f t="shared" si="35"/>
        <v>High</v>
      </c>
      <c r="R498" t="s">
        <v>1515</v>
      </c>
    </row>
    <row r="499" spans="1:18" x14ac:dyDescent="0.45">
      <c r="A499">
        <v>498</v>
      </c>
      <c r="B499">
        <v>0</v>
      </c>
      <c r="C499" t="str">
        <f t="shared" si="36"/>
        <v>Not Survived</v>
      </c>
      <c r="D499">
        <v>3</v>
      </c>
      <c r="E499" t="s">
        <v>968</v>
      </c>
      <c r="F499" t="s">
        <v>722</v>
      </c>
      <c r="G499" t="s">
        <v>463</v>
      </c>
      <c r="H499" t="s">
        <v>9</v>
      </c>
      <c r="I499" t="str">
        <f t="shared" si="37"/>
        <v>Male</v>
      </c>
      <c r="J499">
        <v>28</v>
      </c>
      <c r="K499" t="str">
        <f t="shared" si="38"/>
        <v>Adult</v>
      </c>
      <c r="L499" t="str" cm="1">
        <f t="array" ref="L499">_xlfn.IFS(J499&lt;13,"Child",J499&lt;18,"Teen",J499&lt;60,"Adult",J499&gt;60,"Old Age")</f>
        <v>Adult</v>
      </c>
      <c r="M499">
        <v>0</v>
      </c>
      <c r="N499">
        <v>0</v>
      </c>
      <c r="O499">
        <f t="shared" si="39"/>
        <v>1</v>
      </c>
      <c r="P499">
        <v>15.1</v>
      </c>
      <c r="Q499" t="str">
        <f t="shared" si="35"/>
        <v>High</v>
      </c>
      <c r="R499" t="s">
        <v>1514</v>
      </c>
    </row>
    <row r="500" spans="1:18" x14ac:dyDescent="0.45">
      <c r="A500">
        <v>499</v>
      </c>
      <c r="B500">
        <v>0</v>
      </c>
      <c r="C500" t="str">
        <f t="shared" si="36"/>
        <v>Not Survived</v>
      </c>
      <c r="D500">
        <v>1</v>
      </c>
      <c r="E500" t="s">
        <v>1190</v>
      </c>
      <c r="F500" t="s">
        <v>723</v>
      </c>
      <c r="G500" t="s">
        <v>315</v>
      </c>
      <c r="H500" t="s">
        <v>10</v>
      </c>
      <c r="I500" t="str">
        <f t="shared" si="37"/>
        <v>Female</v>
      </c>
      <c r="J500">
        <v>25</v>
      </c>
      <c r="K500" t="str">
        <f t="shared" si="38"/>
        <v>Adult</v>
      </c>
      <c r="L500" t="str" cm="1">
        <f t="array" ref="L500">_xlfn.IFS(J500&lt;13,"Child",J500&lt;18,"Teen",J500&lt;60,"Adult",J500&gt;60,"Old Age")</f>
        <v>Adult</v>
      </c>
      <c r="M500">
        <v>1</v>
      </c>
      <c r="N500">
        <v>2</v>
      </c>
      <c r="O500">
        <f t="shared" si="39"/>
        <v>4</v>
      </c>
      <c r="P500">
        <v>151.55000000000001</v>
      </c>
      <c r="Q500" t="str">
        <f t="shared" si="35"/>
        <v>High</v>
      </c>
      <c r="R500" t="s">
        <v>1514</v>
      </c>
    </row>
    <row r="501" spans="1:18" x14ac:dyDescent="0.45">
      <c r="A501">
        <v>500</v>
      </c>
      <c r="B501">
        <v>0</v>
      </c>
      <c r="C501" t="str">
        <f t="shared" si="36"/>
        <v>Not Survived</v>
      </c>
      <c r="D501">
        <v>3</v>
      </c>
      <c r="E501" t="s">
        <v>1191</v>
      </c>
      <c r="F501" t="s">
        <v>722</v>
      </c>
      <c r="G501" t="s">
        <v>464</v>
      </c>
      <c r="H501" t="s">
        <v>9</v>
      </c>
      <c r="I501" t="str">
        <f t="shared" si="37"/>
        <v>Male</v>
      </c>
      <c r="J501">
        <v>24</v>
      </c>
      <c r="K501" t="str">
        <f t="shared" si="38"/>
        <v>Adult</v>
      </c>
      <c r="L501" t="str" cm="1">
        <f t="array" ref="L501">_xlfn.IFS(J501&lt;13,"Child",J501&lt;18,"Teen",J501&lt;60,"Adult",J501&gt;60,"Old Age")</f>
        <v>Adult</v>
      </c>
      <c r="M501">
        <v>0</v>
      </c>
      <c r="N501">
        <v>0</v>
      </c>
      <c r="O501">
        <f t="shared" si="39"/>
        <v>1</v>
      </c>
      <c r="P501">
        <v>7.7957999999999998</v>
      </c>
      <c r="Q501" t="str">
        <f t="shared" si="35"/>
        <v>High</v>
      </c>
      <c r="R501" t="s">
        <v>1514</v>
      </c>
    </row>
    <row r="502" spans="1:18" x14ac:dyDescent="0.45">
      <c r="A502">
        <v>501</v>
      </c>
      <c r="B502">
        <v>0</v>
      </c>
      <c r="C502" t="str">
        <f t="shared" si="36"/>
        <v>Not Survived</v>
      </c>
      <c r="D502">
        <v>3</v>
      </c>
      <c r="E502" t="s">
        <v>1192</v>
      </c>
      <c r="F502" t="s">
        <v>722</v>
      </c>
      <c r="G502" t="s">
        <v>203</v>
      </c>
      <c r="H502" t="s">
        <v>9</v>
      </c>
      <c r="I502" t="str">
        <f t="shared" si="37"/>
        <v>Male</v>
      </c>
      <c r="J502">
        <v>17</v>
      </c>
      <c r="K502" t="str">
        <f t="shared" si="38"/>
        <v>Teen</v>
      </c>
      <c r="L502" t="str" cm="1">
        <f t="array" ref="L502">_xlfn.IFS(J502&lt;13,"Child",J502&lt;18,"Teen",J502&lt;60,"Adult",J502&gt;60,"Old Age")</f>
        <v>Teen</v>
      </c>
      <c r="M502">
        <v>0</v>
      </c>
      <c r="N502">
        <v>0</v>
      </c>
      <c r="O502">
        <f t="shared" si="39"/>
        <v>1</v>
      </c>
      <c r="P502">
        <v>8.6624999999999996</v>
      </c>
      <c r="Q502" t="str">
        <f t="shared" si="35"/>
        <v>High</v>
      </c>
      <c r="R502" t="s">
        <v>1514</v>
      </c>
    </row>
    <row r="503" spans="1:18" x14ac:dyDescent="0.45">
      <c r="A503">
        <v>502</v>
      </c>
      <c r="B503">
        <v>0</v>
      </c>
      <c r="C503" t="str">
        <f t="shared" si="36"/>
        <v>Not Survived</v>
      </c>
      <c r="D503">
        <v>3</v>
      </c>
      <c r="E503" t="s">
        <v>1073</v>
      </c>
      <c r="F503" t="s">
        <v>724</v>
      </c>
      <c r="G503" t="s">
        <v>465</v>
      </c>
      <c r="H503" t="s">
        <v>10</v>
      </c>
      <c r="I503" t="str">
        <f t="shared" si="37"/>
        <v>Female</v>
      </c>
      <c r="J503">
        <v>21</v>
      </c>
      <c r="K503" t="str">
        <f t="shared" si="38"/>
        <v>Adult</v>
      </c>
      <c r="L503" t="str" cm="1">
        <f t="array" ref="L503">_xlfn.IFS(J503&lt;13,"Child",J503&lt;18,"Teen",J503&lt;60,"Adult",J503&gt;60,"Old Age")</f>
        <v>Adult</v>
      </c>
      <c r="M503">
        <v>0</v>
      </c>
      <c r="N503">
        <v>0</v>
      </c>
      <c r="O503">
        <f t="shared" si="39"/>
        <v>1</v>
      </c>
      <c r="P503">
        <v>7.75</v>
      </c>
      <c r="Q503" t="str">
        <f t="shared" si="35"/>
        <v>High</v>
      </c>
      <c r="R503" t="s">
        <v>1516</v>
      </c>
    </row>
    <row r="504" spans="1:18" x14ac:dyDescent="0.45">
      <c r="A504">
        <v>503</v>
      </c>
      <c r="B504">
        <v>0</v>
      </c>
      <c r="C504" t="str">
        <f t="shared" si="36"/>
        <v>Not Survived</v>
      </c>
      <c r="D504">
        <v>3</v>
      </c>
      <c r="E504" t="s">
        <v>1193</v>
      </c>
      <c r="F504" t="s">
        <v>724</v>
      </c>
      <c r="G504" t="s">
        <v>466</v>
      </c>
      <c r="H504" t="s">
        <v>10</v>
      </c>
      <c r="I504" t="str">
        <f t="shared" si="37"/>
        <v>Female</v>
      </c>
      <c r="J504">
        <v>28</v>
      </c>
      <c r="K504" t="str">
        <f t="shared" si="38"/>
        <v>Adult</v>
      </c>
      <c r="L504" t="str" cm="1">
        <f t="array" ref="L504">_xlfn.IFS(J504&lt;13,"Child",J504&lt;18,"Teen",J504&lt;60,"Adult",J504&gt;60,"Old Age")</f>
        <v>Adult</v>
      </c>
      <c r="M504">
        <v>0</v>
      </c>
      <c r="N504">
        <v>0</v>
      </c>
      <c r="O504">
        <f t="shared" si="39"/>
        <v>1</v>
      </c>
      <c r="P504">
        <v>7.6292</v>
      </c>
      <c r="Q504" t="str">
        <f t="shared" si="35"/>
        <v>High</v>
      </c>
      <c r="R504" t="s">
        <v>1516</v>
      </c>
    </row>
    <row r="505" spans="1:18" x14ac:dyDescent="0.45">
      <c r="A505">
        <v>504</v>
      </c>
      <c r="B505">
        <v>0</v>
      </c>
      <c r="C505" t="str">
        <f t="shared" si="36"/>
        <v>Not Survived</v>
      </c>
      <c r="D505">
        <v>3</v>
      </c>
      <c r="E505" t="s">
        <v>1194</v>
      </c>
      <c r="F505" t="s">
        <v>724</v>
      </c>
      <c r="G505" t="s">
        <v>467</v>
      </c>
      <c r="H505" t="s">
        <v>10</v>
      </c>
      <c r="I505" t="str">
        <f t="shared" si="37"/>
        <v>Female</v>
      </c>
      <c r="J505">
        <v>37</v>
      </c>
      <c r="K505" t="str">
        <f t="shared" si="38"/>
        <v>Adult</v>
      </c>
      <c r="L505" t="str" cm="1">
        <f t="array" ref="L505">_xlfn.IFS(J505&lt;13,"Child",J505&lt;18,"Teen",J505&lt;60,"Adult",J505&gt;60,"Old Age")</f>
        <v>Adult</v>
      </c>
      <c r="M505">
        <v>0</v>
      </c>
      <c r="N505">
        <v>0</v>
      </c>
      <c r="O505">
        <f t="shared" si="39"/>
        <v>1</v>
      </c>
      <c r="P505">
        <v>9.5875000000000004</v>
      </c>
      <c r="Q505" t="str">
        <f t="shared" si="35"/>
        <v>High</v>
      </c>
      <c r="R505" t="s">
        <v>1514</v>
      </c>
    </row>
    <row r="506" spans="1:18" x14ac:dyDescent="0.45">
      <c r="A506">
        <v>505</v>
      </c>
      <c r="B506">
        <v>1</v>
      </c>
      <c r="C506" t="str">
        <f t="shared" si="36"/>
        <v>Survived</v>
      </c>
      <c r="D506">
        <v>1</v>
      </c>
      <c r="E506" t="s">
        <v>1195</v>
      </c>
      <c r="F506" t="s">
        <v>724</v>
      </c>
      <c r="G506" t="s">
        <v>468</v>
      </c>
      <c r="H506" t="s">
        <v>10</v>
      </c>
      <c r="I506" t="str">
        <f t="shared" si="37"/>
        <v>Female</v>
      </c>
      <c r="J506">
        <v>16</v>
      </c>
      <c r="K506" t="str">
        <f t="shared" si="38"/>
        <v>Teen</v>
      </c>
      <c r="L506" t="str" cm="1">
        <f t="array" ref="L506">_xlfn.IFS(J506&lt;13,"Child",J506&lt;18,"Teen",J506&lt;60,"Adult",J506&gt;60,"Old Age")</f>
        <v>Teen</v>
      </c>
      <c r="M506">
        <v>0</v>
      </c>
      <c r="N506">
        <v>0</v>
      </c>
      <c r="O506">
        <f t="shared" si="39"/>
        <v>1</v>
      </c>
      <c r="P506">
        <v>86.5</v>
      </c>
      <c r="Q506" t="str">
        <f t="shared" si="35"/>
        <v>High</v>
      </c>
      <c r="R506" t="s">
        <v>1514</v>
      </c>
    </row>
    <row r="507" spans="1:18" x14ac:dyDescent="0.45">
      <c r="A507">
        <v>506</v>
      </c>
      <c r="B507">
        <v>0</v>
      </c>
      <c r="C507" t="str">
        <f t="shared" si="36"/>
        <v>Not Survived</v>
      </c>
      <c r="D507">
        <v>1</v>
      </c>
      <c r="E507" t="s">
        <v>1196</v>
      </c>
      <c r="F507" t="s">
        <v>722</v>
      </c>
      <c r="G507" t="s">
        <v>321</v>
      </c>
      <c r="H507" t="s">
        <v>9</v>
      </c>
      <c r="I507" t="str">
        <f t="shared" si="37"/>
        <v>Male</v>
      </c>
      <c r="J507">
        <v>18</v>
      </c>
      <c r="K507" t="str">
        <f t="shared" si="38"/>
        <v>Adult</v>
      </c>
      <c r="L507" t="str" cm="1">
        <f t="array" ref="L507">_xlfn.IFS(J507&lt;13,"Child",J507&lt;18,"Teen",J507&lt;60,"Adult",J507&gt;60,"Old Age")</f>
        <v>Adult</v>
      </c>
      <c r="M507">
        <v>1</v>
      </c>
      <c r="N507">
        <v>0</v>
      </c>
      <c r="O507">
        <f t="shared" si="39"/>
        <v>2</v>
      </c>
      <c r="P507" t="s">
        <v>35</v>
      </c>
      <c r="Q507" t="str">
        <f t="shared" si="35"/>
        <v>High</v>
      </c>
      <c r="R507" t="s">
        <v>1515</v>
      </c>
    </row>
    <row r="508" spans="1:18" x14ac:dyDescent="0.45">
      <c r="A508">
        <v>507</v>
      </c>
      <c r="B508">
        <v>1</v>
      </c>
      <c r="C508" t="str">
        <f t="shared" si="36"/>
        <v>Survived</v>
      </c>
      <c r="D508">
        <v>2</v>
      </c>
      <c r="E508" t="s">
        <v>1197</v>
      </c>
      <c r="F508" t="s">
        <v>723</v>
      </c>
      <c r="G508" t="s">
        <v>469</v>
      </c>
      <c r="H508" t="s">
        <v>10</v>
      </c>
      <c r="I508" t="str">
        <f t="shared" si="37"/>
        <v>Female</v>
      </c>
      <c r="J508">
        <v>33</v>
      </c>
      <c r="K508" t="str">
        <f t="shared" si="38"/>
        <v>Adult</v>
      </c>
      <c r="L508" t="str" cm="1">
        <f t="array" ref="L508">_xlfn.IFS(J508&lt;13,"Child",J508&lt;18,"Teen",J508&lt;60,"Adult",J508&gt;60,"Old Age")</f>
        <v>Adult</v>
      </c>
      <c r="M508">
        <v>0</v>
      </c>
      <c r="N508">
        <v>2</v>
      </c>
      <c r="O508">
        <f t="shared" si="39"/>
        <v>3</v>
      </c>
      <c r="P508">
        <v>26</v>
      </c>
      <c r="Q508" t="str">
        <f t="shared" si="35"/>
        <v>High</v>
      </c>
      <c r="R508" t="s">
        <v>1514</v>
      </c>
    </row>
    <row r="509" spans="1:18" x14ac:dyDescent="0.45">
      <c r="A509">
        <v>508</v>
      </c>
      <c r="B509">
        <v>1</v>
      </c>
      <c r="C509" t="str">
        <f t="shared" si="36"/>
        <v>Survived</v>
      </c>
      <c r="D509">
        <v>1</v>
      </c>
      <c r="E509" t="s">
        <v>1198</v>
      </c>
      <c r="F509" t="s">
        <v>722</v>
      </c>
      <c r="G509" t="s">
        <v>470</v>
      </c>
      <c r="H509" t="s">
        <v>9</v>
      </c>
      <c r="I509" t="str">
        <f t="shared" si="37"/>
        <v>Male</v>
      </c>
      <c r="J509">
        <v>28</v>
      </c>
      <c r="K509" t="str">
        <f t="shared" si="38"/>
        <v>Adult</v>
      </c>
      <c r="L509" t="str" cm="1">
        <f t="array" ref="L509">_xlfn.IFS(J509&lt;13,"Child",J509&lt;18,"Teen",J509&lt;60,"Adult",J509&gt;60,"Old Age")</f>
        <v>Adult</v>
      </c>
      <c r="M509">
        <v>0</v>
      </c>
      <c r="N509">
        <v>0</v>
      </c>
      <c r="O509">
        <f t="shared" si="39"/>
        <v>1</v>
      </c>
      <c r="P509">
        <v>26.55</v>
      </c>
      <c r="Q509" t="str">
        <f t="shared" si="35"/>
        <v>High</v>
      </c>
      <c r="R509" t="s">
        <v>1514</v>
      </c>
    </row>
    <row r="510" spans="1:18" x14ac:dyDescent="0.45">
      <c r="A510">
        <v>509</v>
      </c>
      <c r="B510">
        <v>0</v>
      </c>
      <c r="C510" t="str">
        <f t="shared" si="36"/>
        <v>Not Survived</v>
      </c>
      <c r="D510">
        <v>3</v>
      </c>
      <c r="E510" t="s">
        <v>1199</v>
      </c>
      <c r="F510" t="s">
        <v>722</v>
      </c>
      <c r="G510" t="s">
        <v>195</v>
      </c>
      <c r="H510" t="s">
        <v>9</v>
      </c>
      <c r="I510" t="str">
        <f t="shared" si="37"/>
        <v>Male</v>
      </c>
      <c r="J510">
        <v>28</v>
      </c>
      <c r="K510" t="str">
        <f t="shared" si="38"/>
        <v>Adult</v>
      </c>
      <c r="L510" t="str" cm="1">
        <f t="array" ref="L510">_xlfn.IFS(J510&lt;13,"Child",J510&lt;18,"Teen",J510&lt;60,"Adult",J510&gt;60,"Old Age")</f>
        <v>Adult</v>
      </c>
      <c r="M510">
        <v>0</v>
      </c>
      <c r="N510">
        <v>0</v>
      </c>
      <c r="O510">
        <f t="shared" si="39"/>
        <v>1</v>
      </c>
      <c r="P510">
        <v>22.524999999999999</v>
      </c>
      <c r="Q510" t="str">
        <f t="shared" si="35"/>
        <v>High</v>
      </c>
      <c r="R510" t="s">
        <v>1514</v>
      </c>
    </row>
    <row r="511" spans="1:18" x14ac:dyDescent="0.45">
      <c r="A511">
        <v>510</v>
      </c>
      <c r="B511">
        <v>1</v>
      </c>
      <c r="C511" t="str">
        <f t="shared" si="36"/>
        <v>Survived</v>
      </c>
      <c r="D511">
        <v>3</v>
      </c>
      <c r="E511" t="s">
        <v>1200</v>
      </c>
      <c r="F511" t="s">
        <v>722</v>
      </c>
      <c r="G511" t="s">
        <v>471</v>
      </c>
      <c r="H511" t="s">
        <v>9</v>
      </c>
      <c r="I511" t="str">
        <f t="shared" si="37"/>
        <v>Male</v>
      </c>
      <c r="J511">
        <v>26</v>
      </c>
      <c r="K511" t="str">
        <f t="shared" si="38"/>
        <v>Adult</v>
      </c>
      <c r="L511" t="str" cm="1">
        <f t="array" ref="L511">_xlfn.IFS(J511&lt;13,"Child",J511&lt;18,"Teen",J511&lt;60,"Adult",J511&gt;60,"Old Age")</f>
        <v>Adult</v>
      </c>
      <c r="M511">
        <v>0</v>
      </c>
      <c r="N511">
        <v>0</v>
      </c>
      <c r="O511">
        <f t="shared" si="39"/>
        <v>1</v>
      </c>
      <c r="P511">
        <v>56.495800000000003</v>
      </c>
      <c r="Q511" t="str">
        <f t="shared" si="35"/>
        <v>High</v>
      </c>
      <c r="R511" t="s">
        <v>1514</v>
      </c>
    </row>
    <row r="512" spans="1:18" x14ac:dyDescent="0.45">
      <c r="A512">
        <v>511</v>
      </c>
      <c r="B512">
        <v>1</v>
      </c>
      <c r="C512" t="str">
        <f t="shared" si="36"/>
        <v>Survived</v>
      </c>
      <c r="D512">
        <v>3</v>
      </c>
      <c r="E512" t="s">
        <v>1201</v>
      </c>
      <c r="F512" t="s">
        <v>722</v>
      </c>
      <c r="G512" t="s">
        <v>472</v>
      </c>
      <c r="H512" t="s">
        <v>9</v>
      </c>
      <c r="I512" t="str">
        <f t="shared" si="37"/>
        <v>Male</v>
      </c>
      <c r="J512">
        <v>29</v>
      </c>
      <c r="K512" t="str">
        <f t="shared" si="38"/>
        <v>Adult</v>
      </c>
      <c r="L512" t="str" cm="1">
        <f t="array" ref="L512">_xlfn.IFS(J512&lt;13,"Child",J512&lt;18,"Teen",J512&lt;60,"Adult",J512&gt;60,"Old Age")</f>
        <v>Adult</v>
      </c>
      <c r="M512">
        <v>0</v>
      </c>
      <c r="N512">
        <v>0</v>
      </c>
      <c r="O512">
        <f t="shared" si="39"/>
        <v>1</v>
      </c>
      <c r="P512">
        <v>7.75</v>
      </c>
      <c r="Q512" t="str">
        <f t="shared" si="35"/>
        <v>High</v>
      </c>
      <c r="R512" t="s">
        <v>1516</v>
      </c>
    </row>
    <row r="513" spans="1:18" x14ac:dyDescent="0.45">
      <c r="A513">
        <v>512</v>
      </c>
      <c r="B513">
        <v>0</v>
      </c>
      <c r="C513" t="str">
        <f t="shared" si="36"/>
        <v>Not Survived</v>
      </c>
      <c r="D513">
        <v>3</v>
      </c>
      <c r="E513" t="s">
        <v>744</v>
      </c>
      <c r="F513" t="s">
        <v>722</v>
      </c>
      <c r="G513" t="s">
        <v>169</v>
      </c>
      <c r="H513" t="s">
        <v>9</v>
      </c>
      <c r="I513" t="str">
        <f t="shared" si="37"/>
        <v>Male</v>
      </c>
      <c r="J513">
        <v>28</v>
      </c>
      <c r="K513" t="str">
        <f t="shared" si="38"/>
        <v>Adult</v>
      </c>
      <c r="L513" t="str" cm="1">
        <f t="array" ref="L513">_xlfn.IFS(J513&lt;13,"Child",J513&lt;18,"Teen",J513&lt;60,"Adult",J513&gt;60,"Old Age")</f>
        <v>Adult</v>
      </c>
      <c r="M513">
        <v>0</v>
      </c>
      <c r="N513">
        <v>0</v>
      </c>
      <c r="O513">
        <f t="shared" si="39"/>
        <v>1</v>
      </c>
      <c r="P513" t="s">
        <v>12</v>
      </c>
      <c r="Q513" t="str">
        <f t="shared" si="35"/>
        <v>High</v>
      </c>
      <c r="R513" t="s">
        <v>1514</v>
      </c>
    </row>
    <row r="514" spans="1:18" x14ac:dyDescent="0.45">
      <c r="A514">
        <v>513</v>
      </c>
      <c r="B514">
        <v>1</v>
      </c>
      <c r="C514" t="str">
        <f t="shared" si="36"/>
        <v>Survived</v>
      </c>
      <c r="D514">
        <v>1</v>
      </c>
      <c r="E514" t="s">
        <v>1202</v>
      </c>
      <c r="F514" t="s">
        <v>722</v>
      </c>
      <c r="G514" t="s">
        <v>473</v>
      </c>
      <c r="H514" t="s">
        <v>9</v>
      </c>
      <c r="I514" t="str">
        <f t="shared" si="37"/>
        <v>Male</v>
      </c>
      <c r="J514">
        <v>36</v>
      </c>
      <c r="K514" t="str">
        <f t="shared" si="38"/>
        <v>Adult</v>
      </c>
      <c r="L514" t="str" cm="1">
        <f t="array" ref="L514">_xlfn.IFS(J514&lt;13,"Child",J514&lt;18,"Teen",J514&lt;60,"Adult",J514&gt;60,"Old Age")</f>
        <v>Adult</v>
      </c>
      <c r="M514">
        <v>0</v>
      </c>
      <c r="N514">
        <v>0</v>
      </c>
      <c r="O514">
        <f t="shared" si="39"/>
        <v>1</v>
      </c>
      <c r="P514">
        <v>26.287500000000001</v>
      </c>
      <c r="Q514" t="str">
        <f t="shared" ref="Q514:Q577" si="40">IF(A514&lt;=10,"Low",IF(A514&lt;=50,"Medium","High"))</f>
        <v>High</v>
      </c>
      <c r="R514" t="s">
        <v>1514</v>
      </c>
    </row>
    <row r="515" spans="1:18" x14ac:dyDescent="0.45">
      <c r="A515">
        <v>514</v>
      </c>
      <c r="B515">
        <v>1</v>
      </c>
      <c r="C515" t="str">
        <f t="shared" ref="C515:C578" si="41">IF(B515 = 0, "Not Survived","Survived")</f>
        <v>Survived</v>
      </c>
      <c r="D515">
        <v>1</v>
      </c>
      <c r="E515" t="s">
        <v>1203</v>
      </c>
      <c r="F515" t="s">
        <v>723</v>
      </c>
      <c r="G515" t="s">
        <v>474</v>
      </c>
      <c r="H515" t="s">
        <v>10</v>
      </c>
      <c r="I515" t="str">
        <f t="shared" ref="I515:I578" si="42">PROPER(H515)</f>
        <v>Female</v>
      </c>
      <c r="J515">
        <v>54</v>
      </c>
      <c r="K515" t="str">
        <f t="shared" ref="K515:K578" si="43">IF(J515&lt;13,"Child",IF(J515&lt;18,"Teen",IF(J515&lt;60,"Adult","Old Age")))</f>
        <v>Adult</v>
      </c>
      <c r="L515" t="str" cm="1">
        <f t="array" ref="L515">_xlfn.IFS(J515&lt;13,"Child",J515&lt;18,"Teen",J515&lt;60,"Adult",J515&gt;60,"Old Age")</f>
        <v>Adult</v>
      </c>
      <c r="M515">
        <v>1</v>
      </c>
      <c r="N515">
        <v>0</v>
      </c>
      <c r="O515">
        <f t="shared" ref="O515:O578" si="44">M515+N515+1</f>
        <v>2</v>
      </c>
      <c r="P515">
        <v>59.4</v>
      </c>
      <c r="Q515" t="str">
        <f t="shared" si="40"/>
        <v>High</v>
      </c>
      <c r="R515" t="s">
        <v>1515</v>
      </c>
    </row>
    <row r="516" spans="1:18" x14ac:dyDescent="0.45">
      <c r="A516">
        <v>515</v>
      </c>
      <c r="B516">
        <v>0</v>
      </c>
      <c r="C516" t="str">
        <f t="shared" si="41"/>
        <v>Not Survived</v>
      </c>
      <c r="D516">
        <v>3</v>
      </c>
      <c r="E516" t="s">
        <v>1204</v>
      </c>
      <c r="F516" t="s">
        <v>722</v>
      </c>
      <c r="G516" t="s">
        <v>475</v>
      </c>
      <c r="H516" t="s">
        <v>9</v>
      </c>
      <c r="I516" t="str">
        <f t="shared" si="42"/>
        <v>Male</v>
      </c>
      <c r="J516">
        <v>24</v>
      </c>
      <c r="K516" t="str">
        <f t="shared" si="43"/>
        <v>Adult</v>
      </c>
      <c r="L516" t="str" cm="1">
        <f t="array" ref="L516">_xlfn.IFS(J516&lt;13,"Child",J516&lt;18,"Teen",J516&lt;60,"Adult",J516&gt;60,"Old Age")</f>
        <v>Adult</v>
      </c>
      <c r="M516">
        <v>0</v>
      </c>
      <c r="N516">
        <v>0</v>
      </c>
      <c r="O516">
        <f t="shared" si="44"/>
        <v>1</v>
      </c>
      <c r="P516">
        <v>7.4958</v>
      </c>
      <c r="Q516" t="str">
        <f t="shared" si="40"/>
        <v>High</v>
      </c>
      <c r="R516" t="s">
        <v>1514</v>
      </c>
    </row>
    <row r="517" spans="1:18" x14ac:dyDescent="0.45">
      <c r="A517">
        <v>516</v>
      </c>
      <c r="B517">
        <v>0</v>
      </c>
      <c r="C517" t="str">
        <f t="shared" si="41"/>
        <v>Not Survived</v>
      </c>
      <c r="D517">
        <v>1</v>
      </c>
      <c r="E517" t="s">
        <v>1205</v>
      </c>
      <c r="F517" t="s">
        <v>722</v>
      </c>
      <c r="G517" t="s">
        <v>476</v>
      </c>
      <c r="H517" t="s">
        <v>9</v>
      </c>
      <c r="I517" t="str">
        <f t="shared" si="42"/>
        <v>Male</v>
      </c>
      <c r="J517">
        <v>47</v>
      </c>
      <c r="K517" t="str">
        <f t="shared" si="43"/>
        <v>Adult</v>
      </c>
      <c r="L517" t="str" cm="1">
        <f t="array" ref="L517">_xlfn.IFS(J517&lt;13,"Child",J517&lt;18,"Teen",J517&lt;60,"Adult",J517&gt;60,"Old Age")</f>
        <v>Adult</v>
      </c>
      <c r="M517">
        <v>0</v>
      </c>
      <c r="N517">
        <v>0</v>
      </c>
      <c r="O517">
        <f t="shared" si="44"/>
        <v>1</v>
      </c>
      <c r="P517" t="s">
        <v>41</v>
      </c>
      <c r="Q517" t="str">
        <f t="shared" si="40"/>
        <v>High</v>
      </c>
      <c r="R517" t="s">
        <v>1514</v>
      </c>
    </row>
    <row r="518" spans="1:18" x14ac:dyDescent="0.45">
      <c r="A518">
        <v>517</v>
      </c>
      <c r="B518">
        <v>1</v>
      </c>
      <c r="C518" t="str">
        <f t="shared" si="41"/>
        <v>Survived</v>
      </c>
      <c r="D518">
        <v>2</v>
      </c>
      <c r="E518" t="s">
        <v>753</v>
      </c>
      <c r="F518" t="s">
        <v>723</v>
      </c>
      <c r="G518" t="s">
        <v>477</v>
      </c>
      <c r="H518" t="s">
        <v>10</v>
      </c>
      <c r="I518" t="str">
        <f t="shared" si="42"/>
        <v>Female</v>
      </c>
      <c r="J518">
        <v>34</v>
      </c>
      <c r="K518" t="str">
        <f t="shared" si="43"/>
        <v>Adult</v>
      </c>
      <c r="L518" t="str" cm="1">
        <f t="array" ref="L518">_xlfn.IFS(J518&lt;13,"Child",J518&lt;18,"Teen",J518&lt;60,"Adult",J518&gt;60,"Old Age")</f>
        <v>Adult</v>
      </c>
      <c r="M518">
        <v>0</v>
      </c>
      <c r="N518">
        <v>0</v>
      </c>
      <c r="O518">
        <f t="shared" si="44"/>
        <v>1</v>
      </c>
      <c r="P518" t="s">
        <v>18</v>
      </c>
      <c r="Q518" t="str">
        <f t="shared" si="40"/>
        <v>High</v>
      </c>
      <c r="R518" t="s">
        <v>1514</v>
      </c>
    </row>
    <row r="519" spans="1:18" x14ac:dyDescent="0.45">
      <c r="A519">
        <v>518</v>
      </c>
      <c r="B519">
        <v>0</v>
      </c>
      <c r="C519" t="str">
        <f t="shared" si="41"/>
        <v>Not Survived</v>
      </c>
      <c r="D519">
        <v>3</v>
      </c>
      <c r="E519" t="s">
        <v>851</v>
      </c>
      <c r="F519" t="s">
        <v>722</v>
      </c>
      <c r="G519" t="s">
        <v>478</v>
      </c>
      <c r="H519" t="s">
        <v>9</v>
      </c>
      <c r="I519" t="str">
        <f t="shared" si="42"/>
        <v>Male</v>
      </c>
      <c r="J519">
        <v>28</v>
      </c>
      <c r="K519" t="str">
        <f t="shared" si="43"/>
        <v>Adult</v>
      </c>
      <c r="L519" t="str" cm="1">
        <f t="array" ref="L519">_xlfn.IFS(J519&lt;13,"Child",J519&lt;18,"Teen",J519&lt;60,"Adult",J519&gt;60,"Old Age")</f>
        <v>Adult</v>
      </c>
      <c r="M519">
        <v>0</v>
      </c>
      <c r="N519">
        <v>0</v>
      </c>
      <c r="O519">
        <f t="shared" si="44"/>
        <v>1</v>
      </c>
      <c r="P519">
        <v>24.15</v>
      </c>
      <c r="Q519" t="str">
        <f t="shared" si="40"/>
        <v>High</v>
      </c>
      <c r="R519" t="s">
        <v>1516</v>
      </c>
    </row>
    <row r="520" spans="1:18" x14ac:dyDescent="0.45">
      <c r="A520">
        <v>519</v>
      </c>
      <c r="B520">
        <v>1</v>
      </c>
      <c r="C520" t="str">
        <f t="shared" si="41"/>
        <v>Survived</v>
      </c>
      <c r="D520">
        <v>2</v>
      </c>
      <c r="E520" t="s">
        <v>1206</v>
      </c>
      <c r="F520" t="s">
        <v>723</v>
      </c>
      <c r="G520" t="s">
        <v>479</v>
      </c>
      <c r="H520" t="s">
        <v>10</v>
      </c>
      <c r="I520" t="str">
        <f t="shared" si="42"/>
        <v>Female</v>
      </c>
      <c r="J520">
        <v>36</v>
      </c>
      <c r="K520" t="str">
        <f t="shared" si="43"/>
        <v>Adult</v>
      </c>
      <c r="L520" t="str" cm="1">
        <f t="array" ref="L520">_xlfn.IFS(J520&lt;13,"Child",J520&lt;18,"Teen",J520&lt;60,"Adult",J520&gt;60,"Old Age")</f>
        <v>Adult</v>
      </c>
      <c r="M520">
        <v>1</v>
      </c>
      <c r="N520">
        <v>0</v>
      </c>
      <c r="O520">
        <f t="shared" si="44"/>
        <v>2</v>
      </c>
      <c r="P520">
        <v>26</v>
      </c>
      <c r="Q520" t="str">
        <f t="shared" si="40"/>
        <v>High</v>
      </c>
      <c r="R520" t="s">
        <v>1514</v>
      </c>
    </row>
    <row r="521" spans="1:18" x14ac:dyDescent="0.45">
      <c r="A521">
        <v>520</v>
      </c>
      <c r="B521">
        <v>0</v>
      </c>
      <c r="C521" t="str">
        <f t="shared" si="41"/>
        <v>Not Survived</v>
      </c>
      <c r="D521">
        <v>3</v>
      </c>
      <c r="E521" t="s">
        <v>1207</v>
      </c>
      <c r="F521" t="s">
        <v>722</v>
      </c>
      <c r="G521" t="s">
        <v>480</v>
      </c>
      <c r="H521" t="s">
        <v>9</v>
      </c>
      <c r="I521" t="str">
        <f t="shared" si="42"/>
        <v>Male</v>
      </c>
      <c r="J521">
        <v>32</v>
      </c>
      <c r="K521" t="str">
        <f t="shared" si="43"/>
        <v>Adult</v>
      </c>
      <c r="L521" t="str" cm="1">
        <f t="array" ref="L521">_xlfn.IFS(J521&lt;13,"Child",J521&lt;18,"Teen",J521&lt;60,"Adult",J521&gt;60,"Old Age")</f>
        <v>Adult</v>
      </c>
      <c r="M521">
        <v>0</v>
      </c>
      <c r="N521">
        <v>0</v>
      </c>
      <c r="O521">
        <f t="shared" si="44"/>
        <v>1</v>
      </c>
      <c r="P521">
        <v>7.8958000000000004</v>
      </c>
      <c r="Q521" t="str">
        <f t="shared" si="40"/>
        <v>High</v>
      </c>
      <c r="R521" t="s">
        <v>1514</v>
      </c>
    </row>
    <row r="522" spans="1:18" x14ac:dyDescent="0.45">
      <c r="A522">
        <v>521</v>
      </c>
      <c r="B522">
        <v>1</v>
      </c>
      <c r="C522" t="str">
        <f t="shared" si="41"/>
        <v>Survived</v>
      </c>
      <c r="D522">
        <v>1</v>
      </c>
      <c r="E522" t="s">
        <v>1208</v>
      </c>
      <c r="F522" t="s">
        <v>724</v>
      </c>
      <c r="G522" t="s">
        <v>481</v>
      </c>
      <c r="H522" t="s">
        <v>10</v>
      </c>
      <c r="I522" t="str">
        <f t="shared" si="42"/>
        <v>Female</v>
      </c>
      <c r="J522">
        <v>30</v>
      </c>
      <c r="K522" t="str">
        <f t="shared" si="43"/>
        <v>Adult</v>
      </c>
      <c r="L522" t="str" cm="1">
        <f t="array" ref="L522">_xlfn.IFS(J522&lt;13,"Child",J522&lt;18,"Teen",J522&lt;60,"Adult",J522&gt;60,"Old Age")</f>
        <v>Adult</v>
      </c>
      <c r="M522">
        <v>0</v>
      </c>
      <c r="N522">
        <v>0</v>
      </c>
      <c r="O522">
        <f t="shared" si="44"/>
        <v>1</v>
      </c>
      <c r="P522">
        <v>93.5</v>
      </c>
      <c r="Q522" t="str">
        <f t="shared" si="40"/>
        <v>High</v>
      </c>
      <c r="R522" t="s">
        <v>1514</v>
      </c>
    </row>
    <row r="523" spans="1:18" x14ac:dyDescent="0.45">
      <c r="A523">
        <v>522</v>
      </c>
      <c r="B523">
        <v>0</v>
      </c>
      <c r="C523" t="str">
        <f t="shared" si="41"/>
        <v>Not Survived</v>
      </c>
      <c r="D523">
        <v>3</v>
      </c>
      <c r="E523" t="s">
        <v>1209</v>
      </c>
      <c r="F523" t="s">
        <v>722</v>
      </c>
      <c r="G523" t="s">
        <v>482</v>
      </c>
      <c r="H523" t="s">
        <v>9</v>
      </c>
      <c r="I523" t="str">
        <f t="shared" si="42"/>
        <v>Male</v>
      </c>
      <c r="J523">
        <v>22</v>
      </c>
      <c r="K523" t="str">
        <f t="shared" si="43"/>
        <v>Adult</v>
      </c>
      <c r="L523" t="str" cm="1">
        <f t="array" ref="L523">_xlfn.IFS(J523&lt;13,"Child",J523&lt;18,"Teen",J523&lt;60,"Adult",J523&gt;60,"Old Age")</f>
        <v>Adult</v>
      </c>
      <c r="M523">
        <v>0</v>
      </c>
      <c r="N523">
        <v>0</v>
      </c>
      <c r="O523">
        <f t="shared" si="44"/>
        <v>1</v>
      </c>
      <c r="P523">
        <v>7.8958000000000004</v>
      </c>
      <c r="Q523" t="str">
        <f t="shared" si="40"/>
        <v>High</v>
      </c>
      <c r="R523" t="s">
        <v>1514</v>
      </c>
    </row>
    <row r="524" spans="1:18" x14ac:dyDescent="0.45">
      <c r="A524">
        <v>523</v>
      </c>
      <c r="B524">
        <v>0</v>
      </c>
      <c r="C524" t="str">
        <f t="shared" si="41"/>
        <v>Not Survived</v>
      </c>
      <c r="D524">
        <v>3</v>
      </c>
      <c r="E524" t="s">
        <v>1210</v>
      </c>
      <c r="F524" t="s">
        <v>722</v>
      </c>
      <c r="G524" t="s">
        <v>483</v>
      </c>
      <c r="H524" t="s">
        <v>9</v>
      </c>
      <c r="I524" t="str">
        <f t="shared" si="42"/>
        <v>Male</v>
      </c>
      <c r="J524">
        <v>28</v>
      </c>
      <c r="K524" t="str">
        <f t="shared" si="43"/>
        <v>Adult</v>
      </c>
      <c r="L524" t="str" cm="1">
        <f t="array" ref="L524">_xlfn.IFS(J524&lt;13,"Child",J524&lt;18,"Teen",J524&lt;60,"Adult",J524&gt;60,"Old Age")</f>
        <v>Adult</v>
      </c>
      <c r="M524">
        <v>0</v>
      </c>
      <c r="N524">
        <v>0</v>
      </c>
      <c r="O524">
        <f t="shared" si="44"/>
        <v>1</v>
      </c>
      <c r="P524">
        <v>7.2249999999999996</v>
      </c>
      <c r="Q524" t="str">
        <f t="shared" si="40"/>
        <v>High</v>
      </c>
      <c r="R524" t="s">
        <v>1515</v>
      </c>
    </row>
    <row r="525" spans="1:18" x14ac:dyDescent="0.45">
      <c r="A525">
        <v>524</v>
      </c>
      <c r="B525">
        <v>1</v>
      </c>
      <c r="C525" t="str">
        <f t="shared" si="41"/>
        <v>Survived</v>
      </c>
      <c r="D525">
        <v>1</v>
      </c>
      <c r="E525" t="s">
        <v>1211</v>
      </c>
      <c r="F525" t="s">
        <v>723</v>
      </c>
      <c r="G525" t="s">
        <v>339</v>
      </c>
      <c r="H525" t="s">
        <v>10</v>
      </c>
      <c r="I525" t="str">
        <f t="shared" si="42"/>
        <v>Female</v>
      </c>
      <c r="J525">
        <v>44</v>
      </c>
      <c r="K525" t="str">
        <f t="shared" si="43"/>
        <v>Adult</v>
      </c>
      <c r="L525" t="str" cm="1">
        <f t="array" ref="L525">_xlfn.IFS(J525&lt;13,"Child",J525&lt;18,"Teen",J525&lt;60,"Adult",J525&gt;60,"Old Age")</f>
        <v>Adult</v>
      </c>
      <c r="M525">
        <v>0</v>
      </c>
      <c r="N525">
        <v>1</v>
      </c>
      <c r="O525">
        <f t="shared" si="44"/>
        <v>2</v>
      </c>
      <c r="P525">
        <v>57.979199999999999</v>
      </c>
      <c r="Q525" t="str">
        <f t="shared" si="40"/>
        <v>High</v>
      </c>
      <c r="R525" t="s">
        <v>1515</v>
      </c>
    </row>
    <row r="526" spans="1:18" x14ac:dyDescent="0.45">
      <c r="A526">
        <v>525</v>
      </c>
      <c r="B526">
        <v>0</v>
      </c>
      <c r="C526" t="str">
        <f t="shared" si="41"/>
        <v>Not Survived</v>
      </c>
      <c r="D526">
        <v>3</v>
      </c>
      <c r="E526" t="s">
        <v>1212</v>
      </c>
      <c r="F526" t="s">
        <v>722</v>
      </c>
      <c r="G526" t="s">
        <v>484</v>
      </c>
      <c r="H526" t="s">
        <v>9</v>
      </c>
      <c r="I526" t="str">
        <f t="shared" si="42"/>
        <v>Male</v>
      </c>
      <c r="J526">
        <v>28</v>
      </c>
      <c r="K526" t="str">
        <f t="shared" si="43"/>
        <v>Adult</v>
      </c>
      <c r="L526" t="str" cm="1">
        <f t="array" ref="L526">_xlfn.IFS(J526&lt;13,"Child",J526&lt;18,"Teen",J526&lt;60,"Adult",J526&gt;60,"Old Age")</f>
        <v>Adult</v>
      </c>
      <c r="M526">
        <v>0</v>
      </c>
      <c r="N526">
        <v>0</v>
      </c>
      <c r="O526">
        <f t="shared" si="44"/>
        <v>1</v>
      </c>
      <c r="P526">
        <v>7.2291999999999996</v>
      </c>
      <c r="Q526" t="str">
        <f t="shared" si="40"/>
        <v>High</v>
      </c>
      <c r="R526" t="s">
        <v>1515</v>
      </c>
    </row>
    <row r="527" spans="1:18" x14ac:dyDescent="0.45">
      <c r="A527">
        <v>526</v>
      </c>
      <c r="B527">
        <v>0</v>
      </c>
      <c r="C527" t="str">
        <f t="shared" si="41"/>
        <v>Not Survived</v>
      </c>
      <c r="D527">
        <v>3</v>
      </c>
      <c r="E527" t="s">
        <v>744</v>
      </c>
      <c r="F527" t="s">
        <v>722</v>
      </c>
      <c r="G527" t="s">
        <v>485</v>
      </c>
      <c r="H527" t="s">
        <v>9</v>
      </c>
      <c r="I527" t="str">
        <f t="shared" si="42"/>
        <v>Male</v>
      </c>
      <c r="J527">
        <v>40.5</v>
      </c>
      <c r="K527" t="str">
        <f t="shared" si="43"/>
        <v>Adult</v>
      </c>
      <c r="L527" t="str" cm="1">
        <f t="array" ref="L527">_xlfn.IFS(J527&lt;13,"Child",J527&lt;18,"Teen",J527&lt;60,"Adult",J527&gt;60,"Old Age")</f>
        <v>Adult</v>
      </c>
      <c r="M527">
        <v>0</v>
      </c>
      <c r="N527">
        <v>0</v>
      </c>
      <c r="O527">
        <f t="shared" si="44"/>
        <v>1</v>
      </c>
      <c r="P527">
        <v>7.75</v>
      </c>
      <c r="Q527" t="str">
        <f t="shared" si="40"/>
        <v>High</v>
      </c>
      <c r="R527" t="s">
        <v>1516</v>
      </c>
    </row>
    <row r="528" spans="1:18" x14ac:dyDescent="0.45">
      <c r="A528">
        <v>527</v>
      </c>
      <c r="B528">
        <v>1</v>
      </c>
      <c r="C528" t="str">
        <f t="shared" si="41"/>
        <v>Survived</v>
      </c>
      <c r="D528">
        <v>2</v>
      </c>
      <c r="E528" t="s">
        <v>1213</v>
      </c>
      <c r="F528" t="s">
        <v>724</v>
      </c>
      <c r="G528" t="s">
        <v>486</v>
      </c>
      <c r="H528" t="s">
        <v>10</v>
      </c>
      <c r="I528" t="str">
        <f t="shared" si="42"/>
        <v>Female</v>
      </c>
      <c r="J528">
        <v>50</v>
      </c>
      <c r="K528" t="str">
        <f t="shared" si="43"/>
        <v>Adult</v>
      </c>
      <c r="L528" t="str" cm="1">
        <f t="array" ref="L528">_xlfn.IFS(J528&lt;13,"Child",J528&lt;18,"Teen",J528&lt;60,"Adult",J528&gt;60,"Old Age")</f>
        <v>Adult</v>
      </c>
      <c r="M528">
        <v>0</v>
      </c>
      <c r="N528">
        <v>0</v>
      </c>
      <c r="O528">
        <f t="shared" si="44"/>
        <v>1</v>
      </c>
      <c r="P528" t="s">
        <v>18</v>
      </c>
      <c r="Q528" t="str">
        <f t="shared" si="40"/>
        <v>High</v>
      </c>
      <c r="R528" t="s">
        <v>1514</v>
      </c>
    </row>
    <row r="529" spans="1:18" x14ac:dyDescent="0.45">
      <c r="A529">
        <v>528</v>
      </c>
      <c r="B529">
        <v>0</v>
      </c>
      <c r="C529" t="str">
        <f t="shared" si="41"/>
        <v>Not Survived</v>
      </c>
      <c r="D529">
        <v>1</v>
      </c>
      <c r="E529" t="s">
        <v>920</v>
      </c>
      <c r="F529" t="s">
        <v>722</v>
      </c>
      <c r="G529" t="s">
        <v>487</v>
      </c>
      <c r="H529" t="s">
        <v>9</v>
      </c>
      <c r="I529" t="str">
        <f t="shared" si="42"/>
        <v>Male</v>
      </c>
      <c r="J529">
        <v>28</v>
      </c>
      <c r="K529" t="str">
        <f t="shared" si="43"/>
        <v>Adult</v>
      </c>
      <c r="L529" t="str" cm="1">
        <f t="array" ref="L529">_xlfn.IFS(J529&lt;13,"Child",J529&lt;18,"Teen",J529&lt;60,"Adult",J529&gt;60,"Old Age")</f>
        <v>Adult</v>
      </c>
      <c r="M529">
        <v>0</v>
      </c>
      <c r="N529">
        <v>0</v>
      </c>
      <c r="O529">
        <f t="shared" si="44"/>
        <v>1</v>
      </c>
      <c r="P529">
        <v>221.7792</v>
      </c>
      <c r="Q529" t="str">
        <f t="shared" si="40"/>
        <v>High</v>
      </c>
      <c r="R529" t="s">
        <v>1514</v>
      </c>
    </row>
    <row r="530" spans="1:18" x14ac:dyDescent="0.45">
      <c r="A530">
        <v>529</v>
      </c>
      <c r="B530">
        <v>0</v>
      </c>
      <c r="C530" t="str">
        <f t="shared" si="41"/>
        <v>Not Survived</v>
      </c>
      <c r="D530">
        <v>3</v>
      </c>
      <c r="E530" t="s">
        <v>1214</v>
      </c>
      <c r="F530" t="s">
        <v>722</v>
      </c>
      <c r="G530" t="s">
        <v>488</v>
      </c>
      <c r="H530" t="s">
        <v>9</v>
      </c>
      <c r="I530" t="str">
        <f t="shared" si="42"/>
        <v>Male</v>
      </c>
      <c r="J530">
        <v>39</v>
      </c>
      <c r="K530" t="str">
        <f t="shared" si="43"/>
        <v>Adult</v>
      </c>
      <c r="L530" t="str" cm="1">
        <f t="array" ref="L530">_xlfn.IFS(J530&lt;13,"Child",J530&lt;18,"Teen",J530&lt;60,"Adult",J530&gt;60,"Old Age")</f>
        <v>Adult</v>
      </c>
      <c r="M530">
        <v>0</v>
      </c>
      <c r="N530">
        <v>0</v>
      </c>
      <c r="O530">
        <f t="shared" si="44"/>
        <v>1</v>
      </c>
      <c r="P530">
        <v>7.9249999999999998</v>
      </c>
      <c r="Q530" t="str">
        <f t="shared" si="40"/>
        <v>High</v>
      </c>
      <c r="R530" t="s">
        <v>1514</v>
      </c>
    </row>
    <row r="531" spans="1:18" x14ac:dyDescent="0.45">
      <c r="A531">
        <v>530</v>
      </c>
      <c r="B531">
        <v>0</v>
      </c>
      <c r="C531" t="str">
        <f t="shared" si="41"/>
        <v>Not Survived</v>
      </c>
      <c r="D531">
        <v>2</v>
      </c>
      <c r="E531" t="s">
        <v>1215</v>
      </c>
      <c r="F531" t="s">
        <v>722</v>
      </c>
      <c r="G531" t="s">
        <v>489</v>
      </c>
      <c r="H531" t="s">
        <v>9</v>
      </c>
      <c r="I531" t="str">
        <f t="shared" si="42"/>
        <v>Male</v>
      </c>
      <c r="J531">
        <v>23</v>
      </c>
      <c r="K531" t="str">
        <f t="shared" si="43"/>
        <v>Adult</v>
      </c>
      <c r="L531" t="str" cm="1">
        <f t="array" ref="L531">_xlfn.IFS(J531&lt;13,"Child",J531&lt;18,"Teen",J531&lt;60,"Adult",J531&gt;60,"Old Age")</f>
        <v>Adult</v>
      </c>
      <c r="M531">
        <v>2</v>
      </c>
      <c r="N531">
        <v>1</v>
      </c>
      <c r="O531">
        <f t="shared" si="44"/>
        <v>4</v>
      </c>
      <c r="P531">
        <v>11.5</v>
      </c>
      <c r="Q531" t="str">
        <f t="shared" si="40"/>
        <v>High</v>
      </c>
      <c r="R531" t="s">
        <v>1514</v>
      </c>
    </row>
    <row r="532" spans="1:18" x14ac:dyDescent="0.45">
      <c r="A532">
        <v>531</v>
      </c>
      <c r="B532">
        <v>1</v>
      </c>
      <c r="C532" t="str">
        <f t="shared" si="41"/>
        <v>Survived</v>
      </c>
      <c r="D532">
        <v>2</v>
      </c>
      <c r="E532" t="s">
        <v>1216</v>
      </c>
      <c r="F532" t="s">
        <v>724</v>
      </c>
      <c r="G532" t="s">
        <v>469</v>
      </c>
      <c r="H532" t="s">
        <v>10</v>
      </c>
      <c r="I532" t="str">
        <f t="shared" si="42"/>
        <v>Female</v>
      </c>
      <c r="J532">
        <v>2</v>
      </c>
      <c r="K532" t="str">
        <f t="shared" si="43"/>
        <v>Child</v>
      </c>
      <c r="L532" t="str" cm="1">
        <f t="array" ref="L532">_xlfn.IFS(J532&lt;13,"Child",J532&lt;18,"Teen",J532&lt;60,"Adult",J532&gt;60,"Old Age")</f>
        <v>Child</v>
      </c>
      <c r="M532">
        <v>1</v>
      </c>
      <c r="N532">
        <v>1</v>
      </c>
      <c r="O532">
        <f t="shared" si="44"/>
        <v>3</v>
      </c>
      <c r="P532">
        <v>26</v>
      </c>
      <c r="Q532" t="str">
        <f t="shared" si="40"/>
        <v>High</v>
      </c>
      <c r="R532" t="s">
        <v>1514</v>
      </c>
    </row>
    <row r="533" spans="1:18" x14ac:dyDescent="0.45">
      <c r="A533">
        <v>532</v>
      </c>
      <c r="B533">
        <v>0</v>
      </c>
      <c r="C533" t="str">
        <f t="shared" si="41"/>
        <v>Not Survived</v>
      </c>
      <c r="D533">
        <v>3</v>
      </c>
      <c r="E533" t="s">
        <v>1217</v>
      </c>
      <c r="F533" t="s">
        <v>722</v>
      </c>
      <c r="G533" t="s">
        <v>490</v>
      </c>
      <c r="H533" t="s">
        <v>9</v>
      </c>
      <c r="I533" t="str">
        <f t="shared" si="42"/>
        <v>Male</v>
      </c>
      <c r="J533">
        <v>28</v>
      </c>
      <c r="K533" t="str">
        <f t="shared" si="43"/>
        <v>Adult</v>
      </c>
      <c r="L533" t="str" cm="1">
        <f t="array" ref="L533">_xlfn.IFS(J533&lt;13,"Child",J533&lt;18,"Teen",J533&lt;60,"Adult",J533&gt;60,"Old Age")</f>
        <v>Adult</v>
      </c>
      <c r="M533">
        <v>0</v>
      </c>
      <c r="N533">
        <v>0</v>
      </c>
      <c r="O533">
        <f t="shared" si="44"/>
        <v>1</v>
      </c>
      <c r="P533">
        <v>7.2291999999999996</v>
      </c>
      <c r="Q533" t="str">
        <f t="shared" si="40"/>
        <v>High</v>
      </c>
      <c r="R533" t="s">
        <v>1515</v>
      </c>
    </row>
    <row r="534" spans="1:18" x14ac:dyDescent="0.45">
      <c r="A534">
        <v>533</v>
      </c>
      <c r="B534">
        <v>0</v>
      </c>
      <c r="C534" t="str">
        <f t="shared" si="41"/>
        <v>Not Survived</v>
      </c>
      <c r="D534">
        <v>3</v>
      </c>
      <c r="E534" t="s">
        <v>1218</v>
      </c>
      <c r="F534" t="s">
        <v>722</v>
      </c>
      <c r="G534" t="s">
        <v>354</v>
      </c>
      <c r="H534" t="s">
        <v>9</v>
      </c>
      <c r="I534" t="str">
        <f t="shared" si="42"/>
        <v>Male</v>
      </c>
      <c r="J534">
        <v>17</v>
      </c>
      <c r="K534" t="str">
        <f t="shared" si="43"/>
        <v>Teen</v>
      </c>
      <c r="L534" t="str" cm="1">
        <f t="array" ref="L534">_xlfn.IFS(J534&lt;13,"Child",J534&lt;18,"Teen",J534&lt;60,"Adult",J534&gt;60,"Old Age")</f>
        <v>Teen</v>
      </c>
      <c r="M534">
        <v>1</v>
      </c>
      <c r="N534">
        <v>1</v>
      </c>
      <c r="O534">
        <f t="shared" si="44"/>
        <v>3</v>
      </c>
      <c r="P534">
        <v>7.2291999999999996</v>
      </c>
      <c r="Q534" t="str">
        <f t="shared" si="40"/>
        <v>High</v>
      </c>
      <c r="R534" t="s">
        <v>1515</v>
      </c>
    </row>
    <row r="535" spans="1:18" x14ac:dyDescent="0.45">
      <c r="A535">
        <v>534</v>
      </c>
      <c r="B535">
        <v>1</v>
      </c>
      <c r="C535" t="str">
        <f t="shared" si="41"/>
        <v>Survived</v>
      </c>
      <c r="D535">
        <v>3</v>
      </c>
      <c r="E535" t="s">
        <v>1219</v>
      </c>
      <c r="F535" t="s">
        <v>723</v>
      </c>
      <c r="G535" t="s">
        <v>172</v>
      </c>
      <c r="H535" t="s">
        <v>10</v>
      </c>
      <c r="I535" t="str">
        <f t="shared" si="42"/>
        <v>Female</v>
      </c>
      <c r="J535">
        <v>28</v>
      </c>
      <c r="K535" t="str">
        <f t="shared" si="43"/>
        <v>Adult</v>
      </c>
      <c r="L535" t="str" cm="1">
        <f t="array" ref="L535">_xlfn.IFS(J535&lt;13,"Child",J535&lt;18,"Teen",J535&lt;60,"Adult",J535&gt;60,"Old Age")</f>
        <v>Adult</v>
      </c>
      <c r="M535">
        <v>0</v>
      </c>
      <c r="N535">
        <v>2</v>
      </c>
      <c r="O535">
        <f t="shared" si="44"/>
        <v>3</v>
      </c>
      <c r="P535">
        <v>22.3583</v>
      </c>
      <c r="Q535" t="str">
        <f t="shared" si="40"/>
        <v>High</v>
      </c>
      <c r="R535" t="s">
        <v>1515</v>
      </c>
    </row>
    <row r="536" spans="1:18" x14ac:dyDescent="0.45">
      <c r="A536">
        <v>535</v>
      </c>
      <c r="B536">
        <v>0</v>
      </c>
      <c r="C536" t="str">
        <f t="shared" si="41"/>
        <v>Not Survived</v>
      </c>
      <c r="D536">
        <v>3</v>
      </c>
      <c r="E536" t="s">
        <v>1110</v>
      </c>
      <c r="F536" t="s">
        <v>724</v>
      </c>
      <c r="G536" t="s">
        <v>445</v>
      </c>
      <c r="H536" t="s">
        <v>10</v>
      </c>
      <c r="I536" t="str">
        <f t="shared" si="42"/>
        <v>Female</v>
      </c>
      <c r="J536">
        <v>30</v>
      </c>
      <c r="K536" t="str">
        <f t="shared" si="43"/>
        <v>Adult</v>
      </c>
      <c r="L536" t="str" cm="1">
        <f t="array" ref="L536">_xlfn.IFS(J536&lt;13,"Child",J536&lt;18,"Teen",J536&lt;60,"Adult",J536&gt;60,"Old Age")</f>
        <v>Adult</v>
      </c>
      <c r="M536">
        <v>0</v>
      </c>
      <c r="N536">
        <v>0</v>
      </c>
      <c r="O536">
        <f t="shared" si="44"/>
        <v>1</v>
      </c>
      <c r="P536">
        <v>8.6624999999999996</v>
      </c>
      <c r="Q536" t="str">
        <f t="shared" si="40"/>
        <v>High</v>
      </c>
      <c r="R536" t="s">
        <v>1514</v>
      </c>
    </row>
    <row r="537" spans="1:18" x14ac:dyDescent="0.45">
      <c r="A537">
        <v>536</v>
      </c>
      <c r="B537">
        <v>1</v>
      </c>
      <c r="C537" t="str">
        <f t="shared" si="41"/>
        <v>Survived</v>
      </c>
      <c r="D537">
        <v>2</v>
      </c>
      <c r="E537" t="s">
        <v>1220</v>
      </c>
      <c r="F537" t="s">
        <v>724</v>
      </c>
      <c r="G537" t="s">
        <v>328</v>
      </c>
      <c r="H537" t="s">
        <v>10</v>
      </c>
      <c r="I537" t="str">
        <f t="shared" si="42"/>
        <v>Female</v>
      </c>
      <c r="J537">
        <v>7</v>
      </c>
      <c r="K537" t="str">
        <f t="shared" si="43"/>
        <v>Child</v>
      </c>
      <c r="L537" t="str" cm="1">
        <f t="array" ref="L537">_xlfn.IFS(J537&lt;13,"Child",J537&lt;18,"Teen",J537&lt;60,"Adult",J537&gt;60,"Old Age")</f>
        <v>Child</v>
      </c>
      <c r="M537">
        <v>0</v>
      </c>
      <c r="N537">
        <v>2</v>
      </c>
      <c r="O537">
        <f t="shared" si="44"/>
        <v>3</v>
      </c>
      <c r="P537">
        <v>26.25</v>
      </c>
      <c r="Q537" t="str">
        <f t="shared" si="40"/>
        <v>High</v>
      </c>
      <c r="R537" t="s">
        <v>1514</v>
      </c>
    </row>
    <row r="538" spans="1:18" x14ac:dyDescent="0.45">
      <c r="A538">
        <v>537</v>
      </c>
      <c r="B538">
        <v>0</v>
      </c>
      <c r="C538" t="str">
        <f t="shared" si="41"/>
        <v>Not Survived</v>
      </c>
      <c r="D538">
        <v>1</v>
      </c>
      <c r="E538" t="s">
        <v>1221</v>
      </c>
      <c r="F538" t="s">
        <v>731</v>
      </c>
      <c r="G538" t="s">
        <v>491</v>
      </c>
      <c r="H538" t="s">
        <v>9</v>
      </c>
      <c r="I538" t="str">
        <f t="shared" si="42"/>
        <v>Male</v>
      </c>
      <c r="J538">
        <v>45</v>
      </c>
      <c r="K538" t="str">
        <f t="shared" si="43"/>
        <v>Adult</v>
      </c>
      <c r="L538" t="str" cm="1">
        <f t="array" ref="L538">_xlfn.IFS(J538&lt;13,"Child",J538&lt;18,"Teen",J538&lt;60,"Adult",J538&gt;60,"Old Age")</f>
        <v>Adult</v>
      </c>
      <c r="M538">
        <v>0</v>
      </c>
      <c r="N538">
        <v>0</v>
      </c>
      <c r="O538">
        <f t="shared" si="44"/>
        <v>1</v>
      </c>
      <c r="P538">
        <v>26.55</v>
      </c>
      <c r="Q538" t="str">
        <f t="shared" si="40"/>
        <v>High</v>
      </c>
      <c r="R538" t="s">
        <v>1514</v>
      </c>
    </row>
    <row r="539" spans="1:18" x14ac:dyDescent="0.45">
      <c r="A539">
        <v>538</v>
      </c>
      <c r="B539">
        <v>1</v>
      </c>
      <c r="C539" t="str">
        <f t="shared" si="41"/>
        <v>Survived</v>
      </c>
      <c r="D539">
        <v>1</v>
      </c>
      <c r="E539" t="s">
        <v>820</v>
      </c>
      <c r="F539" t="s">
        <v>724</v>
      </c>
      <c r="G539" t="s">
        <v>492</v>
      </c>
      <c r="H539" t="s">
        <v>10</v>
      </c>
      <c r="I539" t="str">
        <f t="shared" si="42"/>
        <v>Female</v>
      </c>
      <c r="J539">
        <v>30</v>
      </c>
      <c r="K539" t="str">
        <f t="shared" si="43"/>
        <v>Adult</v>
      </c>
      <c r="L539" t="str" cm="1">
        <f t="array" ref="L539">_xlfn.IFS(J539&lt;13,"Child",J539&lt;18,"Teen",J539&lt;60,"Adult",J539&gt;60,"Old Age")</f>
        <v>Adult</v>
      </c>
      <c r="M539">
        <v>0</v>
      </c>
      <c r="N539">
        <v>0</v>
      </c>
      <c r="O539">
        <f t="shared" si="44"/>
        <v>1</v>
      </c>
      <c r="P539" t="s">
        <v>42</v>
      </c>
      <c r="Q539" t="str">
        <f t="shared" si="40"/>
        <v>High</v>
      </c>
      <c r="R539" t="s">
        <v>1515</v>
      </c>
    </row>
    <row r="540" spans="1:18" x14ac:dyDescent="0.45">
      <c r="A540">
        <v>539</v>
      </c>
      <c r="B540">
        <v>0</v>
      </c>
      <c r="C540" t="str">
        <f t="shared" si="41"/>
        <v>Not Survived</v>
      </c>
      <c r="D540">
        <v>3</v>
      </c>
      <c r="E540" t="s">
        <v>1222</v>
      </c>
      <c r="F540" t="s">
        <v>722</v>
      </c>
      <c r="G540" t="s">
        <v>493</v>
      </c>
      <c r="H540" t="s">
        <v>9</v>
      </c>
      <c r="I540" t="str">
        <f t="shared" si="42"/>
        <v>Male</v>
      </c>
      <c r="J540">
        <v>28</v>
      </c>
      <c r="K540" t="str">
        <f t="shared" si="43"/>
        <v>Adult</v>
      </c>
      <c r="L540" t="str" cm="1">
        <f t="array" ref="L540">_xlfn.IFS(J540&lt;13,"Child",J540&lt;18,"Teen",J540&lt;60,"Adult",J540&gt;60,"Old Age")</f>
        <v>Adult</v>
      </c>
      <c r="M540">
        <v>0</v>
      </c>
      <c r="N540">
        <v>0</v>
      </c>
      <c r="O540">
        <f t="shared" si="44"/>
        <v>1</v>
      </c>
      <c r="P540">
        <v>14.5</v>
      </c>
      <c r="Q540" t="str">
        <f t="shared" si="40"/>
        <v>High</v>
      </c>
      <c r="R540" t="s">
        <v>1514</v>
      </c>
    </row>
    <row r="541" spans="1:18" x14ac:dyDescent="0.45">
      <c r="A541">
        <v>540</v>
      </c>
      <c r="B541">
        <v>1</v>
      </c>
      <c r="C541" t="str">
        <f t="shared" si="41"/>
        <v>Survived</v>
      </c>
      <c r="D541">
        <v>1</v>
      </c>
      <c r="E541" t="s">
        <v>1223</v>
      </c>
      <c r="F541" t="s">
        <v>724</v>
      </c>
      <c r="G541" t="s">
        <v>494</v>
      </c>
      <c r="H541" t="s">
        <v>10</v>
      </c>
      <c r="I541" t="str">
        <f t="shared" si="42"/>
        <v>Female</v>
      </c>
      <c r="J541">
        <v>22</v>
      </c>
      <c r="K541" t="str">
        <f t="shared" si="43"/>
        <v>Adult</v>
      </c>
      <c r="L541" t="str" cm="1">
        <f t="array" ref="L541">_xlfn.IFS(J541&lt;13,"Child",J541&lt;18,"Teen",J541&lt;60,"Adult",J541&gt;60,"Old Age")</f>
        <v>Adult</v>
      </c>
      <c r="M541">
        <v>0</v>
      </c>
      <c r="N541">
        <v>2</v>
      </c>
      <c r="O541">
        <f t="shared" si="44"/>
        <v>3</v>
      </c>
      <c r="P541">
        <v>49.5</v>
      </c>
      <c r="Q541" t="str">
        <f t="shared" si="40"/>
        <v>High</v>
      </c>
      <c r="R541" t="s">
        <v>1515</v>
      </c>
    </row>
    <row r="542" spans="1:18" x14ac:dyDescent="0.45">
      <c r="A542">
        <v>541</v>
      </c>
      <c r="B542">
        <v>1</v>
      </c>
      <c r="C542" t="str">
        <f t="shared" si="41"/>
        <v>Survived</v>
      </c>
      <c r="D542">
        <v>1</v>
      </c>
      <c r="E542" t="s">
        <v>1224</v>
      </c>
      <c r="F542" t="s">
        <v>724</v>
      </c>
      <c r="G542" t="s">
        <v>495</v>
      </c>
      <c r="H542" t="s">
        <v>10</v>
      </c>
      <c r="I542" t="str">
        <f t="shared" si="42"/>
        <v>Female</v>
      </c>
      <c r="J542">
        <v>36</v>
      </c>
      <c r="K542" t="str">
        <f t="shared" si="43"/>
        <v>Adult</v>
      </c>
      <c r="L542" t="str" cm="1">
        <f t="array" ref="L542">_xlfn.IFS(J542&lt;13,"Child",J542&lt;18,"Teen",J542&lt;60,"Adult",J542&gt;60,"Old Age")</f>
        <v>Adult</v>
      </c>
      <c r="M542">
        <v>0</v>
      </c>
      <c r="N542">
        <v>2</v>
      </c>
      <c r="O542">
        <f t="shared" si="44"/>
        <v>3</v>
      </c>
      <c r="P542">
        <v>71</v>
      </c>
      <c r="Q542" t="str">
        <f t="shared" si="40"/>
        <v>High</v>
      </c>
      <c r="R542" t="s">
        <v>1514</v>
      </c>
    </row>
    <row r="543" spans="1:18" x14ac:dyDescent="0.45">
      <c r="A543">
        <v>542</v>
      </c>
      <c r="B543">
        <v>0</v>
      </c>
      <c r="C543" t="str">
        <f t="shared" si="41"/>
        <v>Not Survived</v>
      </c>
      <c r="D543">
        <v>3</v>
      </c>
      <c r="E543" t="s">
        <v>1225</v>
      </c>
      <c r="F543" t="s">
        <v>724</v>
      </c>
      <c r="G543" t="s">
        <v>68</v>
      </c>
      <c r="H543" t="s">
        <v>10</v>
      </c>
      <c r="I543" t="str">
        <f t="shared" si="42"/>
        <v>Female</v>
      </c>
      <c r="J543">
        <v>9</v>
      </c>
      <c r="K543" t="str">
        <f t="shared" si="43"/>
        <v>Child</v>
      </c>
      <c r="L543" t="str" cm="1">
        <f t="array" ref="L543">_xlfn.IFS(J543&lt;13,"Child",J543&lt;18,"Teen",J543&lt;60,"Adult",J543&gt;60,"Old Age")</f>
        <v>Child</v>
      </c>
      <c r="M543">
        <v>4</v>
      </c>
      <c r="N543">
        <v>2</v>
      </c>
      <c r="O543">
        <f t="shared" si="44"/>
        <v>7</v>
      </c>
      <c r="P543">
        <v>31.274999999999999</v>
      </c>
      <c r="Q543" t="str">
        <f t="shared" si="40"/>
        <v>High</v>
      </c>
      <c r="R543" t="s">
        <v>1514</v>
      </c>
    </row>
    <row r="544" spans="1:18" x14ac:dyDescent="0.45">
      <c r="A544">
        <v>543</v>
      </c>
      <c r="B544">
        <v>0</v>
      </c>
      <c r="C544" t="str">
        <f t="shared" si="41"/>
        <v>Not Survived</v>
      </c>
      <c r="D544">
        <v>3</v>
      </c>
      <c r="E544" t="s">
        <v>1226</v>
      </c>
      <c r="F544" t="s">
        <v>724</v>
      </c>
      <c r="G544" t="s">
        <v>68</v>
      </c>
      <c r="H544" t="s">
        <v>10</v>
      </c>
      <c r="I544" t="str">
        <f t="shared" si="42"/>
        <v>Female</v>
      </c>
      <c r="J544">
        <v>11</v>
      </c>
      <c r="K544" t="str">
        <f t="shared" si="43"/>
        <v>Child</v>
      </c>
      <c r="L544" t="str" cm="1">
        <f t="array" ref="L544">_xlfn.IFS(J544&lt;13,"Child",J544&lt;18,"Teen",J544&lt;60,"Adult",J544&gt;60,"Old Age")</f>
        <v>Child</v>
      </c>
      <c r="M544">
        <v>4</v>
      </c>
      <c r="N544">
        <v>2</v>
      </c>
      <c r="O544">
        <f t="shared" si="44"/>
        <v>7</v>
      </c>
      <c r="P544">
        <v>31.274999999999999</v>
      </c>
      <c r="Q544" t="str">
        <f t="shared" si="40"/>
        <v>High</v>
      </c>
      <c r="R544" t="s">
        <v>1514</v>
      </c>
    </row>
    <row r="545" spans="1:18" x14ac:dyDescent="0.45">
      <c r="A545">
        <v>544</v>
      </c>
      <c r="B545">
        <v>1</v>
      </c>
      <c r="C545" t="str">
        <f t="shared" si="41"/>
        <v>Survived</v>
      </c>
      <c r="D545">
        <v>2</v>
      </c>
      <c r="E545" t="s">
        <v>1227</v>
      </c>
      <c r="F545" t="s">
        <v>722</v>
      </c>
      <c r="G545" t="s">
        <v>496</v>
      </c>
      <c r="H545" t="s">
        <v>9</v>
      </c>
      <c r="I545" t="str">
        <f t="shared" si="42"/>
        <v>Male</v>
      </c>
      <c r="J545">
        <v>32</v>
      </c>
      <c r="K545" t="str">
        <f t="shared" si="43"/>
        <v>Adult</v>
      </c>
      <c r="L545" t="str" cm="1">
        <f t="array" ref="L545">_xlfn.IFS(J545&lt;13,"Child",J545&lt;18,"Teen",J545&lt;60,"Adult",J545&gt;60,"Old Age")</f>
        <v>Adult</v>
      </c>
      <c r="M545">
        <v>1</v>
      </c>
      <c r="N545">
        <v>0</v>
      </c>
      <c r="O545">
        <f t="shared" si="44"/>
        <v>2</v>
      </c>
      <c r="P545">
        <v>26</v>
      </c>
      <c r="Q545" t="str">
        <f t="shared" si="40"/>
        <v>High</v>
      </c>
      <c r="R545" t="s">
        <v>1514</v>
      </c>
    </row>
    <row r="546" spans="1:18" x14ac:dyDescent="0.45">
      <c r="A546">
        <v>545</v>
      </c>
      <c r="B546">
        <v>0</v>
      </c>
      <c r="C546" t="str">
        <f t="shared" si="41"/>
        <v>Not Survived</v>
      </c>
      <c r="D546">
        <v>1</v>
      </c>
      <c r="E546" t="s">
        <v>1228</v>
      </c>
      <c r="F546" t="s">
        <v>722</v>
      </c>
      <c r="G546" t="s">
        <v>497</v>
      </c>
      <c r="H546" t="s">
        <v>9</v>
      </c>
      <c r="I546" t="str">
        <f t="shared" si="42"/>
        <v>Male</v>
      </c>
      <c r="J546">
        <v>50</v>
      </c>
      <c r="K546" t="str">
        <f t="shared" si="43"/>
        <v>Adult</v>
      </c>
      <c r="L546" t="str" cm="1">
        <f t="array" ref="L546">_xlfn.IFS(J546&lt;13,"Child",J546&lt;18,"Teen",J546&lt;60,"Adult",J546&gt;60,"Old Age")</f>
        <v>Adult</v>
      </c>
      <c r="M546">
        <v>1</v>
      </c>
      <c r="N546">
        <v>0</v>
      </c>
      <c r="O546">
        <f t="shared" si="44"/>
        <v>2</v>
      </c>
      <c r="P546" t="s">
        <v>42</v>
      </c>
      <c r="Q546" t="str">
        <f t="shared" si="40"/>
        <v>High</v>
      </c>
      <c r="R546" t="s">
        <v>1515</v>
      </c>
    </row>
    <row r="547" spans="1:18" x14ac:dyDescent="0.45">
      <c r="A547">
        <v>546</v>
      </c>
      <c r="B547">
        <v>0</v>
      </c>
      <c r="C547" t="str">
        <f t="shared" si="41"/>
        <v>Not Survived</v>
      </c>
      <c r="D547">
        <v>1</v>
      </c>
      <c r="E547" t="s">
        <v>1229</v>
      </c>
      <c r="F547" t="s">
        <v>722</v>
      </c>
      <c r="G547" t="s">
        <v>498</v>
      </c>
      <c r="H547" t="s">
        <v>9</v>
      </c>
      <c r="I547" t="str">
        <f t="shared" si="42"/>
        <v>Male</v>
      </c>
      <c r="J547">
        <v>64</v>
      </c>
      <c r="K547" t="str">
        <f t="shared" si="43"/>
        <v>Old Age</v>
      </c>
      <c r="L547" t="str" cm="1">
        <f t="array" ref="L547">_xlfn.IFS(J547&lt;13,"Child",J547&lt;18,"Teen",J547&lt;60,"Adult",J547&gt;60,"Old Age")</f>
        <v>Old Age</v>
      </c>
      <c r="M547">
        <v>0</v>
      </c>
      <c r="N547">
        <v>0</v>
      </c>
      <c r="O547">
        <f t="shared" si="44"/>
        <v>1</v>
      </c>
      <c r="P547">
        <v>26</v>
      </c>
      <c r="Q547" t="str">
        <f t="shared" si="40"/>
        <v>High</v>
      </c>
      <c r="R547" t="s">
        <v>1514</v>
      </c>
    </row>
    <row r="548" spans="1:18" x14ac:dyDescent="0.45">
      <c r="A548">
        <v>547</v>
      </c>
      <c r="B548">
        <v>1</v>
      </c>
      <c r="C548" t="str">
        <f t="shared" si="41"/>
        <v>Survived</v>
      </c>
      <c r="D548">
        <v>2</v>
      </c>
      <c r="E548" t="s">
        <v>1230</v>
      </c>
      <c r="F548" t="s">
        <v>723</v>
      </c>
      <c r="G548" t="s">
        <v>496</v>
      </c>
      <c r="H548" t="s">
        <v>10</v>
      </c>
      <c r="I548" t="str">
        <f t="shared" si="42"/>
        <v>Female</v>
      </c>
      <c r="J548">
        <v>19</v>
      </c>
      <c r="K548" t="str">
        <f t="shared" si="43"/>
        <v>Adult</v>
      </c>
      <c r="L548" t="str" cm="1">
        <f t="array" ref="L548">_xlfn.IFS(J548&lt;13,"Child",J548&lt;18,"Teen",J548&lt;60,"Adult",J548&gt;60,"Old Age")</f>
        <v>Adult</v>
      </c>
      <c r="M548">
        <v>1</v>
      </c>
      <c r="N548">
        <v>0</v>
      </c>
      <c r="O548">
        <f t="shared" si="44"/>
        <v>2</v>
      </c>
      <c r="P548">
        <v>26</v>
      </c>
      <c r="Q548" t="str">
        <f t="shared" si="40"/>
        <v>High</v>
      </c>
      <c r="R548" t="s">
        <v>1514</v>
      </c>
    </row>
    <row r="549" spans="1:18" x14ac:dyDescent="0.45">
      <c r="A549">
        <v>548</v>
      </c>
      <c r="B549">
        <v>1</v>
      </c>
      <c r="C549" t="str">
        <f t="shared" si="41"/>
        <v>Survived</v>
      </c>
      <c r="D549">
        <v>2</v>
      </c>
      <c r="E549" t="s">
        <v>1231</v>
      </c>
      <c r="F549" t="s">
        <v>722</v>
      </c>
      <c r="G549" t="s">
        <v>499</v>
      </c>
      <c r="H549" t="s">
        <v>9</v>
      </c>
      <c r="I549" t="str">
        <f t="shared" si="42"/>
        <v>Male</v>
      </c>
      <c r="J549">
        <v>28</v>
      </c>
      <c r="K549" t="str">
        <f t="shared" si="43"/>
        <v>Adult</v>
      </c>
      <c r="L549" t="str" cm="1">
        <f t="array" ref="L549">_xlfn.IFS(J549&lt;13,"Child",J549&lt;18,"Teen",J549&lt;60,"Adult",J549&gt;60,"Old Age")</f>
        <v>Adult</v>
      </c>
      <c r="M549">
        <v>0</v>
      </c>
      <c r="N549">
        <v>0</v>
      </c>
      <c r="O549">
        <f t="shared" si="44"/>
        <v>1</v>
      </c>
      <c r="P549">
        <v>13.862500000000001</v>
      </c>
      <c r="Q549" t="str">
        <f t="shared" si="40"/>
        <v>High</v>
      </c>
      <c r="R549" t="s">
        <v>1515</v>
      </c>
    </row>
    <row r="550" spans="1:18" x14ac:dyDescent="0.45">
      <c r="A550">
        <v>549</v>
      </c>
      <c r="B550">
        <v>0</v>
      </c>
      <c r="C550" t="str">
        <f t="shared" si="41"/>
        <v>Not Survived</v>
      </c>
      <c r="D550">
        <v>3</v>
      </c>
      <c r="E550" t="s">
        <v>1232</v>
      </c>
      <c r="F550" t="s">
        <v>722</v>
      </c>
      <c r="G550" t="s">
        <v>204</v>
      </c>
      <c r="H550" t="s">
        <v>9</v>
      </c>
      <c r="I550" t="str">
        <f t="shared" si="42"/>
        <v>Male</v>
      </c>
      <c r="J550">
        <v>33</v>
      </c>
      <c r="K550" t="str">
        <f t="shared" si="43"/>
        <v>Adult</v>
      </c>
      <c r="L550" t="str" cm="1">
        <f t="array" ref="L550">_xlfn.IFS(J550&lt;13,"Child",J550&lt;18,"Teen",J550&lt;60,"Adult",J550&gt;60,"Old Age")</f>
        <v>Adult</v>
      </c>
      <c r="M550">
        <v>1</v>
      </c>
      <c r="N550">
        <v>1</v>
      </c>
      <c r="O550">
        <f t="shared" si="44"/>
        <v>3</v>
      </c>
      <c r="P550" t="s">
        <v>24</v>
      </c>
      <c r="Q550" t="str">
        <f t="shared" si="40"/>
        <v>High</v>
      </c>
      <c r="R550" t="s">
        <v>1514</v>
      </c>
    </row>
    <row r="551" spans="1:18" x14ac:dyDescent="0.45">
      <c r="A551">
        <v>550</v>
      </c>
      <c r="B551">
        <v>1</v>
      </c>
      <c r="C551" t="str">
        <f t="shared" si="41"/>
        <v>Survived</v>
      </c>
      <c r="D551">
        <v>2</v>
      </c>
      <c r="E551" t="s">
        <v>1233</v>
      </c>
      <c r="F551" t="s">
        <v>725</v>
      </c>
      <c r="G551" t="s">
        <v>380</v>
      </c>
      <c r="H551" t="s">
        <v>9</v>
      </c>
      <c r="I551" t="str">
        <f t="shared" si="42"/>
        <v>Male</v>
      </c>
      <c r="J551">
        <v>8</v>
      </c>
      <c r="K551" t="str">
        <f t="shared" si="43"/>
        <v>Child</v>
      </c>
      <c r="L551" t="str" cm="1">
        <f t="array" ref="L551">_xlfn.IFS(J551&lt;13,"Child",J551&lt;18,"Teen",J551&lt;60,"Adult",J551&gt;60,"Old Age")</f>
        <v>Child</v>
      </c>
      <c r="M551">
        <v>1</v>
      </c>
      <c r="N551">
        <v>1</v>
      </c>
      <c r="O551">
        <f t="shared" si="44"/>
        <v>3</v>
      </c>
      <c r="P551">
        <v>36.75</v>
      </c>
      <c r="Q551" t="str">
        <f t="shared" si="40"/>
        <v>High</v>
      </c>
      <c r="R551" t="s">
        <v>1514</v>
      </c>
    </row>
    <row r="552" spans="1:18" x14ac:dyDescent="0.45">
      <c r="A552">
        <v>551</v>
      </c>
      <c r="B552">
        <v>1</v>
      </c>
      <c r="C552" t="str">
        <f t="shared" si="41"/>
        <v>Survived</v>
      </c>
      <c r="D552">
        <v>1</v>
      </c>
      <c r="E552" t="s">
        <v>1234</v>
      </c>
      <c r="F552" t="s">
        <v>722</v>
      </c>
      <c r="G552" t="s">
        <v>500</v>
      </c>
      <c r="H552" t="s">
        <v>9</v>
      </c>
      <c r="I552" t="str">
        <f t="shared" si="42"/>
        <v>Male</v>
      </c>
      <c r="J552">
        <v>17</v>
      </c>
      <c r="K552" t="str">
        <f t="shared" si="43"/>
        <v>Teen</v>
      </c>
      <c r="L552" t="str" cm="1">
        <f t="array" ref="L552">_xlfn.IFS(J552&lt;13,"Child",J552&lt;18,"Teen",J552&lt;60,"Adult",J552&gt;60,"Old Age")</f>
        <v>Teen</v>
      </c>
      <c r="M552">
        <v>0</v>
      </c>
      <c r="N552">
        <v>2</v>
      </c>
      <c r="O552">
        <f t="shared" si="44"/>
        <v>3</v>
      </c>
      <c r="P552" t="s">
        <v>34</v>
      </c>
      <c r="Q552" t="str">
        <f t="shared" si="40"/>
        <v>High</v>
      </c>
      <c r="R552" t="s">
        <v>1515</v>
      </c>
    </row>
    <row r="553" spans="1:18" x14ac:dyDescent="0.45">
      <c r="A553">
        <v>552</v>
      </c>
      <c r="B553">
        <v>0</v>
      </c>
      <c r="C553" t="str">
        <f t="shared" si="41"/>
        <v>Not Survived</v>
      </c>
      <c r="D553">
        <v>2</v>
      </c>
      <c r="E553" t="s">
        <v>1235</v>
      </c>
      <c r="F553" t="s">
        <v>722</v>
      </c>
      <c r="G553" t="s">
        <v>501</v>
      </c>
      <c r="H553" t="s">
        <v>9</v>
      </c>
      <c r="I553" t="str">
        <f t="shared" si="42"/>
        <v>Male</v>
      </c>
      <c r="J553">
        <v>27</v>
      </c>
      <c r="K553" t="str">
        <f t="shared" si="43"/>
        <v>Adult</v>
      </c>
      <c r="L553" t="str" cm="1">
        <f t="array" ref="L553">_xlfn.IFS(J553&lt;13,"Child",J553&lt;18,"Teen",J553&lt;60,"Adult",J553&gt;60,"Old Age")</f>
        <v>Adult</v>
      </c>
      <c r="M553">
        <v>0</v>
      </c>
      <c r="N553">
        <v>0</v>
      </c>
      <c r="O553">
        <f t="shared" si="44"/>
        <v>1</v>
      </c>
      <c r="P553">
        <v>26</v>
      </c>
      <c r="Q553" t="str">
        <f t="shared" si="40"/>
        <v>High</v>
      </c>
      <c r="R553" t="s">
        <v>1514</v>
      </c>
    </row>
    <row r="554" spans="1:18" x14ac:dyDescent="0.45">
      <c r="A554">
        <v>553</v>
      </c>
      <c r="B554">
        <v>0</v>
      </c>
      <c r="C554" t="str">
        <f t="shared" si="41"/>
        <v>Not Survived</v>
      </c>
      <c r="D554">
        <v>3</v>
      </c>
      <c r="E554" t="s">
        <v>1236</v>
      </c>
      <c r="F554" t="s">
        <v>722</v>
      </c>
      <c r="G554" t="s">
        <v>220</v>
      </c>
      <c r="H554" t="s">
        <v>9</v>
      </c>
      <c r="I554" t="str">
        <f t="shared" si="42"/>
        <v>Male</v>
      </c>
      <c r="J554">
        <v>28</v>
      </c>
      <c r="K554" t="str">
        <f t="shared" si="43"/>
        <v>Adult</v>
      </c>
      <c r="L554" t="str" cm="1">
        <f t="array" ref="L554">_xlfn.IFS(J554&lt;13,"Child",J554&lt;18,"Teen",J554&lt;60,"Adult",J554&gt;60,"Old Age")</f>
        <v>Adult</v>
      </c>
      <c r="M554">
        <v>0</v>
      </c>
      <c r="N554">
        <v>0</v>
      </c>
      <c r="O554">
        <f t="shared" si="44"/>
        <v>1</v>
      </c>
      <c r="P554">
        <v>7.8292000000000002</v>
      </c>
      <c r="Q554" t="str">
        <f t="shared" si="40"/>
        <v>High</v>
      </c>
      <c r="R554" t="s">
        <v>1516</v>
      </c>
    </row>
    <row r="555" spans="1:18" x14ac:dyDescent="0.45">
      <c r="A555">
        <v>554</v>
      </c>
      <c r="B555">
        <v>1</v>
      </c>
      <c r="C555" t="str">
        <f t="shared" si="41"/>
        <v>Survived</v>
      </c>
      <c r="D555">
        <v>3</v>
      </c>
      <c r="E555" t="s">
        <v>1237</v>
      </c>
      <c r="F555" t="s">
        <v>722</v>
      </c>
      <c r="G555" t="s">
        <v>502</v>
      </c>
      <c r="H555" t="s">
        <v>9</v>
      </c>
      <c r="I555" t="str">
        <f t="shared" si="42"/>
        <v>Male</v>
      </c>
      <c r="J555">
        <v>22</v>
      </c>
      <c r="K555" t="str">
        <f t="shared" si="43"/>
        <v>Adult</v>
      </c>
      <c r="L555" t="str" cm="1">
        <f t="array" ref="L555">_xlfn.IFS(J555&lt;13,"Child",J555&lt;18,"Teen",J555&lt;60,"Adult",J555&gt;60,"Old Age")</f>
        <v>Adult</v>
      </c>
      <c r="M555">
        <v>0</v>
      </c>
      <c r="N555">
        <v>0</v>
      </c>
      <c r="O555">
        <f t="shared" si="44"/>
        <v>1</v>
      </c>
      <c r="P555">
        <v>7.2249999999999996</v>
      </c>
      <c r="Q555" t="str">
        <f t="shared" si="40"/>
        <v>High</v>
      </c>
      <c r="R555" t="s">
        <v>1515</v>
      </c>
    </row>
    <row r="556" spans="1:18" x14ac:dyDescent="0.45">
      <c r="A556">
        <v>555</v>
      </c>
      <c r="B556">
        <v>1</v>
      </c>
      <c r="C556" t="str">
        <f t="shared" si="41"/>
        <v>Survived</v>
      </c>
      <c r="D556">
        <v>3</v>
      </c>
      <c r="E556" t="s">
        <v>1238</v>
      </c>
      <c r="F556" t="s">
        <v>724</v>
      </c>
      <c r="G556" t="s">
        <v>503</v>
      </c>
      <c r="H556" t="s">
        <v>10</v>
      </c>
      <c r="I556" t="str">
        <f t="shared" si="42"/>
        <v>Female</v>
      </c>
      <c r="J556">
        <v>22</v>
      </c>
      <c r="K556" t="str">
        <f t="shared" si="43"/>
        <v>Adult</v>
      </c>
      <c r="L556" t="str" cm="1">
        <f t="array" ref="L556">_xlfn.IFS(J556&lt;13,"Child",J556&lt;18,"Teen",J556&lt;60,"Adult",J556&gt;60,"Old Age")</f>
        <v>Adult</v>
      </c>
      <c r="M556">
        <v>0</v>
      </c>
      <c r="N556">
        <v>0</v>
      </c>
      <c r="O556">
        <f t="shared" si="44"/>
        <v>1</v>
      </c>
      <c r="P556">
        <v>7.7750000000000004</v>
      </c>
      <c r="Q556" t="str">
        <f t="shared" si="40"/>
        <v>High</v>
      </c>
      <c r="R556" t="s">
        <v>1514</v>
      </c>
    </row>
    <row r="557" spans="1:18" x14ac:dyDescent="0.45">
      <c r="A557">
        <v>556</v>
      </c>
      <c r="B557">
        <v>0</v>
      </c>
      <c r="C557" t="str">
        <f t="shared" si="41"/>
        <v>Not Survived</v>
      </c>
      <c r="D557">
        <v>1</v>
      </c>
      <c r="E557" t="s">
        <v>1239</v>
      </c>
      <c r="F557" t="s">
        <v>722</v>
      </c>
      <c r="G557" t="s">
        <v>504</v>
      </c>
      <c r="H557" t="s">
        <v>9</v>
      </c>
      <c r="I557" t="str">
        <f t="shared" si="42"/>
        <v>Male</v>
      </c>
      <c r="J557">
        <v>62</v>
      </c>
      <c r="K557" t="str">
        <f t="shared" si="43"/>
        <v>Old Age</v>
      </c>
      <c r="L557" t="str" cm="1">
        <f t="array" ref="L557">_xlfn.IFS(J557&lt;13,"Child",J557&lt;18,"Teen",J557&lt;60,"Adult",J557&gt;60,"Old Age")</f>
        <v>Old Age</v>
      </c>
      <c r="M557">
        <v>0</v>
      </c>
      <c r="N557">
        <v>0</v>
      </c>
      <c r="O557">
        <f t="shared" si="44"/>
        <v>1</v>
      </c>
      <c r="P557">
        <v>26.55</v>
      </c>
      <c r="Q557" t="str">
        <f t="shared" si="40"/>
        <v>High</v>
      </c>
      <c r="R557" t="s">
        <v>1514</v>
      </c>
    </row>
    <row r="558" spans="1:18" x14ac:dyDescent="0.45">
      <c r="A558">
        <v>557</v>
      </c>
      <c r="B558">
        <v>1</v>
      </c>
      <c r="C558" t="str">
        <f t="shared" si="41"/>
        <v>Survived</v>
      </c>
      <c r="D558">
        <v>1</v>
      </c>
      <c r="E558" t="s">
        <v>753</v>
      </c>
      <c r="F558" t="s">
        <v>732</v>
      </c>
      <c r="G558" t="s">
        <v>505</v>
      </c>
      <c r="H558" t="s">
        <v>10</v>
      </c>
      <c r="I558" t="str">
        <f t="shared" si="42"/>
        <v>Female</v>
      </c>
      <c r="J558">
        <v>48</v>
      </c>
      <c r="K558" t="str">
        <f t="shared" si="43"/>
        <v>Adult</v>
      </c>
      <c r="L558" t="str" cm="1">
        <f t="array" ref="L558">_xlfn.IFS(J558&lt;13,"Child",J558&lt;18,"Teen",J558&lt;60,"Adult",J558&gt;60,"Old Age")</f>
        <v>Adult</v>
      </c>
      <c r="M558">
        <v>1</v>
      </c>
      <c r="N558">
        <v>0</v>
      </c>
      <c r="O558">
        <f t="shared" si="44"/>
        <v>2</v>
      </c>
      <c r="P558">
        <v>39.6</v>
      </c>
      <c r="Q558" t="str">
        <f t="shared" si="40"/>
        <v>High</v>
      </c>
      <c r="R558" t="s">
        <v>1515</v>
      </c>
    </row>
    <row r="559" spans="1:18" x14ac:dyDescent="0.45">
      <c r="A559">
        <v>558</v>
      </c>
      <c r="B559">
        <v>0</v>
      </c>
      <c r="C559" t="str">
        <f t="shared" si="41"/>
        <v>Not Survived</v>
      </c>
      <c r="D559">
        <v>1</v>
      </c>
      <c r="E559" t="s">
        <v>874</v>
      </c>
      <c r="F559" t="s">
        <v>722</v>
      </c>
      <c r="G559" t="s">
        <v>506</v>
      </c>
      <c r="H559" t="s">
        <v>9</v>
      </c>
      <c r="I559" t="str">
        <f t="shared" si="42"/>
        <v>Male</v>
      </c>
      <c r="J559">
        <v>28</v>
      </c>
      <c r="K559" t="str">
        <f t="shared" si="43"/>
        <v>Adult</v>
      </c>
      <c r="L559" t="str" cm="1">
        <f t="array" ref="L559">_xlfn.IFS(J559&lt;13,"Child",J559&lt;18,"Teen",J559&lt;60,"Adult",J559&gt;60,"Old Age")</f>
        <v>Adult</v>
      </c>
      <c r="M559">
        <v>0</v>
      </c>
      <c r="N559">
        <v>0</v>
      </c>
      <c r="O559">
        <f t="shared" si="44"/>
        <v>1</v>
      </c>
      <c r="P559">
        <v>227.52500000000001</v>
      </c>
      <c r="Q559" t="str">
        <f t="shared" si="40"/>
        <v>High</v>
      </c>
      <c r="R559" t="s">
        <v>1515</v>
      </c>
    </row>
    <row r="560" spans="1:18" x14ac:dyDescent="0.45">
      <c r="A560">
        <v>559</v>
      </c>
      <c r="B560">
        <v>1</v>
      </c>
      <c r="C560" t="str">
        <f t="shared" si="41"/>
        <v>Survived</v>
      </c>
      <c r="D560">
        <v>1</v>
      </c>
      <c r="E560" t="s">
        <v>1240</v>
      </c>
      <c r="F560" t="s">
        <v>723</v>
      </c>
      <c r="G560" t="s">
        <v>283</v>
      </c>
      <c r="H560" t="s">
        <v>10</v>
      </c>
      <c r="I560" t="str">
        <f t="shared" si="42"/>
        <v>Female</v>
      </c>
      <c r="J560">
        <v>39</v>
      </c>
      <c r="K560" t="str">
        <f t="shared" si="43"/>
        <v>Adult</v>
      </c>
      <c r="L560" t="str" cm="1">
        <f t="array" ref="L560">_xlfn.IFS(J560&lt;13,"Child",J560&lt;18,"Teen",J560&lt;60,"Adult",J560&gt;60,"Old Age")</f>
        <v>Adult</v>
      </c>
      <c r="M560">
        <v>1</v>
      </c>
      <c r="N560">
        <v>1</v>
      </c>
      <c r="O560">
        <f t="shared" si="44"/>
        <v>3</v>
      </c>
      <c r="P560">
        <v>79.650000000000006</v>
      </c>
      <c r="Q560" t="str">
        <f t="shared" si="40"/>
        <v>High</v>
      </c>
      <c r="R560" t="s">
        <v>1514</v>
      </c>
    </row>
    <row r="561" spans="1:18" x14ac:dyDescent="0.45">
      <c r="A561">
        <v>560</v>
      </c>
      <c r="B561">
        <v>1</v>
      </c>
      <c r="C561" t="str">
        <f t="shared" si="41"/>
        <v>Survived</v>
      </c>
      <c r="D561">
        <v>3</v>
      </c>
      <c r="E561" t="s">
        <v>1241</v>
      </c>
      <c r="F561" t="s">
        <v>723</v>
      </c>
      <c r="G561" t="s">
        <v>507</v>
      </c>
      <c r="H561" t="s">
        <v>10</v>
      </c>
      <c r="I561" t="str">
        <f t="shared" si="42"/>
        <v>Female</v>
      </c>
      <c r="J561">
        <v>36</v>
      </c>
      <c r="K561" t="str">
        <f t="shared" si="43"/>
        <v>Adult</v>
      </c>
      <c r="L561" t="str" cm="1">
        <f t="array" ref="L561">_xlfn.IFS(J561&lt;13,"Child",J561&lt;18,"Teen",J561&lt;60,"Adult",J561&gt;60,"Old Age")</f>
        <v>Adult</v>
      </c>
      <c r="M561">
        <v>1</v>
      </c>
      <c r="N561">
        <v>0</v>
      </c>
      <c r="O561">
        <f t="shared" si="44"/>
        <v>2</v>
      </c>
      <c r="P561">
        <v>17.399999999999999</v>
      </c>
      <c r="Q561" t="str">
        <f t="shared" si="40"/>
        <v>High</v>
      </c>
      <c r="R561" t="s">
        <v>1514</v>
      </c>
    </row>
    <row r="562" spans="1:18" x14ac:dyDescent="0.45">
      <c r="A562">
        <v>561</v>
      </c>
      <c r="B562">
        <v>0</v>
      </c>
      <c r="C562" t="str">
        <f t="shared" si="41"/>
        <v>Not Survived</v>
      </c>
      <c r="D562">
        <v>3</v>
      </c>
      <c r="E562" t="s">
        <v>1242</v>
      </c>
      <c r="F562" t="s">
        <v>722</v>
      </c>
      <c r="G562" t="s">
        <v>508</v>
      </c>
      <c r="H562" t="s">
        <v>9</v>
      </c>
      <c r="I562" t="str">
        <f t="shared" si="42"/>
        <v>Male</v>
      </c>
      <c r="J562">
        <v>28</v>
      </c>
      <c r="K562" t="str">
        <f t="shared" si="43"/>
        <v>Adult</v>
      </c>
      <c r="L562" t="str" cm="1">
        <f t="array" ref="L562">_xlfn.IFS(J562&lt;13,"Child",J562&lt;18,"Teen",J562&lt;60,"Adult",J562&gt;60,"Old Age")</f>
        <v>Adult</v>
      </c>
      <c r="M562">
        <v>0</v>
      </c>
      <c r="N562">
        <v>0</v>
      </c>
      <c r="O562">
        <f t="shared" si="44"/>
        <v>1</v>
      </c>
      <c r="P562">
        <v>7.75</v>
      </c>
      <c r="Q562" t="str">
        <f t="shared" si="40"/>
        <v>High</v>
      </c>
      <c r="R562" t="s">
        <v>1516</v>
      </c>
    </row>
    <row r="563" spans="1:18" x14ac:dyDescent="0.45">
      <c r="A563">
        <v>562</v>
      </c>
      <c r="B563">
        <v>0</v>
      </c>
      <c r="C563" t="str">
        <f t="shared" si="41"/>
        <v>Not Survived</v>
      </c>
      <c r="D563">
        <v>3</v>
      </c>
      <c r="E563" t="s">
        <v>1243</v>
      </c>
      <c r="F563" t="s">
        <v>722</v>
      </c>
      <c r="G563" t="s">
        <v>509</v>
      </c>
      <c r="H563" t="s">
        <v>9</v>
      </c>
      <c r="I563" t="str">
        <f t="shared" si="42"/>
        <v>Male</v>
      </c>
      <c r="J563">
        <v>40</v>
      </c>
      <c r="K563" t="str">
        <f t="shared" si="43"/>
        <v>Adult</v>
      </c>
      <c r="L563" t="str" cm="1">
        <f t="array" ref="L563">_xlfn.IFS(J563&lt;13,"Child",J563&lt;18,"Teen",J563&lt;60,"Adult",J563&gt;60,"Old Age")</f>
        <v>Adult</v>
      </c>
      <c r="M563">
        <v>0</v>
      </c>
      <c r="N563">
        <v>0</v>
      </c>
      <c r="O563">
        <f t="shared" si="44"/>
        <v>1</v>
      </c>
      <c r="P563">
        <v>7.8958000000000004</v>
      </c>
      <c r="Q563" t="str">
        <f t="shared" si="40"/>
        <v>High</v>
      </c>
      <c r="R563" t="s">
        <v>1514</v>
      </c>
    </row>
    <row r="564" spans="1:18" x14ac:dyDescent="0.45">
      <c r="A564">
        <v>563</v>
      </c>
      <c r="B564">
        <v>0</v>
      </c>
      <c r="C564" t="str">
        <f t="shared" si="41"/>
        <v>Not Survived</v>
      </c>
      <c r="D564">
        <v>2</v>
      </c>
      <c r="E564" t="s">
        <v>1244</v>
      </c>
      <c r="F564" t="s">
        <v>722</v>
      </c>
      <c r="G564" t="s">
        <v>510</v>
      </c>
      <c r="H564" t="s">
        <v>9</v>
      </c>
      <c r="I564" t="str">
        <f t="shared" si="42"/>
        <v>Male</v>
      </c>
      <c r="J564">
        <v>28</v>
      </c>
      <c r="K564" t="str">
        <f t="shared" si="43"/>
        <v>Adult</v>
      </c>
      <c r="L564" t="str" cm="1">
        <f t="array" ref="L564">_xlfn.IFS(J564&lt;13,"Child",J564&lt;18,"Teen",J564&lt;60,"Adult",J564&gt;60,"Old Age")</f>
        <v>Adult</v>
      </c>
      <c r="M564">
        <v>0</v>
      </c>
      <c r="N564">
        <v>0</v>
      </c>
      <c r="O564">
        <f t="shared" si="44"/>
        <v>1</v>
      </c>
      <c r="P564">
        <v>13.5</v>
      </c>
      <c r="Q564" t="str">
        <f t="shared" si="40"/>
        <v>High</v>
      </c>
      <c r="R564" t="s">
        <v>1514</v>
      </c>
    </row>
    <row r="565" spans="1:18" x14ac:dyDescent="0.45">
      <c r="A565">
        <v>564</v>
      </c>
      <c r="B565">
        <v>0</v>
      </c>
      <c r="C565" t="str">
        <f t="shared" si="41"/>
        <v>Not Survived</v>
      </c>
      <c r="D565">
        <v>3</v>
      </c>
      <c r="E565" t="s">
        <v>920</v>
      </c>
      <c r="F565" t="s">
        <v>722</v>
      </c>
      <c r="G565" t="s">
        <v>511</v>
      </c>
      <c r="H565" t="s">
        <v>9</v>
      </c>
      <c r="I565" t="str">
        <f t="shared" si="42"/>
        <v>Male</v>
      </c>
      <c r="J565">
        <v>28</v>
      </c>
      <c r="K565" t="str">
        <f t="shared" si="43"/>
        <v>Adult</v>
      </c>
      <c r="L565" t="str" cm="1">
        <f t="array" ref="L565">_xlfn.IFS(J565&lt;13,"Child",J565&lt;18,"Teen",J565&lt;60,"Adult",J565&gt;60,"Old Age")</f>
        <v>Adult</v>
      </c>
      <c r="M565">
        <v>0</v>
      </c>
      <c r="N565">
        <v>0</v>
      </c>
      <c r="O565">
        <f t="shared" si="44"/>
        <v>1</v>
      </c>
      <c r="P565" t="s">
        <v>12</v>
      </c>
      <c r="Q565" t="str">
        <f t="shared" si="40"/>
        <v>High</v>
      </c>
      <c r="R565" t="s">
        <v>1514</v>
      </c>
    </row>
    <row r="566" spans="1:18" x14ac:dyDescent="0.45">
      <c r="A566">
        <v>565</v>
      </c>
      <c r="B566">
        <v>0</v>
      </c>
      <c r="C566" t="str">
        <f t="shared" si="41"/>
        <v>Not Survived</v>
      </c>
      <c r="D566">
        <v>3</v>
      </c>
      <c r="E566" t="s">
        <v>753</v>
      </c>
      <c r="F566" t="s">
        <v>724</v>
      </c>
      <c r="G566" t="s">
        <v>512</v>
      </c>
      <c r="H566" t="s">
        <v>10</v>
      </c>
      <c r="I566" t="str">
        <f t="shared" si="42"/>
        <v>Female</v>
      </c>
      <c r="J566">
        <v>28</v>
      </c>
      <c r="K566" t="str">
        <f t="shared" si="43"/>
        <v>Adult</v>
      </c>
      <c r="L566" t="str" cm="1">
        <f t="array" ref="L566">_xlfn.IFS(J566&lt;13,"Child",J566&lt;18,"Teen",J566&lt;60,"Adult",J566&gt;60,"Old Age")</f>
        <v>Adult</v>
      </c>
      <c r="M566">
        <v>0</v>
      </c>
      <c r="N566">
        <v>0</v>
      </c>
      <c r="O566">
        <f t="shared" si="44"/>
        <v>1</v>
      </c>
      <c r="P566" t="s">
        <v>12</v>
      </c>
      <c r="Q566" t="str">
        <f t="shared" si="40"/>
        <v>High</v>
      </c>
      <c r="R566" t="s">
        <v>1514</v>
      </c>
    </row>
    <row r="567" spans="1:18" x14ac:dyDescent="0.45">
      <c r="A567">
        <v>566</v>
      </c>
      <c r="B567">
        <v>0</v>
      </c>
      <c r="C567" t="str">
        <f t="shared" si="41"/>
        <v>Not Survived</v>
      </c>
      <c r="D567">
        <v>3</v>
      </c>
      <c r="E567" t="s">
        <v>1245</v>
      </c>
      <c r="F567" t="s">
        <v>722</v>
      </c>
      <c r="G567" t="s">
        <v>380</v>
      </c>
      <c r="H567" t="s">
        <v>9</v>
      </c>
      <c r="I567" t="str">
        <f t="shared" si="42"/>
        <v>Male</v>
      </c>
      <c r="J567">
        <v>24</v>
      </c>
      <c r="K567" t="str">
        <f t="shared" si="43"/>
        <v>Adult</v>
      </c>
      <c r="L567" t="str" cm="1">
        <f t="array" ref="L567">_xlfn.IFS(J567&lt;13,"Child",J567&lt;18,"Teen",J567&lt;60,"Adult",J567&gt;60,"Old Age")</f>
        <v>Adult</v>
      </c>
      <c r="M567">
        <v>2</v>
      </c>
      <c r="N567">
        <v>0</v>
      </c>
      <c r="O567">
        <f t="shared" si="44"/>
        <v>3</v>
      </c>
      <c r="P567">
        <v>24.15</v>
      </c>
      <c r="Q567" t="str">
        <f t="shared" si="40"/>
        <v>High</v>
      </c>
      <c r="R567" t="s">
        <v>1514</v>
      </c>
    </row>
    <row r="568" spans="1:18" x14ac:dyDescent="0.45">
      <c r="A568">
        <v>567</v>
      </c>
      <c r="B568">
        <v>0</v>
      </c>
      <c r="C568" t="str">
        <f t="shared" si="41"/>
        <v>Not Survived</v>
      </c>
      <c r="D568">
        <v>3</v>
      </c>
      <c r="E568" t="s">
        <v>1246</v>
      </c>
      <c r="F568" t="s">
        <v>722</v>
      </c>
      <c r="G568" t="s">
        <v>513</v>
      </c>
      <c r="H568" t="s">
        <v>9</v>
      </c>
      <c r="I568" t="str">
        <f t="shared" si="42"/>
        <v>Male</v>
      </c>
      <c r="J568">
        <v>19</v>
      </c>
      <c r="K568" t="str">
        <f t="shared" si="43"/>
        <v>Adult</v>
      </c>
      <c r="L568" t="str" cm="1">
        <f t="array" ref="L568">_xlfn.IFS(J568&lt;13,"Child",J568&lt;18,"Teen",J568&lt;60,"Adult",J568&gt;60,"Old Age")</f>
        <v>Adult</v>
      </c>
      <c r="M568">
        <v>0</v>
      </c>
      <c r="N568">
        <v>0</v>
      </c>
      <c r="O568">
        <f t="shared" si="44"/>
        <v>1</v>
      </c>
      <c r="P568">
        <v>7.8958000000000004</v>
      </c>
      <c r="Q568" t="str">
        <f t="shared" si="40"/>
        <v>High</v>
      </c>
      <c r="R568" t="s">
        <v>1514</v>
      </c>
    </row>
    <row r="569" spans="1:18" x14ac:dyDescent="0.45">
      <c r="A569">
        <v>568</v>
      </c>
      <c r="B569">
        <v>0</v>
      </c>
      <c r="C569" t="str">
        <f t="shared" si="41"/>
        <v>Not Survived</v>
      </c>
      <c r="D569">
        <v>3</v>
      </c>
      <c r="E569" t="s">
        <v>1247</v>
      </c>
      <c r="F569" t="s">
        <v>723</v>
      </c>
      <c r="G569" t="s">
        <v>62</v>
      </c>
      <c r="H569" t="s">
        <v>10</v>
      </c>
      <c r="I569" t="str">
        <f t="shared" si="42"/>
        <v>Female</v>
      </c>
      <c r="J569">
        <v>29</v>
      </c>
      <c r="K569" t="str">
        <f t="shared" si="43"/>
        <v>Adult</v>
      </c>
      <c r="L569" t="str" cm="1">
        <f t="array" ref="L569">_xlfn.IFS(J569&lt;13,"Child",J569&lt;18,"Teen",J569&lt;60,"Adult",J569&gt;60,"Old Age")</f>
        <v>Adult</v>
      </c>
      <c r="M569">
        <v>0</v>
      </c>
      <c r="N569">
        <v>4</v>
      </c>
      <c r="O569">
        <f t="shared" si="44"/>
        <v>5</v>
      </c>
      <c r="P569" t="s">
        <v>13</v>
      </c>
      <c r="Q569" t="str">
        <f t="shared" si="40"/>
        <v>High</v>
      </c>
      <c r="R569" t="s">
        <v>1514</v>
      </c>
    </row>
    <row r="570" spans="1:18" x14ac:dyDescent="0.45">
      <c r="A570">
        <v>569</v>
      </c>
      <c r="B570">
        <v>0</v>
      </c>
      <c r="C570" t="str">
        <f t="shared" si="41"/>
        <v>Not Survived</v>
      </c>
      <c r="D570">
        <v>3</v>
      </c>
      <c r="E570" t="s">
        <v>1067</v>
      </c>
      <c r="F570" t="s">
        <v>722</v>
      </c>
      <c r="G570" t="s">
        <v>514</v>
      </c>
      <c r="H570" t="s">
        <v>9</v>
      </c>
      <c r="I570" t="str">
        <f t="shared" si="42"/>
        <v>Male</v>
      </c>
      <c r="J570">
        <v>28</v>
      </c>
      <c r="K570" t="str">
        <f t="shared" si="43"/>
        <v>Adult</v>
      </c>
      <c r="L570" t="str" cm="1">
        <f t="array" ref="L570">_xlfn.IFS(J570&lt;13,"Child",J570&lt;18,"Teen",J570&lt;60,"Adult",J570&gt;60,"Old Age")</f>
        <v>Adult</v>
      </c>
      <c r="M570">
        <v>0</v>
      </c>
      <c r="N570">
        <v>0</v>
      </c>
      <c r="O570">
        <f t="shared" si="44"/>
        <v>1</v>
      </c>
      <c r="P570">
        <v>7.2291999999999996</v>
      </c>
      <c r="Q570" t="str">
        <f t="shared" si="40"/>
        <v>High</v>
      </c>
      <c r="R570" t="s">
        <v>1515</v>
      </c>
    </row>
    <row r="571" spans="1:18" x14ac:dyDescent="0.45">
      <c r="A571">
        <v>570</v>
      </c>
      <c r="B571">
        <v>1</v>
      </c>
      <c r="C571" t="str">
        <f t="shared" si="41"/>
        <v>Survived</v>
      </c>
      <c r="D571">
        <v>3</v>
      </c>
      <c r="E571" t="s">
        <v>1248</v>
      </c>
      <c r="F571" t="s">
        <v>722</v>
      </c>
      <c r="G571" t="s">
        <v>515</v>
      </c>
      <c r="H571" t="s">
        <v>9</v>
      </c>
      <c r="I571" t="str">
        <f t="shared" si="42"/>
        <v>Male</v>
      </c>
      <c r="J571">
        <v>32</v>
      </c>
      <c r="K571" t="str">
        <f t="shared" si="43"/>
        <v>Adult</v>
      </c>
      <c r="L571" t="str" cm="1">
        <f t="array" ref="L571">_xlfn.IFS(J571&lt;13,"Child",J571&lt;18,"Teen",J571&lt;60,"Adult",J571&gt;60,"Old Age")</f>
        <v>Adult</v>
      </c>
      <c r="M571">
        <v>0</v>
      </c>
      <c r="N571">
        <v>0</v>
      </c>
      <c r="O571">
        <f t="shared" si="44"/>
        <v>1</v>
      </c>
      <c r="P571">
        <v>7.8541999999999996</v>
      </c>
      <c r="Q571" t="str">
        <f t="shared" si="40"/>
        <v>High</v>
      </c>
      <c r="R571" t="s">
        <v>1514</v>
      </c>
    </row>
    <row r="572" spans="1:18" x14ac:dyDescent="0.45">
      <c r="A572">
        <v>571</v>
      </c>
      <c r="B572">
        <v>1</v>
      </c>
      <c r="C572" t="str">
        <f t="shared" si="41"/>
        <v>Survived</v>
      </c>
      <c r="D572">
        <v>2</v>
      </c>
      <c r="E572" t="s">
        <v>1239</v>
      </c>
      <c r="F572" t="s">
        <v>722</v>
      </c>
      <c r="G572" t="s">
        <v>115</v>
      </c>
      <c r="H572" t="s">
        <v>9</v>
      </c>
      <c r="I572" t="str">
        <f t="shared" si="42"/>
        <v>Male</v>
      </c>
      <c r="J572">
        <v>62</v>
      </c>
      <c r="K572" t="str">
        <f t="shared" si="43"/>
        <v>Old Age</v>
      </c>
      <c r="L572" t="str" cm="1">
        <f t="array" ref="L572">_xlfn.IFS(J572&lt;13,"Child",J572&lt;18,"Teen",J572&lt;60,"Adult",J572&gt;60,"Old Age")</f>
        <v>Old Age</v>
      </c>
      <c r="M572">
        <v>0</v>
      </c>
      <c r="N572">
        <v>0</v>
      </c>
      <c r="O572">
        <f t="shared" si="44"/>
        <v>1</v>
      </c>
      <c r="P572" t="s">
        <v>18</v>
      </c>
      <c r="Q572" t="str">
        <f t="shared" si="40"/>
        <v>High</v>
      </c>
      <c r="R572" t="s">
        <v>1514</v>
      </c>
    </row>
    <row r="573" spans="1:18" x14ac:dyDescent="0.45">
      <c r="A573">
        <v>572</v>
      </c>
      <c r="B573">
        <v>1</v>
      </c>
      <c r="C573" t="str">
        <f t="shared" si="41"/>
        <v>Survived</v>
      </c>
      <c r="D573">
        <v>1</v>
      </c>
      <c r="E573" t="s">
        <v>1249</v>
      </c>
      <c r="F573" t="s">
        <v>723</v>
      </c>
      <c r="G573" t="s">
        <v>516</v>
      </c>
      <c r="H573" t="s">
        <v>10</v>
      </c>
      <c r="I573" t="str">
        <f t="shared" si="42"/>
        <v>Female</v>
      </c>
      <c r="J573">
        <v>53</v>
      </c>
      <c r="K573" t="str">
        <f t="shared" si="43"/>
        <v>Adult</v>
      </c>
      <c r="L573" t="str" cm="1">
        <f t="array" ref="L573">_xlfn.IFS(J573&lt;13,"Child",J573&lt;18,"Teen",J573&lt;60,"Adult",J573&gt;60,"Old Age")</f>
        <v>Adult</v>
      </c>
      <c r="M573">
        <v>2</v>
      </c>
      <c r="N573">
        <v>0</v>
      </c>
      <c r="O573">
        <f t="shared" si="44"/>
        <v>3</v>
      </c>
      <c r="P573">
        <v>51.479199999999999</v>
      </c>
      <c r="Q573" t="str">
        <f t="shared" si="40"/>
        <v>High</v>
      </c>
      <c r="R573" t="s">
        <v>1514</v>
      </c>
    </row>
    <row r="574" spans="1:18" x14ac:dyDescent="0.45">
      <c r="A574">
        <v>573</v>
      </c>
      <c r="B574">
        <v>1</v>
      </c>
      <c r="C574" t="str">
        <f t="shared" si="41"/>
        <v>Survived</v>
      </c>
      <c r="D574">
        <v>1</v>
      </c>
      <c r="E574" t="s">
        <v>1250</v>
      </c>
      <c r="F574" t="s">
        <v>722</v>
      </c>
      <c r="G574" t="s">
        <v>410</v>
      </c>
      <c r="H574" t="s">
        <v>9</v>
      </c>
      <c r="I574" t="str">
        <f t="shared" si="42"/>
        <v>Male</v>
      </c>
      <c r="J574">
        <v>36</v>
      </c>
      <c r="K574" t="str">
        <f t="shared" si="43"/>
        <v>Adult</v>
      </c>
      <c r="L574" t="str" cm="1">
        <f t="array" ref="L574">_xlfn.IFS(J574&lt;13,"Child",J574&lt;18,"Teen",J574&lt;60,"Adult",J574&gt;60,"Old Age")</f>
        <v>Adult</v>
      </c>
      <c r="M574">
        <v>0</v>
      </c>
      <c r="N574">
        <v>0</v>
      </c>
      <c r="O574">
        <f t="shared" si="44"/>
        <v>1</v>
      </c>
      <c r="P574">
        <v>26.387499999999999</v>
      </c>
      <c r="Q574" t="str">
        <f t="shared" si="40"/>
        <v>High</v>
      </c>
      <c r="R574" t="s">
        <v>1514</v>
      </c>
    </row>
    <row r="575" spans="1:18" x14ac:dyDescent="0.45">
      <c r="A575">
        <v>574</v>
      </c>
      <c r="B575">
        <v>1</v>
      </c>
      <c r="C575" t="str">
        <f t="shared" si="41"/>
        <v>Survived</v>
      </c>
      <c r="D575">
        <v>3</v>
      </c>
      <c r="E575" t="s">
        <v>1073</v>
      </c>
      <c r="F575" t="s">
        <v>724</v>
      </c>
      <c r="G575" t="s">
        <v>317</v>
      </c>
      <c r="H575" t="s">
        <v>10</v>
      </c>
      <c r="I575" t="str">
        <f t="shared" si="42"/>
        <v>Female</v>
      </c>
      <c r="J575">
        <v>28</v>
      </c>
      <c r="K575" t="str">
        <f t="shared" si="43"/>
        <v>Adult</v>
      </c>
      <c r="L575" t="str" cm="1">
        <f t="array" ref="L575">_xlfn.IFS(J575&lt;13,"Child",J575&lt;18,"Teen",J575&lt;60,"Adult",J575&gt;60,"Old Age")</f>
        <v>Adult</v>
      </c>
      <c r="M575">
        <v>0</v>
      </c>
      <c r="N575">
        <v>0</v>
      </c>
      <c r="O575">
        <f t="shared" si="44"/>
        <v>1</v>
      </c>
      <c r="P575">
        <v>7.75</v>
      </c>
      <c r="Q575" t="str">
        <f t="shared" si="40"/>
        <v>High</v>
      </c>
      <c r="R575" t="s">
        <v>1516</v>
      </c>
    </row>
    <row r="576" spans="1:18" x14ac:dyDescent="0.45">
      <c r="A576">
        <v>575</v>
      </c>
      <c r="B576">
        <v>0</v>
      </c>
      <c r="C576" t="str">
        <f t="shared" si="41"/>
        <v>Not Survived</v>
      </c>
      <c r="D576">
        <v>3</v>
      </c>
      <c r="E576" t="s">
        <v>1251</v>
      </c>
      <c r="F576" t="s">
        <v>722</v>
      </c>
      <c r="G576" t="s">
        <v>517</v>
      </c>
      <c r="H576" t="s">
        <v>9</v>
      </c>
      <c r="I576" t="str">
        <f t="shared" si="42"/>
        <v>Male</v>
      </c>
      <c r="J576">
        <v>16</v>
      </c>
      <c r="K576" t="str">
        <f t="shared" si="43"/>
        <v>Teen</v>
      </c>
      <c r="L576" t="str" cm="1">
        <f t="array" ref="L576">_xlfn.IFS(J576&lt;13,"Child",J576&lt;18,"Teen",J576&lt;60,"Adult",J576&gt;60,"Old Age")</f>
        <v>Teen</v>
      </c>
      <c r="M576">
        <v>0</v>
      </c>
      <c r="N576">
        <v>0</v>
      </c>
      <c r="O576">
        <f t="shared" si="44"/>
        <v>1</v>
      </c>
      <c r="P576" t="s">
        <v>12</v>
      </c>
      <c r="Q576" t="str">
        <f t="shared" si="40"/>
        <v>High</v>
      </c>
      <c r="R576" t="s">
        <v>1514</v>
      </c>
    </row>
    <row r="577" spans="1:18" x14ac:dyDescent="0.45">
      <c r="A577">
        <v>576</v>
      </c>
      <c r="B577">
        <v>0</v>
      </c>
      <c r="C577" t="str">
        <f t="shared" si="41"/>
        <v>Not Survived</v>
      </c>
      <c r="D577">
        <v>3</v>
      </c>
      <c r="E577" t="s">
        <v>1239</v>
      </c>
      <c r="F577" t="s">
        <v>722</v>
      </c>
      <c r="G577" t="s">
        <v>518</v>
      </c>
      <c r="H577" t="s">
        <v>9</v>
      </c>
      <c r="I577" t="str">
        <f t="shared" si="42"/>
        <v>Male</v>
      </c>
      <c r="J577">
        <v>19</v>
      </c>
      <c r="K577" t="str">
        <f t="shared" si="43"/>
        <v>Adult</v>
      </c>
      <c r="L577" t="str" cm="1">
        <f t="array" ref="L577">_xlfn.IFS(J577&lt;13,"Child",J577&lt;18,"Teen",J577&lt;60,"Adult",J577&gt;60,"Old Age")</f>
        <v>Adult</v>
      </c>
      <c r="M577">
        <v>0</v>
      </c>
      <c r="N577">
        <v>0</v>
      </c>
      <c r="O577">
        <f t="shared" si="44"/>
        <v>1</v>
      </c>
      <c r="P577">
        <v>14.5</v>
      </c>
      <c r="Q577" t="str">
        <f t="shared" si="40"/>
        <v>High</v>
      </c>
      <c r="R577" t="s">
        <v>1514</v>
      </c>
    </row>
    <row r="578" spans="1:18" x14ac:dyDescent="0.45">
      <c r="A578">
        <v>577</v>
      </c>
      <c r="B578">
        <v>1</v>
      </c>
      <c r="C578" t="str">
        <f t="shared" si="41"/>
        <v>Survived</v>
      </c>
      <c r="D578">
        <v>2</v>
      </c>
      <c r="E578" t="s">
        <v>1252</v>
      </c>
      <c r="F578" t="s">
        <v>724</v>
      </c>
      <c r="G578" t="s">
        <v>519</v>
      </c>
      <c r="H578" t="s">
        <v>10</v>
      </c>
      <c r="I578" t="str">
        <f t="shared" si="42"/>
        <v>Female</v>
      </c>
      <c r="J578">
        <v>34</v>
      </c>
      <c r="K578" t="str">
        <f t="shared" si="43"/>
        <v>Adult</v>
      </c>
      <c r="L578" t="str" cm="1">
        <f t="array" ref="L578">_xlfn.IFS(J578&lt;13,"Child",J578&lt;18,"Teen",J578&lt;60,"Adult",J578&gt;60,"Old Age")</f>
        <v>Adult</v>
      </c>
      <c r="M578">
        <v>0</v>
      </c>
      <c r="N578">
        <v>0</v>
      </c>
      <c r="O578">
        <f t="shared" si="44"/>
        <v>1</v>
      </c>
      <c r="P578">
        <v>13</v>
      </c>
      <c r="Q578" t="str">
        <f t="shared" ref="Q578:Q641" si="45">IF(A578&lt;=10,"Low",IF(A578&lt;=50,"Medium","High"))</f>
        <v>High</v>
      </c>
      <c r="R578" t="s">
        <v>1514</v>
      </c>
    </row>
    <row r="579" spans="1:18" x14ac:dyDescent="0.45">
      <c r="A579">
        <v>578</v>
      </c>
      <c r="B579">
        <v>1</v>
      </c>
      <c r="C579" t="str">
        <f t="shared" ref="C579:C642" si="46">IF(B579 = 0, "Not Survived","Survived")</f>
        <v>Survived</v>
      </c>
      <c r="D579">
        <v>1</v>
      </c>
      <c r="E579" t="s">
        <v>1253</v>
      </c>
      <c r="F579" t="s">
        <v>723</v>
      </c>
      <c r="G579" t="s">
        <v>416</v>
      </c>
      <c r="H579" t="s">
        <v>10</v>
      </c>
      <c r="I579" t="str">
        <f t="shared" ref="I579:I642" si="47">PROPER(H579)</f>
        <v>Female</v>
      </c>
      <c r="J579">
        <v>39</v>
      </c>
      <c r="K579" t="str">
        <f t="shared" ref="K579:K642" si="48">IF(J579&lt;13,"Child",IF(J579&lt;18,"Teen",IF(J579&lt;60,"Adult","Old Age")))</f>
        <v>Adult</v>
      </c>
      <c r="L579" t="str" cm="1">
        <f t="array" ref="L579">_xlfn.IFS(J579&lt;13,"Child",J579&lt;18,"Teen",J579&lt;60,"Adult",J579&gt;60,"Old Age")</f>
        <v>Adult</v>
      </c>
      <c r="M579">
        <v>1</v>
      </c>
      <c r="N579">
        <v>0</v>
      </c>
      <c r="O579">
        <f t="shared" ref="O579:O642" si="49">M579+N579+1</f>
        <v>2</v>
      </c>
      <c r="P579">
        <v>55.9</v>
      </c>
      <c r="Q579" t="str">
        <f t="shared" si="45"/>
        <v>High</v>
      </c>
      <c r="R579" t="s">
        <v>1514</v>
      </c>
    </row>
    <row r="580" spans="1:18" x14ac:dyDescent="0.45">
      <c r="A580">
        <v>579</v>
      </c>
      <c r="B580">
        <v>0</v>
      </c>
      <c r="C580" t="str">
        <f t="shared" si="46"/>
        <v>Not Survived</v>
      </c>
      <c r="D580">
        <v>3</v>
      </c>
      <c r="E580" t="s">
        <v>875</v>
      </c>
      <c r="F580" t="s">
        <v>723</v>
      </c>
      <c r="G580" t="s">
        <v>520</v>
      </c>
      <c r="H580" t="s">
        <v>10</v>
      </c>
      <c r="I580" t="str">
        <f t="shared" si="47"/>
        <v>Female</v>
      </c>
      <c r="J580">
        <v>28</v>
      </c>
      <c r="K580" t="str">
        <f t="shared" si="48"/>
        <v>Adult</v>
      </c>
      <c r="L580" t="str" cm="1">
        <f t="array" ref="L580">_xlfn.IFS(J580&lt;13,"Child",J580&lt;18,"Teen",J580&lt;60,"Adult",J580&gt;60,"Old Age")</f>
        <v>Adult</v>
      </c>
      <c r="M580">
        <v>1</v>
      </c>
      <c r="N580">
        <v>0</v>
      </c>
      <c r="O580">
        <f t="shared" si="49"/>
        <v>2</v>
      </c>
      <c r="P580">
        <v>14.458299999999999</v>
      </c>
      <c r="Q580" t="str">
        <f t="shared" si="45"/>
        <v>High</v>
      </c>
      <c r="R580" t="s">
        <v>1515</v>
      </c>
    </row>
    <row r="581" spans="1:18" x14ac:dyDescent="0.45">
      <c r="A581">
        <v>580</v>
      </c>
      <c r="B581">
        <v>1</v>
      </c>
      <c r="C581" t="str">
        <f t="shared" si="46"/>
        <v>Survived</v>
      </c>
      <c r="D581">
        <v>3</v>
      </c>
      <c r="E581" t="s">
        <v>1254</v>
      </c>
      <c r="F581" t="s">
        <v>722</v>
      </c>
      <c r="G581" t="s">
        <v>162</v>
      </c>
      <c r="H581" t="s">
        <v>9</v>
      </c>
      <c r="I581" t="str">
        <f t="shared" si="47"/>
        <v>Male</v>
      </c>
      <c r="J581">
        <v>32</v>
      </c>
      <c r="K581" t="str">
        <f t="shared" si="48"/>
        <v>Adult</v>
      </c>
      <c r="L581" t="str" cm="1">
        <f t="array" ref="L581">_xlfn.IFS(J581&lt;13,"Child",J581&lt;18,"Teen",J581&lt;60,"Adult",J581&gt;60,"Old Age")</f>
        <v>Adult</v>
      </c>
      <c r="M581">
        <v>0</v>
      </c>
      <c r="N581">
        <v>0</v>
      </c>
      <c r="O581">
        <f t="shared" si="49"/>
        <v>1</v>
      </c>
      <c r="P581">
        <v>7.9249999999999998</v>
      </c>
      <c r="Q581" t="str">
        <f t="shared" si="45"/>
        <v>High</v>
      </c>
      <c r="R581" t="s">
        <v>1514</v>
      </c>
    </row>
    <row r="582" spans="1:18" x14ac:dyDescent="0.45">
      <c r="A582">
        <v>581</v>
      </c>
      <c r="B582">
        <v>1</v>
      </c>
      <c r="C582" t="str">
        <f t="shared" si="46"/>
        <v>Survived</v>
      </c>
      <c r="D582">
        <v>2</v>
      </c>
      <c r="E582" t="s">
        <v>1255</v>
      </c>
      <c r="F582" t="s">
        <v>724</v>
      </c>
      <c r="G582" t="s">
        <v>521</v>
      </c>
      <c r="H582" t="s">
        <v>10</v>
      </c>
      <c r="I582" t="str">
        <f t="shared" si="47"/>
        <v>Female</v>
      </c>
      <c r="J582">
        <v>25</v>
      </c>
      <c r="K582" t="str">
        <f t="shared" si="48"/>
        <v>Adult</v>
      </c>
      <c r="L582" t="str" cm="1">
        <f t="array" ref="L582">_xlfn.IFS(J582&lt;13,"Child",J582&lt;18,"Teen",J582&lt;60,"Adult",J582&gt;60,"Old Age")</f>
        <v>Adult</v>
      </c>
      <c r="M582">
        <v>1</v>
      </c>
      <c r="N582">
        <v>1</v>
      </c>
      <c r="O582">
        <f t="shared" si="49"/>
        <v>3</v>
      </c>
      <c r="P582">
        <v>314.45420000000001</v>
      </c>
      <c r="Q582" t="str">
        <f t="shared" si="45"/>
        <v>High</v>
      </c>
      <c r="R582" t="s">
        <v>1514</v>
      </c>
    </row>
    <row r="583" spans="1:18" x14ac:dyDescent="0.45">
      <c r="A583">
        <v>582</v>
      </c>
      <c r="B583">
        <v>1</v>
      </c>
      <c r="C583" t="str">
        <f t="shared" si="46"/>
        <v>Survived</v>
      </c>
      <c r="D583">
        <v>1</v>
      </c>
      <c r="E583" t="s">
        <v>1256</v>
      </c>
      <c r="F583" t="s">
        <v>723</v>
      </c>
      <c r="G583" t="s">
        <v>500</v>
      </c>
      <c r="H583" t="s">
        <v>10</v>
      </c>
      <c r="I583" t="str">
        <f t="shared" si="47"/>
        <v>Female</v>
      </c>
      <c r="J583">
        <v>39</v>
      </c>
      <c r="K583" t="str">
        <f t="shared" si="48"/>
        <v>Adult</v>
      </c>
      <c r="L583" t="str" cm="1">
        <f t="array" ref="L583">_xlfn.IFS(J583&lt;13,"Child",J583&lt;18,"Teen",J583&lt;60,"Adult",J583&gt;60,"Old Age")</f>
        <v>Adult</v>
      </c>
      <c r="M583">
        <v>1</v>
      </c>
      <c r="N583">
        <v>1</v>
      </c>
      <c r="O583">
        <f t="shared" si="49"/>
        <v>3</v>
      </c>
      <c r="P583" t="s">
        <v>34</v>
      </c>
      <c r="Q583" t="str">
        <f t="shared" si="45"/>
        <v>High</v>
      </c>
      <c r="R583" t="s">
        <v>1515</v>
      </c>
    </row>
    <row r="584" spans="1:18" x14ac:dyDescent="0.45">
      <c r="A584">
        <v>583</v>
      </c>
      <c r="B584">
        <v>0</v>
      </c>
      <c r="C584" t="str">
        <f t="shared" si="46"/>
        <v>Not Survived</v>
      </c>
      <c r="D584">
        <v>2</v>
      </c>
      <c r="E584" t="s">
        <v>1257</v>
      </c>
      <c r="F584" t="s">
        <v>722</v>
      </c>
      <c r="G584" t="s">
        <v>522</v>
      </c>
      <c r="H584" t="s">
        <v>9</v>
      </c>
      <c r="I584" t="str">
        <f t="shared" si="47"/>
        <v>Male</v>
      </c>
      <c r="J584">
        <v>54</v>
      </c>
      <c r="K584" t="str">
        <f t="shared" si="48"/>
        <v>Adult</v>
      </c>
      <c r="L584" t="str" cm="1">
        <f t="array" ref="L584">_xlfn.IFS(J584&lt;13,"Child",J584&lt;18,"Teen",J584&lt;60,"Adult",J584&gt;60,"Old Age")</f>
        <v>Adult</v>
      </c>
      <c r="M584">
        <v>0</v>
      </c>
      <c r="N584">
        <v>0</v>
      </c>
      <c r="O584">
        <f t="shared" si="49"/>
        <v>1</v>
      </c>
      <c r="P584">
        <v>26</v>
      </c>
      <c r="Q584" t="str">
        <f t="shared" si="45"/>
        <v>High</v>
      </c>
      <c r="R584" t="s">
        <v>1514</v>
      </c>
    </row>
    <row r="585" spans="1:18" x14ac:dyDescent="0.45">
      <c r="A585">
        <v>584</v>
      </c>
      <c r="B585">
        <v>0</v>
      </c>
      <c r="C585" t="str">
        <f t="shared" si="46"/>
        <v>Not Survived</v>
      </c>
      <c r="D585">
        <v>1</v>
      </c>
      <c r="E585" t="s">
        <v>1258</v>
      </c>
      <c r="F585" t="s">
        <v>722</v>
      </c>
      <c r="G585" t="s">
        <v>523</v>
      </c>
      <c r="H585" t="s">
        <v>9</v>
      </c>
      <c r="I585" t="str">
        <f t="shared" si="47"/>
        <v>Male</v>
      </c>
      <c r="J585">
        <v>36</v>
      </c>
      <c r="K585" t="str">
        <f t="shared" si="48"/>
        <v>Adult</v>
      </c>
      <c r="L585" t="str" cm="1">
        <f t="array" ref="L585">_xlfn.IFS(J585&lt;13,"Child",J585&lt;18,"Teen",J585&lt;60,"Adult",J585&gt;60,"Old Age")</f>
        <v>Adult</v>
      </c>
      <c r="M585">
        <v>0</v>
      </c>
      <c r="N585">
        <v>0</v>
      </c>
      <c r="O585">
        <f t="shared" si="49"/>
        <v>1</v>
      </c>
      <c r="P585" t="s">
        <v>43</v>
      </c>
      <c r="Q585" t="str">
        <f t="shared" si="45"/>
        <v>High</v>
      </c>
      <c r="R585" t="s">
        <v>1515</v>
      </c>
    </row>
    <row r="586" spans="1:18" x14ac:dyDescent="0.45">
      <c r="A586">
        <v>585</v>
      </c>
      <c r="B586">
        <v>0</v>
      </c>
      <c r="C586" t="str">
        <f t="shared" si="46"/>
        <v>Not Survived</v>
      </c>
      <c r="D586">
        <v>3</v>
      </c>
      <c r="E586" t="s">
        <v>1259</v>
      </c>
      <c r="F586" t="s">
        <v>722</v>
      </c>
      <c r="G586" t="s">
        <v>524</v>
      </c>
      <c r="H586" t="s">
        <v>9</v>
      </c>
      <c r="I586" t="str">
        <f t="shared" si="47"/>
        <v>Male</v>
      </c>
      <c r="J586">
        <v>28</v>
      </c>
      <c r="K586" t="str">
        <f t="shared" si="48"/>
        <v>Adult</v>
      </c>
      <c r="L586" t="str" cm="1">
        <f t="array" ref="L586">_xlfn.IFS(J586&lt;13,"Child",J586&lt;18,"Teen",J586&lt;60,"Adult",J586&gt;60,"Old Age")</f>
        <v>Adult</v>
      </c>
      <c r="M586">
        <v>0</v>
      </c>
      <c r="N586">
        <v>0</v>
      </c>
      <c r="O586">
        <f t="shared" si="49"/>
        <v>1</v>
      </c>
      <c r="P586">
        <v>8.7125000000000004</v>
      </c>
      <c r="Q586" t="str">
        <f t="shared" si="45"/>
        <v>High</v>
      </c>
      <c r="R586" t="s">
        <v>1515</v>
      </c>
    </row>
    <row r="587" spans="1:18" x14ac:dyDescent="0.45">
      <c r="A587">
        <v>586</v>
      </c>
      <c r="B587">
        <v>1</v>
      </c>
      <c r="C587" t="str">
        <f t="shared" si="46"/>
        <v>Survived</v>
      </c>
      <c r="D587">
        <v>1</v>
      </c>
      <c r="E587" t="s">
        <v>1260</v>
      </c>
      <c r="F587" t="s">
        <v>724</v>
      </c>
      <c r="G587" t="s">
        <v>283</v>
      </c>
      <c r="H587" t="s">
        <v>10</v>
      </c>
      <c r="I587" t="str">
        <f t="shared" si="47"/>
        <v>Female</v>
      </c>
      <c r="J587">
        <v>18</v>
      </c>
      <c r="K587" t="str">
        <f t="shared" si="48"/>
        <v>Adult</v>
      </c>
      <c r="L587" t="str" cm="1">
        <f t="array" ref="L587">_xlfn.IFS(J587&lt;13,"Child",J587&lt;18,"Teen",J587&lt;60,"Adult",J587&gt;60,"Old Age")</f>
        <v>Adult</v>
      </c>
      <c r="M587">
        <v>0</v>
      </c>
      <c r="N587">
        <v>2</v>
      </c>
      <c r="O587">
        <f t="shared" si="49"/>
        <v>3</v>
      </c>
      <c r="P587">
        <v>79.650000000000006</v>
      </c>
      <c r="Q587" t="str">
        <f t="shared" si="45"/>
        <v>High</v>
      </c>
      <c r="R587" t="s">
        <v>1514</v>
      </c>
    </row>
    <row r="588" spans="1:18" x14ac:dyDescent="0.45">
      <c r="A588">
        <v>587</v>
      </c>
      <c r="B588">
        <v>0</v>
      </c>
      <c r="C588" t="str">
        <f t="shared" si="46"/>
        <v>Not Survived</v>
      </c>
      <c r="D588">
        <v>2</v>
      </c>
      <c r="E588" t="s">
        <v>1261</v>
      </c>
      <c r="F588" t="s">
        <v>722</v>
      </c>
      <c r="G588" t="s">
        <v>525</v>
      </c>
      <c r="H588" t="s">
        <v>9</v>
      </c>
      <c r="I588" t="str">
        <f t="shared" si="47"/>
        <v>Male</v>
      </c>
      <c r="J588">
        <v>47</v>
      </c>
      <c r="K588" t="str">
        <f t="shared" si="48"/>
        <v>Adult</v>
      </c>
      <c r="L588" t="str" cm="1">
        <f t="array" ref="L588">_xlfn.IFS(J588&lt;13,"Child",J588&lt;18,"Teen",J588&lt;60,"Adult",J588&gt;60,"Old Age")</f>
        <v>Adult</v>
      </c>
      <c r="M588">
        <v>0</v>
      </c>
      <c r="N588">
        <v>0</v>
      </c>
      <c r="O588">
        <f t="shared" si="49"/>
        <v>1</v>
      </c>
      <c r="P588">
        <v>15</v>
      </c>
      <c r="Q588" t="str">
        <f t="shared" si="45"/>
        <v>High</v>
      </c>
      <c r="R588" t="s">
        <v>1514</v>
      </c>
    </row>
    <row r="589" spans="1:18" x14ac:dyDescent="0.45">
      <c r="A589">
        <v>588</v>
      </c>
      <c r="B589">
        <v>1</v>
      </c>
      <c r="C589" t="str">
        <f t="shared" si="46"/>
        <v>Survived</v>
      </c>
      <c r="D589">
        <v>1</v>
      </c>
      <c r="E589" t="s">
        <v>1262</v>
      </c>
      <c r="F589" t="s">
        <v>722</v>
      </c>
      <c r="G589" t="s">
        <v>526</v>
      </c>
      <c r="H589" t="s">
        <v>9</v>
      </c>
      <c r="I589" t="str">
        <f t="shared" si="47"/>
        <v>Male</v>
      </c>
      <c r="J589">
        <v>60</v>
      </c>
      <c r="K589" t="str">
        <f t="shared" si="48"/>
        <v>Old Age</v>
      </c>
      <c r="L589" t="e" cm="1">
        <f t="array" ref="L589">_xlfn.IFS(J589&lt;13,"Child",J589&lt;18,"Teen",J589&lt;60,"Adult",J589&gt;60,"Old Age")</f>
        <v>#N/A</v>
      </c>
      <c r="M589">
        <v>1</v>
      </c>
      <c r="N589">
        <v>1</v>
      </c>
      <c r="O589">
        <f t="shared" si="49"/>
        <v>3</v>
      </c>
      <c r="P589">
        <v>79.2</v>
      </c>
      <c r="Q589" t="str">
        <f t="shared" si="45"/>
        <v>High</v>
      </c>
      <c r="R589" t="s">
        <v>1515</v>
      </c>
    </row>
    <row r="590" spans="1:18" x14ac:dyDescent="0.45">
      <c r="A590">
        <v>589</v>
      </c>
      <c r="B590">
        <v>0</v>
      </c>
      <c r="C590" t="str">
        <f t="shared" si="46"/>
        <v>Not Survived</v>
      </c>
      <c r="D590">
        <v>3</v>
      </c>
      <c r="E590" t="s">
        <v>1263</v>
      </c>
      <c r="F590" t="s">
        <v>722</v>
      </c>
      <c r="G590" t="s">
        <v>527</v>
      </c>
      <c r="H590" t="s">
        <v>9</v>
      </c>
      <c r="I590" t="str">
        <f t="shared" si="47"/>
        <v>Male</v>
      </c>
      <c r="J590">
        <v>22</v>
      </c>
      <c r="K590" t="str">
        <f t="shared" si="48"/>
        <v>Adult</v>
      </c>
      <c r="L590" t="str" cm="1">
        <f t="array" ref="L590">_xlfn.IFS(J590&lt;13,"Child",J590&lt;18,"Teen",J590&lt;60,"Adult",J590&gt;60,"Old Age")</f>
        <v>Adult</v>
      </c>
      <c r="M590">
        <v>0</v>
      </c>
      <c r="N590">
        <v>0</v>
      </c>
      <c r="O590">
        <f t="shared" si="49"/>
        <v>1</v>
      </c>
      <c r="P590" t="s">
        <v>12</v>
      </c>
      <c r="Q590" t="str">
        <f t="shared" si="45"/>
        <v>High</v>
      </c>
      <c r="R590" t="s">
        <v>1514</v>
      </c>
    </row>
    <row r="591" spans="1:18" x14ac:dyDescent="0.45">
      <c r="A591">
        <v>590</v>
      </c>
      <c r="B591">
        <v>0</v>
      </c>
      <c r="C591" t="str">
        <f t="shared" si="46"/>
        <v>Not Survived</v>
      </c>
      <c r="D591">
        <v>3</v>
      </c>
      <c r="E591" t="s">
        <v>1155</v>
      </c>
      <c r="F591" t="s">
        <v>722</v>
      </c>
      <c r="G591" t="s">
        <v>528</v>
      </c>
      <c r="H591" t="s">
        <v>9</v>
      </c>
      <c r="I591" t="str">
        <f t="shared" si="47"/>
        <v>Male</v>
      </c>
      <c r="J591">
        <v>28</v>
      </c>
      <c r="K591" t="str">
        <f t="shared" si="48"/>
        <v>Adult</v>
      </c>
      <c r="L591" t="str" cm="1">
        <f t="array" ref="L591">_xlfn.IFS(J591&lt;13,"Child",J591&lt;18,"Teen",J591&lt;60,"Adult",J591&gt;60,"Old Age")</f>
        <v>Adult</v>
      </c>
      <c r="M591">
        <v>0</v>
      </c>
      <c r="N591">
        <v>0</v>
      </c>
      <c r="O591">
        <f t="shared" si="49"/>
        <v>1</v>
      </c>
      <c r="P591" t="s">
        <v>12</v>
      </c>
      <c r="Q591" t="str">
        <f t="shared" si="45"/>
        <v>High</v>
      </c>
      <c r="R591" t="s">
        <v>1514</v>
      </c>
    </row>
    <row r="592" spans="1:18" x14ac:dyDescent="0.45">
      <c r="A592">
        <v>591</v>
      </c>
      <c r="B592">
        <v>0</v>
      </c>
      <c r="C592" t="str">
        <f t="shared" si="46"/>
        <v>Not Survived</v>
      </c>
      <c r="D592">
        <v>3</v>
      </c>
      <c r="E592" t="s">
        <v>1264</v>
      </c>
      <c r="F592" t="s">
        <v>722</v>
      </c>
      <c r="G592" t="s">
        <v>529</v>
      </c>
      <c r="H592" t="s">
        <v>9</v>
      </c>
      <c r="I592" t="str">
        <f t="shared" si="47"/>
        <v>Male</v>
      </c>
      <c r="J592">
        <v>35</v>
      </c>
      <c r="K592" t="str">
        <f t="shared" si="48"/>
        <v>Adult</v>
      </c>
      <c r="L592" t="str" cm="1">
        <f t="array" ref="L592">_xlfn.IFS(J592&lt;13,"Child",J592&lt;18,"Teen",J592&lt;60,"Adult",J592&gt;60,"Old Age")</f>
        <v>Adult</v>
      </c>
      <c r="M592">
        <v>0</v>
      </c>
      <c r="N592">
        <v>0</v>
      </c>
      <c r="O592">
        <f t="shared" si="49"/>
        <v>1</v>
      </c>
      <c r="P592">
        <v>7.125</v>
      </c>
      <c r="Q592" t="str">
        <f t="shared" si="45"/>
        <v>High</v>
      </c>
      <c r="R592" t="s">
        <v>1514</v>
      </c>
    </row>
    <row r="593" spans="1:18" x14ac:dyDescent="0.45">
      <c r="A593">
        <v>592</v>
      </c>
      <c r="B593">
        <v>1</v>
      </c>
      <c r="C593" t="str">
        <f t="shared" si="46"/>
        <v>Survived</v>
      </c>
      <c r="D593">
        <v>1</v>
      </c>
      <c r="E593" t="s">
        <v>1265</v>
      </c>
      <c r="F593" t="s">
        <v>723</v>
      </c>
      <c r="G593" t="s">
        <v>530</v>
      </c>
      <c r="H593" t="s">
        <v>10</v>
      </c>
      <c r="I593" t="str">
        <f t="shared" si="47"/>
        <v>Female</v>
      </c>
      <c r="J593">
        <v>52</v>
      </c>
      <c r="K593" t="str">
        <f t="shared" si="48"/>
        <v>Adult</v>
      </c>
      <c r="L593" t="str" cm="1">
        <f t="array" ref="L593">_xlfn.IFS(J593&lt;13,"Child",J593&lt;18,"Teen",J593&lt;60,"Adult",J593&gt;60,"Old Age")</f>
        <v>Adult</v>
      </c>
      <c r="M593">
        <v>1</v>
      </c>
      <c r="N593">
        <v>0</v>
      </c>
      <c r="O593">
        <f t="shared" si="49"/>
        <v>2</v>
      </c>
      <c r="P593">
        <v>78.2667</v>
      </c>
      <c r="Q593" t="str">
        <f t="shared" si="45"/>
        <v>High</v>
      </c>
      <c r="R593" t="s">
        <v>1515</v>
      </c>
    </row>
    <row r="594" spans="1:18" x14ac:dyDescent="0.45">
      <c r="A594">
        <v>593</v>
      </c>
      <c r="B594">
        <v>0</v>
      </c>
      <c r="C594" t="str">
        <f t="shared" si="46"/>
        <v>Not Survived</v>
      </c>
      <c r="D594">
        <v>3</v>
      </c>
      <c r="E594" t="s">
        <v>1257</v>
      </c>
      <c r="F594" t="s">
        <v>722</v>
      </c>
      <c r="G594" t="s">
        <v>531</v>
      </c>
      <c r="H594" t="s">
        <v>9</v>
      </c>
      <c r="I594" t="str">
        <f t="shared" si="47"/>
        <v>Male</v>
      </c>
      <c r="J594">
        <v>47</v>
      </c>
      <c r="K594" t="str">
        <f t="shared" si="48"/>
        <v>Adult</v>
      </c>
      <c r="L594" t="str" cm="1">
        <f t="array" ref="L594">_xlfn.IFS(J594&lt;13,"Child",J594&lt;18,"Teen",J594&lt;60,"Adult",J594&gt;60,"Old Age")</f>
        <v>Adult</v>
      </c>
      <c r="M594">
        <v>0</v>
      </c>
      <c r="N594">
        <v>0</v>
      </c>
      <c r="O594">
        <f t="shared" si="49"/>
        <v>1</v>
      </c>
      <c r="P594">
        <v>7.25</v>
      </c>
      <c r="Q594" t="str">
        <f t="shared" si="45"/>
        <v>High</v>
      </c>
      <c r="R594" t="s">
        <v>1514</v>
      </c>
    </row>
    <row r="595" spans="1:18" x14ac:dyDescent="0.45">
      <c r="A595">
        <v>594</v>
      </c>
      <c r="B595">
        <v>0</v>
      </c>
      <c r="C595" t="str">
        <f t="shared" si="46"/>
        <v>Not Survived</v>
      </c>
      <c r="D595">
        <v>3</v>
      </c>
      <c r="E595" t="s">
        <v>1073</v>
      </c>
      <c r="F595" t="s">
        <v>724</v>
      </c>
      <c r="G595" t="s">
        <v>222</v>
      </c>
      <c r="H595" t="s">
        <v>10</v>
      </c>
      <c r="I595" t="str">
        <f t="shared" si="47"/>
        <v>Female</v>
      </c>
      <c r="J595">
        <v>28</v>
      </c>
      <c r="K595" t="str">
        <f t="shared" si="48"/>
        <v>Adult</v>
      </c>
      <c r="L595" t="str" cm="1">
        <f t="array" ref="L595">_xlfn.IFS(J595&lt;13,"Child",J595&lt;18,"Teen",J595&lt;60,"Adult",J595&gt;60,"Old Age")</f>
        <v>Adult</v>
      </c>
      <c r="M595">
        <v>0</v>
      </c>
      <c r="N595">
        <v>2</v>
      </c>
      <c r="O595">
        <f t="shared" si="49"/>
        <v>3</v>
      </c>
      <c r="P595">
        <v>7.75</v>
      </c>
      <c r="Q595" t="str">
        <f t="shared" si="45"/>
        <v>High</v>
      </c>
      <c r="R595" t="s">
        <v>1516</v>
      </c>
    </row>
    <row r="596" spans="1:18" x14ac:dyDescent="0.45">
      <c r="A596">
        <v>595</v>
      </c>
      <c r="B596">
        <v>0</v>
      </c>
      <c r="C596" t="str">
        <f t="shared" si="46"/>
        <v>Not Survived</v>
      </c>
      <c r="D596">
        <v>2</v>
      </c>
      <c r="E596" t="s">
        <v>943</v>
      </c>
      <c r="F596" t="s">
        <v>722</v>
      </c>
      <c r="G596" t="s">
        <v>532</v>
      </c>
      <c r="H596" t="s">
        <v>9</v>
      </c>
      <c r="I596" t="str">
        <f t="shared" si="47"/>
        <v>Male</v>
      </c>
      <c r="J596">
        <v>37</v>
      </c>
      <c r="K596" t="str">
        <f t="shared" si="48"/>
        <v>Adult</v>
      </c>
      <c r="L596" t="str" cm="1">
        <f t="array" ref="L596">_xlfn.IFS(J596&lt;13,"Child",J596&lt;18,"Teen",J596&lt;60,"Adult",J596&gt;60,"Old Age")</f>
        <v>Adult</v>
      </c>
      <c r="M596">
        <v>1</v>
      </c>
      <c r="N596">
        <v>0</v>
      </c>
      <c r="O596">
        <f t="shared" si="49"/>
        <v>2</v>
      </c>
      <c r="P596">
        <v>26</v>
      </c>
      <c r="Q596" t="str">
        <f t="shared" si="45"/>
        <v>High</v>
      </c>
      <c r="R596" t="s">
        <v>1514</v>
      </c>
    </row>
    <row r="597" spans="1:18" x14ac:dyDescent="0.45">
      <c r="A597">
        <v>596</v>
      </c>
      <c r="B597">
        <v>0</v>
      </c>
      <c r="C597" t="str">
        <f t="shared" si="46"/>
        <v>Not Survived</v>
      </c>
      <c r="D597">
        <v>3</v>
      </c>
      <c r="E597" t="s">
        <v>1266</v>
      </c>
      <c r="F597" t="s">
        <v>722</v>
      </c>
      <c r="G597" t="s">
        <v>402</v>
      </c>
      <c r="H597" t="s">
        <v>9</v>
      </c>
      <c r="I597" t="str">
        <f t="shared" si="47"/>
        <v>Male</v>
      </c>
      <c r="J597">
        <v>36</v>
      </c>
      <c r="K597" t="str">
        <f t="shared" si="48"/>
        <v>Adult</v>
      </c>
      <c r="L597" t="str" cm="1">
        <f t="array" ref="L597">_xlfn.IFS(J597&lt;13,"Child",J597&lt;18,"Teen",J597&lt;60,"Adult",J597&gt;60,"Old Age")</f>
        <v>Adult</v>
      </c>
      <c r="M597">
        <v>1</v>
      </c>
      <c r="N597">
        <v>1</v>
      </c>
      <c r="O597">
        <f t="shared" si="49"/>
        <v>3</v>
      </c>
      <c r="P597">
        <v>24.15</v>
      </c>
      <c r="Q597" t="str">
        <f t="shared" si="45"/>
        <v>High</v>
      </c>
      <c r="R597" t="s">
        <v>1514</v>
      </c>
    </row>
    <row r="598" spans="1:18" x14ac:dyDescent="0.45">
      <c r="A598">
        <v>597</v>
      </c>
      <c r="B598">
        <v>1</v>
      </c>
      <c r="C598" t="str">
        <f t="shared" si="46"/>
        <v>Survived</v>
      </c>
      <c r="D598">
        <v>2</v>
      </c>
      <c r="E598" t="s">
        <v>1267</v>
      </c>
      <c r="F598" t="s">
        <v>724</v>
      </c>
      <c r="G598" t="s">
        <v>533</v>
      </c>
      <c r="H598" t="s">
        <v>10</v>
      </c>
      <c r="I598" t="str">
        <f t="shared" si="47"/>
        <v>Female</v>
      </c>
      <c r="J598">
        <v>28</v>
      </c>
      <c r="K598" t="str">
        <f t="shared" si="48"/>
        <v>Adult</v>
      </c>
      <c r="L598" t="str" cm="1">
        <f t="array" ref="L598">_xlfn.IFS(J598&lt;13,"Child",J598&lt;18,"Teen",J598&lt;60,"Adult",J598&gt;60,"Old Age")</f>
        <v>Adult</v>
      </c>
      <c r="M598">
        <v>0</v>
      </c>
      <c r="N598">
        <v>0</v>
      </c>
      <c r="O598">
        <f t="shared" si="49"/>
        <v>1</v>
      </c>
      <c r="P598">
        <v>33</v>
      </c>
      <c r="Q598" t="str">
        <f t="shared" si="45"/>
        <v>High</v>
      </c>
      <c r="R598" t="s">
        <v>1514</v>
      </c>
    </row>
    <row r="599" spans="1:18" x14ac:dyDescent="0.45">
      <c r="A599">
        <v>598</v>
      </c>
      <c r="B599">
        <v>0</v>
      </c>
      <c r="C599" t="str">
        <f t="shared" si="46"/>
        <v>Not Survived</v>
      </c>
      <c r="D599">
        <v>3</v>
      </c>
      <c r="E599" t="s">
        <v>1105</v>
      </c>
      <c r="F599" t="s">
        <v>722</v>
      </c>
      <c r="G599" t="s">
        <v>63</v>
      </c>
      <c r="H599" t="s">
        <v>9</v>
      </c>
      <c r="I599" t="str">
        <f t="shared" si="47"/>
        <v>Male</v>
      </c>
      <c r="J599">
        <v>49</v>
      </c>
      <c r="K599" t="str">
        <f t="shared" si="48"/>
        <v>Adult</v>
      </c>
      <c r="L599" t="str" cm="1">
        <f t="array" ref="L599">_xlfn.IFS(J599&lt;13,"Child",J599&lt;18,"Teen",J599&lt;60,"Adult",J599&gt;60,"Old Age")</f>
        <v>Adult</v>
      </c>
      <c r="M599">
        <v>0</v>
      </c>
      <c r="N599">
        <v>0</v>
      </c>
      <c r="O599">
        <f t="shared" si="49"/>
        <v>1</v>
      </c>
      <c r="P599">
        <v>14.4542</v>
      </c>
      <c r="Q599" t="str">
        <f t="shared" si="45"/>
        <v>High</v>
      </c>
      <c r="R599" t="s">
        <v>1514</v>
      </c>
    </row>
    <row r="600" spans="1:18" x14ac:dyDescent="0.45">
      <c r="A600">
        <v>599</v>
      </c>
      <c r="B600">
        <v>0</v>
      </c>
      <c r="C600" t="str">
        <f t="shared" si="46"/>
        <v>Not Survived</v>
      </c>
      <c r="D600">
        <v>3</v>
      </c>
      <c r="E600" t="s">
        <v>774</v>
      </c>
      <c r="F600" t="s">
        <v>722</v>
      </c>
      <c r="G600" t="s">
        <v>183</v>
      </c>
      <c r="H600" t="s">
        <v>9</v>
      </c>
      <c r="I600" t="str">
        <f t="shared" si="47"/>
        <v>Male</v>
      </c>
      <c r="J600">
        <v>28</v>
      </c>
      <c r="K600" t="str">
        <f t="shared" si="48"/>
        <v>Adult</v>
      </c>
      <c r="L600" t="str" cm="1">
        <f t="array" ref="L600">_xlfn.IFS(J600&lt;13,"Child",J600&lt;18,"Teen",J600&lt;60,"Adult",J600&gt;60,"Old Age")</f>
        <v>Adult</v>
      </c>
      <c r="M600">
        <v>0</v>
      </c>
      <c r="N600">
        <v>0</v>
      </c>
      <c r="O600">
        <f t="shared" si="49"/>
        <v>1</v>
      </c>
      <c r="P600">
        <v>7.2249999999999996</v>
      </c>
      <c r="Q600" t="str">
        <f t="shared" si="45"/>
        <v>High</v>
      </c>
      <c r="R600" t="s">
        <v>1515</v>
      </c>
    </row>
    <row r="601" spans="1:18" x14ac:dyDescent="0.45">
      <c r="A601">
        <v>600</v>
      </c>
      <c r="B601">
        <v>1</v>
      </c>
      <c r="C601" t="str">
        <f t="shared" si="46"/>
        <v>Survived</v>
      </c>
      <c r="D601">
        <v>1</v>
      </c>
      <c r="E601" t="s">
        <v>1268</v>
      </c>
      <c r="F601" t="s">
        <v>733</v>
      </c>
      <c r="G601" t="s">
        <v>505</v>
      </c>
      <c r="H601" t="s">
        <v>9</v>
      </c>
      <c r="I601" t="str">
        <f t="shared" si="47"/>
        <v>Male</v>
      </c>
      <c r="J601">
        <v>49</v>
      </c>
      <c r="K601" t="str">
        <f t="shared" si="48"/>
        <v>Adult</v>
      </c>
      <c r="L601" t="str" cm="1">
        <f t="array" ref="L601">_xlfn.IFS(J601&lt;13,"Child",J601&lt;18,"Teen",J601&lt;60,"Adult",J601&gt;60,"Old Age")</f>
        <v>Adult</v>
      </c>
      <c r="M601">
        <v>1</v>
      </c>
      <c r="N601">
        <v>0</v>
      </c>
      <c r="O601">
        <f t="shared" si="49"/>
        <v>2</v>
      </c>
      <c r="P601">
        <v>56.929200000000002</v>
      </c>
      <c r="Q601" t="str">
        <f t="shared" si="45"/>
        <v>High</v>
      </c>
      <c r="R601" t="s">
        <v>1515</v>
      </c>
    </row>
    <row r="602" spans="1:18" x14ac:dyDescent="0.45">
      <c r="A602">
        <v>601</v>
      </c>
      <c r="B602">
        <v>1</v>
      </c>
      <c r="C602" t="str">
        <f t="shared" si="46"/>
        <v>Survived</v>
      </c>
      <c r="D602">
        <v>2</v>
      </c>
      <c r="E602" t="s">
        <v>1269</v>
      </c>
      <c r="F602" t="s">
        <v>723</v>
      </c>
      <c r="G602" t="s">
        <v>247</v>
      </c>
      <c r="H602" t="s">
        <v>10</v>
      </c>
      <c r="I602" t="str">
        <f t="shared" si="47"/>
        <v>Female</v>
      </c>
      <c r="J602">
        <v>24</v>
      </c>
      <c r="K602" t="str">
        <f t="shared" si="48"/>
        <v>Adult</v>
      </c>
      <c r="L602" t="str" cm="1">
        <f t="array" ref="L602">_xlfn.IFS(J602&lt;13,"Child",J602&lt;18,"Teen",J602&lt;60,"Adult",J602&gt;60,"Old Age")</f>
        <v>Adult</v>
      </c>
      <c r="M602">
        <v>2</v>
      </c>
      <c r="N602">
        <v>1</v>
      </c>
      <c r="O602">
        <f t="shared" si="49"/>
        <v>4</v>
      </c>
      <c r="P602">
        <v>27</v>
      </c>
      <c r="Q602" t="str">
        <f t="shared" si="45"/>
        <v>High</v>
      </c>
      <c r="R602" t="s">
        <v>1514</v>
      </c>
    </row>
    <row r="603" spans="1:18" x14ac:dyDescent="0.45">
      <c r="A603">
        <v>602</v>
      </c>
      <c r="B603">
        <v>0</v>
      </c>
      <c r="C603" t="str">
        <f t="shared" si="46"/>
        <v>Not Survived</v>
      </c>
      <c r="D603">
        <v>3</v>
      </c>
      <c r="E603" t="s">
        <v>1270</v>
      </c>
      <c r="F603" t="s">
        <v>722</v>
      </c>
      <c r="G603" t="s">
        <v>534</v>
      </c>
      <c r="H603" t="s">
        <v>9</v>
      </c>
      <c r="I603" t="str">
        <f t="shared" si="47"/>
        <v>Male</v>
      </c>
      <c r="J603">
        <v>28</v>
      </c>
      <c r="K603" t="str">
        <f t="shared" si="48"/>
        <v>Adult</v>
      </c>
      <c r="L603" t="str" cm="1">
        <f t="array" ref="L603">_xlfn.IFS(J603&lt;13,"Child",J603&lt;18,"Teen",J603&lt;60,"Adult",J603&gt;60,"Old Age")</f>
        <v>Adult</v>
      </c>
      <c r="M603">
        <v>0</v>
      </c>
      <c r="N603">
        <v>0</v>
      </c>
      <c r="O603">
        <f t="shared" si="49"/>
        <v>1</v>
      </c>
      <c r="P603">
        <v>7.8958000000000004</v>
      </c>
      <c r="Q603" t="str">
        <f t="shared" si="45"/>
        <v>High</v>
      </c>
      <c r="R603" t="s">
        <v>1514</v>
      </c>
    </row>
    <row r="604" spans="1:18" x14ac:dyDescent="0.45">
      <c r="A604">
        <v>603</v>
      </c>
      <c r="B604">
        <v>0</v>
      </c>
      <c r="C604" t="str">
        <f t="shared" si="46"/>
        <v>Not Survived</v>
      </c>
      <c r="D604">
        <v>1</v>
      </c>
      <c r="E604" t="s">
        <v>995</v>
      </c>
      <c r="F604" t="s">
        <v>722</v>
      </c>
      <c r="G604" t="s">
        <v>535</v>
      </c>
      <c r="H604" t="s">
        <v>9</v>
      </c>
      <c r="I604" t="str">
        <f t="shared" si="47"/>
        <v>Male</v>
      </c>
      <c r="J604">
        <v>28</v>
      </c>
      <c r="K604" t="str">
        <f t="shared" si="48"/>
        <v>Adult</v>
      </c>
      <c r="L604" t="str" cm="1">
        <f t="array" ref="L604">_xlfn.IFS(J604&lt;13,"Child",J604&lt;18,"Teen",J604&lt;60,"Adult",J604&gt;60,"Old Age")</f>
        <v>Adult</v>
      </c>
      <c r="M604">
        <v>0</v>
      </c>
      <c r="N604">
        <v>0</v>
      </c>
      <c r="O604">
        <f t="shared" si="49"/>
        <v>1</v>
      </c>
      <c r="P604">
        <v>42.4</v>
      </c>
      <c r="Q604" t="str">
        <f t="shared" si="45"/>
        <v>High</v>
      </c>
      <c r="R604" t="s">
        <v>1514</v>
      </c>
    </row>
    <row r="605" spans="1:18" x14ac:dyDescent="0.45">
      <c r="A605">
        <v>604</v>
      </c>
      <c r="B605">
        <v>0</v>
      </c>
      <c r="C605" t="str">
        <f t="shared" si="46"/>
        <v>Not Survived</v>
      </c>
      <c r="D605">
        <v>3</v>
      </c>
      <c r="E605" t="s">
        <v>1271</v>
      </c>
      <c r="F605" t="s">
        <v>722</v>
      </c>
      <c r="G605" t="s">
        <v>536</v>
      </c>
      <c r="H605" t="s">
        <v>9</v>
      </c>
      <c r="I605" t="str">
        <f t="shared" si="47"/>
        <v>Male</v>
      </c>
      <c r="J605">
        <v>44</v>
      </c>
      <c r="K605" t="str">
        <f t="shared" si="48"/>
        <v>Adult</v>
      </c>
      <c r="L605" t="str" cm="1">
        <f t="array" ref="L605">_xlfn.IFS(J605&lt;13,"Child",J605&lt;18,"Teen",J605&lt;60,"Adult",J605&gt;60,"Old Age")</f>
        <v>Adult</v>
      </c>
      <c r="M605">
        <v>0</v>
      </c>
      <c r="N605">
        <v>0</v>
      </c>
      <c r="O605">
        <f t="shared" si="49"/>
        <v>1</v>
      </c>
      <c r="P605" t="s">
        <v>12</v>
      </c>
      <c r="Q605" t="str">
        <f t="shared" si="45"/>
        <v>High</v>
      </c>
      <c r="R605" t="s">
        <v>1514</v>
      </c>
    </row>
    <row r="606" spans="1:18" x14ac:dyDescent="0.45">
      <c r="A606">
        <v>605</v>
      </c>
      <c r="B606">
        <v>1</v>
      </c>
      <c r="C606" t="str">
        <f t="shared" si="46"/>
        <v>Survived</v>
      </c>
      <c r="D606">
        <v>1</v>
      </c>
      <c r="E606" t="s">
        <v>1272</v>
      </c>
      <c r="F606" t="s">
        <v>722</v>
      </c>
      <c r="G606" t="s">
        <v>537</v>
      </c>
      <c r="H606" t="s">
        <v>9</v>
      </c>
      <c r="I606" t="str">
        <f t="shared" si="47"/>
        <v>Male</v>
      </c>
      <c r="J606">
        <v>35</v>
      </c>
      <c r="K606" t="str">
        <f t="shared" si="48"/>
        <v>Adult</v>
      </c>
      <c r="L606" t="str" cm="1">
        <f t="array" ref="L606">_xlfn.IFS(J606&lt;13,"Child",J606&lt;18,"Teen",J606&lt;60,"Adult",J606&gt;60,"Old Age")</f>
        <v>Adult</v>
      </c>
      <c r="M606">
        <v>0</v>
      </c>
      <c r="N606">
        <v>0</v>
      </c>
      <c r="O606">
        <f t="shared" si="49"/>
        <v>1</v>
      </c>
      <c r="P606">
        <v>26.55</v>
      </c>
      <c r="Q606" t="str">
        <f t="shared" si="45"/>
        <v>High</v>
      </c>
      <c r="R606" t="s">
        <v>1515</v>
      </c>
    </row>
    <row r="607" spans="1:18" x14ac:dyDescent="0.45">
      <c r="A607">
        <v>606</v>
      </c>
      <c r="B607">
        <v>0</v>
      </c>
      <c r="C607" t="str">
        <f t="shared" si="46"/>
        <v>Not Survived</v>
      </c>
      <c r="D607">
        <v>3</v>
      </c>
      <c r="E607" t="s">
        <v>1273</v>
      </c>
      <c r="F607" t="s">
        <v>722</v>
      </c>
      <c r="G607" t="s">
        <v>538</v>
      </c>
      <c r="H607" t="s">
        <v>9</v>
      </c>
      <c r="I607" t="str">
        <f t="shared" si="47"/>
        <v>Male</v>
      </c>
      <c r="J607">
        <v>36</v>
      </c>
      <c r="K607" t="str">
        <f t="shared" si="48"/>
        <v>Adult</v>
      </c>
      <c r="L607" t="str" cm="1">
        <f t="array" ref="L607">_xlfn.IFS(J607&lt;13,"Child",J607&lt;18,"Teen",J607&lt;60,"Adult",J607&gt;60,"Old Age")</f>
        <v>Adult</v>
      </c>
      <c r="M607">
        <v>1</v>
      </c>
      <c r="N607">
        <v>0</v>
      </c>
      <c r="O607">
        <f t="shared" si="49"/>
        <v>2</v>
      </c>
      <c r="P607">
        <v>15.55</v>
      </c>
      <c r="Q607" t="str">
        <f t="shared" si="45"/>
        <v>High</v>
      </c>
      <c r="R607" t="s">
        <v>1514</v>
      </c>
    </row>
    <row r="608" spans="1:18" x14ac:dyDescent="0.45">
      <c r="A608">
        <v>607</v>
      </c>
      <c r="B608">
        <v>0</v>
      </c>
      <c r="C608" t="str">
        <f t="shared" si="46"/>
        <v>Not Survived</v>
      </c>
      <c r="D608">
        <v>3</v>
      </c>
      <c r="E608" t="s">
        <v>1274</v>
      </c>
      <c r="F608" t="s">
        <v>722</v>
      </c>
      <c r="G608" t="s">
        <v>539</v>
      </c>
      <c r="H608" t="s">
        <v>9</v>
      </c>
      <c r="I608" t="str">
        <f t="shared" si="47"/>
        <v>Male</v>
      </c>
      <c r="J608">
        <v>30</v>
      </c>
      <c r="K608" t="str">
        <f t="shared" si="48"/>
        <v>Adult</v>
      </c>
      <c r="L608" t="str" cm="1">
        <f t="array" ref="L608">_xlfn.IFS(J608&lt;13,"Child",J608&lt;18,"Teen",J608&lt;60,"Adult",J608&gt;60,"Old Age")</f>
        <v>Adult</v>
      </c>
      <c r="M608">
        <v>0</v>
      </c>
      <c r="N608">
        <v>0</v>
      </c>
      <c r="O608">
        <f t="shared" si="49"/>
        <v>1</v>
      </c>
      <c r="P608">
        <v>7.8958000000000004</v>
      </c>
      <c r="Q608" t="str">
        <f t="shared" si="45"/>
        <v>High</v>
      </c>
      <c r="R608" t="s">
        <v>1514</v>
      </c>
    </row>
    <row r="609" spans="1:18" x14ac:dyDescent="0.45">
      <c r="A609">
        <v>608</v>
      </c>
      <c r="B609">
        <v>1</v>
      </c>
      <c r="C609" t="str">
        <f t="shared" si="46"/>
        <v>Survived</v>
      </c>
      <c r="D609">
        <v>1</v>
      </c>
      <c r="E609" t="s">
        <v>1275</v>
      </c>
      <c r="F609" t="s">
        <v>722</v>
      </c>
      <c r="G609" t="s">
        <v>540</v>
      </c>
      <c r="H609" t="s">
        <v>9</v>
      </c>
      <c r="I609" t="str">
        <f t="shared" si="47"/>
        <v>Male</v>
      </c>
      <c r="J609">
        <v>27</v>
      </c>
      <c r="K609" t="str">
        <f t="shared" si="48"/>
        <v>Adult</v>
      </c>
      <c r="L609" t="str" cm="1">
        <f t="array" ref="L609">_xlfn.IFS(J609&lt;13,"Child",J609&lt;18,"Teen",J609&lt;60,"Adult",J609&gt;60,"Old Age")</f>
        <v>Adult</v>
      </c>
      <c r="M609">
        <v>0</v>
      </c>
      <c r="N609">
        <v>0</v>
      </c>
      <c r="O609">
        <f t="shared" si="49"/>
        <v>1</v>
      </c>
      <c r="P609" t="s">
        <v>33</v>
      </c>
      <c r="Q609" t="str">
        <f t="shared" si="45"/>
        <v>High</v>
      </c>
      <c r="R609" t="s">
        <v>1514</v>
      </c>
    </row>
    <row r="610" spans="1:18" x14ac:dyDescent="0.45">
      <c r="A610">
        <v>609</v>
      </c>
      <c r="B610">
        <v>1</v>
      </c>
      <c r="C610" t="str">
        <f t="shared" si="46"/>
        <v>Survived</v>
      </c>
      <c r="D610">
        <v>2</v>
      </c>
      <c r="E610" t="s">
        <v>875</v>
      </c>
      <c r="F610" t="s">
        <v>723</v>
      </c>
      <c r="G610" t="s">
        <v>96</v>
      </c>
      <c r="H610" t="s">
        <v>10</v>
      </c>
      <c r="I610" t="str">
        <f t="shared" si="47"/>
        <v>Female</v>
      </c>
      <c r="J610">
        <v>22</v>
      </c>
      <c r="K610" t="str">
        <f t="shared" si="48"/>
        <v>Adult</v>
      </c>
      <c r="L610" t="str" cm="1">
        <f t="array" ref="L610">_xlfn.IFS(J610&lt;13,"Child",J610&lt;18,"Teen",J610&lt;60,"Adult",J610&gt;60,"Old Age")</f>
        <v>Adult</v>
      </c>
      <c r="M610">
        <v>1</v>
      </c>
      <c r="N610">
        <v>2</v>
      </c>
      <c r="O610">
        <f t="shared" si="49"/>
        <v>4</v>
      </c>
      <c r="P610">
        <v>41.5792</v>
      </c>
      <c r="Q610" t="str">
        <f t="shared" si="45"/>
        <v>High</v>
      </c>
      <c r="R610" t="s">
        <v>1515</v>
      </c>
    </row>
    <row r="611" spans="1:18" x14ac:dyDescent="0.45">
      <c r="A611">
        <v>610</v>
      </c>
      <c r="B611">
        <v>1</v>
      </c>
      <c r="C611" t="str">
        <f t="shared" si="46"/>
        <v>Survived</v>
      </c>
      <c r="D611">
        <v>1</v>
      </c>
      <c r="E611" t="s">
        <v>1276</v>
      </c>
      <c r="F611" t="s">
        <v>724</v>
      </c>
      <c r="G611" t="s">
        <v>541</v>
      </c>
      <c r="H611" t="s">
        <v>10</v>
      </c>
      <c r="I611" t="str">
        <f t="shared" si="47"/>
        <v>Female</v>
      </c>
      <c r="J611">
        <v>40</v>
      </c>
      <c r="K611" t="str">
        <f t="shared" si="48"/>
        <v>Adult</v>
      </c>
      <c r="L611" t="str" cm="1">
        <f t="array" ref="L611">_xlfn.IFS(J611&lt;13,"Child",J611&lt;18,"Teen",J611&lt;60,"Adult",J611&gt;60,"Old Age")</f>
        <v>Adult</v>
      </c>
      <c r="M611">
        <v>0</v>
      </c>
      <c r="N611">
        <v>0</v>
      </c>
      <c r="O611">
        <f t="shared" si="49"/>
        <v>1</v>
      </c>
      <c r="P611">
        <v>153.46250000000001</v>
      </c>
      <c r="Q611" t="str">
        <f t="shared" si="45"/>
        <v>High</v>
      </c>
      <c r="R611" t="s">
        <v>1514</v>
      </c>
    </row>
    <row r="612" spans="1:18" x14ac:dyDescent="0.45">
      <c r="A612">
        <v>611</v>
      </c>
      <c r="B612">
        <v>0</v>
      </c>
      <c r="C612" t="str">
        <f t="shared" si="46"/>
        <v>Not Survived</v>
      </c>
      <c r="D612">
        <v>3</v>
      </c>
      <c r="E612" t="s">
        <v>1277</v>
      </c>
      <c r="F612" t="s">
        <v>723</v>
      </c>
      <c r="G612" t="s">
        <v>68</v>
      </c>
      <c r="H612" t="s">
        <v>10</v>
      </c>
      <c r="I612" t="str">
        <f t="shared" si="47"/>
        <v>Female</v>
      </c>
      <c r="J612">
        <v>39</v>
      </c>
      <c r="K612" t="str">
        <f t="shared" si="48"/>
        <v>Adult</v>
      </c>
      <c r="L612" t="str" cm="1">
        <f t="array" ref="L612">_xlfn.IFS(J612&lt;13,"Child",J612&lt;18,"Teen",J612&lt;60,"Adult",J612&gt;60,"Old Age")</f>
        <v>Adult</v>
      </c>
      <c r="M612">
        <v>1</v>
      </c>
      <c r="N612">
        <v>5</v>
      </c>
      <c r="O612">
        <f t="shared" si="49"/>
        <v>7</v>
      </c>
      <c r="P612">
        <v>31.274999999999999</v>
      </c>
      <c r="Q612" t="str">
        <f t="shared" si="45"/>
        <v>High</v>
      </c>
      <c r="R612" t="s">
        <v>1514</v>
      </c>
    </row>
    <row r="613" spans="1:18" x14ac:dyDescent="0.45">
      <c r="A613">
        <v>612</v>
      </c>
      <c r="B613">
        <v>0</v>
      </c>
      <c r="C613" t="str">
        <f t="shared" si="46"/>
        <v>Not Survived</v>
      </c>
      <c r="D613">
        <v>3</v>
      </c>
      <c r="E613" t="s">
        <v>1278</v>
      </c>
      <c r="F613" t="s">
        <v>722</v>
      </c>
      <c r="G613" t="s">
        <v>542</v>
      </c>
      <c r="H613" t="s">
        <v>9</v>
      </c>
      <c r="I613" t="str">
        <f t="shared" si="47"/>
        <v>Male</v>
      </c>
      <c r="J613">
        <v>28</v>
      </c>
      <c r="K613" t="str">
        <f t="shared" si="48"/>
        <v>Adult</v>
      </c>
      <c r="L613" t="str" cm="1">
        <f t="array" ref="L613">_xlfn.IFS(J613&lt;13,"Child",J613&lt;18,"Teen",J613&lt;60,"Adult",J613&gt;60,"Old Age")</f>
        <v>Adult</v>
      </c>
      <c r="M613">
        <v>0</v>
      </c>
      <c r="N613">
        <v>0</v>
      </c>
      <c r="O613">
        <f t="shared" si="49"/>
        <v>1</v>
      </c>
      <c r="P613" t="s">
        <v>22</v>
      </c>
      <c r="Q613" t="str">
        <f t="shared" si="45"/>
        <v>High</v>
      </c>
      <c r="R613" t="s">
        <v>1514</v>
      </c>
    </row>
    <row r="614" spans="1:18" x14ac:dyDescent="0.45">
      <c r="A614">
        <v>613</v>
      </c>
      <c r="B614">
        <v>1</v>
      </c>
      <c r="C614" t="str">
        <f t="shared" si="46"/>
        <v>Survived</v>
      </c>
      <c r="D614">
        <v>3</v>
      </c>
      <c r="E614" t="s">
        <v>1279</v>
      </c>
      <c r="F614" t="s">
        <v>724</v>
      </c>
      <c r="G614" t="s">
        <v>266</v>
      </c>
      <c r="H614" t="s">
        <v>10</v>
      </c>
      <c r="I614" t="str">
        <f t="shared" si="47"/>
        <v>Female</v>
      </c>
      <c r="J614">
        <v>28</v>
      </c>
      <c r="K614" t="str">
        <f t="shared" si="48"/>
        <v>Adult</v>
      </c>
      <c r="L614" t="str" cm="1">
        <f t="array" ref="L614">_xlfn.IFS(J614&lt;13,"Child",J614&lt;18,"Teen",J614&lt;60,"Adult",J614&gt;60,"Old Age")</f>
        <v>Adult</v>
      </c>
      <c r="M614">
        <v>1</v>
      </c>
      <c r="N614">
        <v>0</v>
      </c>
      <c r="O614">
        <f t="shared" si="49"/>
        <v>2</v>
      </c>
      <c r="P614">
        <v>15.5</v>
      </c>
      <c r="Q614" t="str">
        <f t="shared" si="45"/>
        <v>High</v>
      </c>
      <c r="R614" t="s">
        <v>1516</v>
      </c>
    </row>
    <row r="615" spans="1:18" x14ac:dyDescent="0.45">
      <c r="A615">
        <v>614</v>
      </c>
      <c r="B615">
        <v>0</v>
      </c>
      <c r="C615" t="str">
        <f t="shared" si="46"/>
        <v>Not Survived</v>
      </c>
      <c r="D615">
        <v>3</v>
      </c>
      <c r="E615" t="s">
        <v>920</v>
      </c>
      <c r="F615" t="s">
        <v>722</v>
      </c>
      <c r="G615" t="s">
        <v>543</v>
      </c>
      <c r="H615" t="s">
        <v>9</v>
      </c>
      <c r="I615" t="str">
        <f t="shared" si="47"/>
        <v>Male</v>
      </c>
      <c r="J615">
        <v>28</v>
      </c>
      <c r="K615" t="str">
        <f t="shared" si="48"/>
        <v>Adult</v>
      </c>
      <c r="L615" t="str" cm="1">
        <f t="array" ref="L615">_xlfn.IFS(J615&lt;13,"Child",J615&lt;18,"Teen",J615&lt;60,"Adult",J615&gt;60,"Old Age")</f>
        <v>Adult</v>
      </c>
      <c r="M615">
        <v>0</v>
      </c>
      <c r="N615">
        <v>0</v>
      </c>
      <c r="O615">
        <f t="shared" si="49"/>
        <v>1</v>
      </c>
      <c r="P615">
        <v>7.75</v>
      </c>
      <c r="Q615" t="str">
        <f t="shared" si="45"/>
        <v>High</v>
      </c>
      <c r="R615" t="s">
        <v>1516</v>
      </c>
    </row>
    <row r="616" spans="1:18" x14ac:dyDescent="0.45">
      <c r="A616">
        <v>615</v>
      </c>
      <c r="B616">
        <v>0</v>
      </c>
      <c r="C616" t="str">
        <f t="shared" si="46"/>
        <v>Not Survived</v>
      </c>
      <c r="D616">
        <v>3</v>
      </c>
      <c r="E616" t="s">
        <v>1280</v>
      </c>
      <c r="F616" t="s">
        <v>722</v>
      </c>
      <c r="G616" t="s">
        <v>544</v>
      </c>
      <c r="H616" t="s">
        <v>9</v>
      </c>
      <c r="I616" t="str">
        <f t="shared" si="47"/>
        <v>Male</v>
      </c>
      <c r="J616">
        <v>35</v>
      </c>
      <c r="K616" t="str">
        <f t="shared" si="48"/>
        <v>Adult</v>
      </c>
      <c r="L616" t="str" cm="1">
        <f t="array" ref="L616">_xlfn.IFS(J616&lt;13,"Child",J616&lt;18,"Teen",J616&lt;60,"Adult",J616&gt;60,"Old Age")</f>
        <v>Adult</v>
      </c>
      <c r="M616">
        <v>0</v>
      </c>
      <c r="N616">
        <v>0</v>
      </c>
      <c r="O616">
        <f t="shared" si="49"/>
        <v>1</v>
      </c>
      <c r="P616" t="s">
        <v>12</v>
      </c>
      <c r="Q616" t="str">
        <f t="shared" si="45"/>
        <v>High</v>
      </c>
      <c r="R616" t="s">
        <v>1514</v>
      </c>
    </row>
    <row r="617" spans="1:18" x14ac:dyDescent="0.45">
      <c r="A617">
        <v>616</v>
      </c>
      <c r="B617">
        <v>1</v>
      </c>
      <c r="C617" t="str">
        <f t="shared" si="46"/>
        <v>Survived</v>
      </c>
      <c r="D617">
        <v>2</v>
      </c>
      <c r="E617" t="s">
        <v>1281</v>
      </c>
      <c r="F617" t="s">
        <v>724</v>
      </c>
      <c r="G617" t="s">
        <v>545</v>
      </c>
      <c r="H617" t="s">
        <v>10</v>
      </c>
      <c r="I617" t="str">
        <f t="shared" si="47"/>
        <v>Female</v>
      </c>
      <c r="J617">
        <v>24</v>
      </c>
      <c r="K617" t="str">
        <f t="shared" si="48"/>
        <v>Adult</v>
      </c>
      <c r="L617" t="str" cm="1">
        <f t="array" ref="L617">_xlfn.IFS(J617&lt;13,"Child",J617&lt;18,"Teen",J617&lt;60,"Adult",J617&gt;60,"Old Age")</f>
        <v>Adult</v>
      </c>
      <c r="M617">
        <v>1</v>
      </c>
      <c r="N617">
        <v>2</v>
      </c>
      <c r="O617">
        <f t="shared" si="49"/>
        <v>4</v>
      </c>
      <c r="P617">
        <v>65</v>
      </c>
      <c r="Q617" t="str">
        <f t="shared" si="45"/>
        <v>High</v>
      </c>
      <c r="R617" t="s">
        <v>1514</v>
      </c>
    </row>
    <row r="618" spans="1:18" x14ac:dyDescent="0.45">
      <c r="A618">
        <v>617</v>
      </c>
      <c r="B618">
        <v>0</v>
      </c>
      <c r="C618" t="str">
        <f t="shared" si="46"/>
        <v>Not Survived</v>
      </c>
      <c r="D618">
        <v>3</v>
      </c>
      <c r="E618" t="s">
        <v>1282</v>
      </c>
      <c r="F618" t="s">
        <v>722</v>
      </c>
      <c r="G618" t="s">
        <v>406</v>
      </c>
      <c r="H618" t="s">
        <v>9</v>
      </c>
      <c r="I618" t="str">
        <f t="shared" si="47"/>
        <v>Male</v>
      </c>
      <c r="J618">
        <v>34</v>
      </c>
      <c r="K618" t="str">
        <f t="shared" si="48"/>
        <v>Adult</v>
      </c>
      <c r="L618" t="str" cm="1">
        <f t="array" ref="L618">_xlfn.IFS(J618&lt;13,"Child",J618&lt;18,"Teen",J618&lt;60,"Adult",J618&gt;60,"Old Age")</f>
        <v>Adult</v>
      </c>
      <c r="M618">
        <v>1</v>
      </c>
      <c r="N618">
        <v>1</v>
      </c>
      <c r="O618">
        <f t="shared" si="49"/>
        <v>3</v>
      </c>
      <c r="P618">
        <v>14.4</v>
      </c>
      <c r="Q618" t="str">
        <f t="shared" si="45"/>
        <v>High</v>
      </c>
      <c r="R618" t="s">
        <v>1514</v>
      </c>
    </row>
    <row r="619" spans="1:18" x14ac:dyDescent="0.45">
      <c r="A619">
        <v>618</v>
      </c>
      <c r="B619">
        <v>0</v>
      </c>
      <c r="C619" t="str">
        <f t="shared" si="46"/>
        <v>Not Survived</v>
      </c>
      <c r="D619">
        <v>3</v>
      </c>
      <c r="E619" t="s">
        <v>1283</v>
      </c>
      <c r="F619" t="s">
        <v>723</v>
      </c>
      <c r="G619" t="s">
        <v>276</v>
      </c>
      <c r="H619" t="s">
        <v>10</v>
      </c>
      <c r="I619" t="str">
        <f t="shared" si="47"/>
        <v>Female</v>
      </c>
      <c r="J619">
        <v>26</v>
      </c>
      <c r="K619" t="str">
        <f t="shared" si="48"/>
        <v>Adult</v>
      </c>
      <c r="L619" t="str" cm="1">
        <f t="array" ref="L619">_xlfn.IFS(J619&lt;13,"Child",J619&lt;18,"Teen",J619&lt;60,"Adult",J619&gt;60,"Old Age")</f>
        <v>Adult</v>
      </c>
      <c r="M619">
        <v>1</v>
      </c>
      <c r="N619">
        <v>0</v>
      </c>
      <c r="O619">
        <f t="shared" si="49"/>
        <v>2</v>
      </c>
      <c r="P619">
        <v>16.100000000000001</v>
      </c>
      <c r="Q619" t="str">
        <f t="shared" si="45"/>
        <v>High</v>
      </c>
      <c r="R619" t="s">
        <v>1514</v>
      </c>
    </row>
    <row r="620" spans="1:18" x14ac:dyDescent="0.45">
      <c r="A620">
        <v>619</v>
      </c>
      <c r="B620">
        <v>1</v>
      </c>
      <c r="C620" t="str">
        <f t="shared" si="46"/>
        <v>Survived</v>
      </c>
      <c r="D620">
        <v>2</v>
      </c>
      <c r="E620" t="s">
        <v>1284</v>
      </c>
      <c r="F620" t="s">
        <v>724</v>
      </c>
      <c r="G620" t="s">
        <v>217</v>
      </c>
      <c r="H620" t="s">
        <v>10</v>
      </c>
      <c r="I620" t="str">
        <f t="shared" si="47"/>
        <v>Female</v>
      </c>
      <c r="J620">
        <v>4</v>
      </c>
      <c r="K620" t="str">
        <f t="shared" si="48"/>
        <v>Child</v>
      </c>
      <c r="L620" t="str" cm="1">
        <f t="array" ref="L620">_xlfn.IFS(J620&lt;13,"Child",J620&lt;18,"Teen",J620&lt;60,"Adult",J620&gt;60,"Old Age")</f>
        <v>Child</v>
      </c>
      <c r="M620">
        <v>2</v>
      </c>
      <c r="N620">
        <v>1</v>
      </c>
      <c r="O620">
        <f t="shared" si="49"/>
        <v>4</v>
      </c>
      <c r="P620">
        <v>39</v>
      </c>
      <c r="Q620" t="str">
        <f t="shared" si="45"/>
        <v>High</v>
      </c>
      <c r="R620" t="s">
        <v>1514</v>
      </c>
    </row>
    <row r="621" spans="1:18" x14ac:dyDescent="0.45">
      <c r="A621">
        <v>620</v>
      </c>
      <c r="B621">
        <v>0</v>
      </c>
      <c r="C621" t="str">
        <f t="shared" si="46"/>
        <v>Not Survived</v>
      </c>
      <c r="D621">
        <v>2</v>
      </c>
      <c r="E621" t="s">
        <v>759</v>
      </c>
      <c r="F621" t="s">
        <v>722</v>
      </c>
      <c r="G621" t="s">
        <v>546</v>
      </c>
      <c r="H621" t="s">
        <v>9</v>
      </c>
      <c r="I621" t="str">
        <f t="shared" si="47"/>
        <v>Male</v>
      </c>
      <c r="J621">
        <v>26</v>
      </c>
      <c r="K621" t="str">
        <f t="shared" si="48"/>
        <v>Adult</v>
      </c>
      <c r="L621" t="str" cm="1">
        <f t="array" ref="L621">_xlfn.IFS(J621&lt;13,"Child",J621&lt;18,"Teen",J621&lt;60,"Adult",J621&gt;60,"Old Age")</f>
        <v>Adult</v>
      </c>
      <c r="M621">
        <v>0</v>
      </c>
      <c r="N621">
        <v>0</v>
      </c>
      <c r="O621">
        <f t="shared" si="49"/>
        <v>1</v>
      </c>
      <c r="P621" t="s">
        <v>18</v>
      </c>
      <c r="Q621" t="str">
        <f t="shared" si="45"/>
        <v>High</v>
      </c>
      <c r="R621" t="s">
        <v>1514</v>
      </c>
    </row>
    <row r="622" spans="1:18" x14ac:dyDescent="0.45">
      <c r="A622">
        <v>621</v>
      </c>
      <c r="B622">
        <v>0</v>
      </c>
      <c r="C622" t="str">
        <f t="shared" si="46"/>
        <v>Not Survived</v>
      </c>
      <c r="D622">
        <v>3</v>
      </c>
      <c r="E622" t="s">
        <v>1285</v>
      </c>
      <c r="F622" t="s">
        <v>722</v>
      </c>
      <c r="G622" t="s">
        <v>547</v>
      </c>
      <c r="H622" t="s">
        <v>9</v>
      </c>
      <c r="I622" t="str">
        <f t="shared" si="47"/>
        <v>Male</v>
      </c>
      <c r="J622">
        <v>27</v>
      </c>
      <c r="K622" t="str">
        <f t="shared" si="48"/>
        <v>Adult</v>
      </c>
      <c r="L622" t="str" cm="1">
        <f t="array" ref="L622">_xlfn.IFS(J622&lt;13,"Child",J622&lt;18,"Teen",J622&lt;60,"Adult",J622&gt;60,"Old Age")</f>
        <v>Adult</v>
      </c>
      <c r="M622">
        <v>1</v>
      </c>
      <c r="N622">
        <v>0</v>
      </c>
      <c r="O622">
        <f t="shared" si="49"/>
        <v>2</v>
      </c>
      <c r="P622">
        <v>14.4542</v>
      </c>
      <c r="Q622" t="str">
        <f t="shared" si="45"/>
        <v>High</v>
      </c>
      <c r="R622" t="s">
        <v>1515</v>
      </c>
    </row>
    <row r="623" spans="1:18" x14ac:dyDescent="0.45">
      <c r="A623">
        <v>622</v>
      </c>
      <c r="B623">
        <v>1</v>
      </c>
      <c r="C623" t="str">
        <f t="shared" si="46"/>
        <v>Survived</v>
      </c>
      <c r="D623">
        <v>1</v>
      </c>
      <c r="E623" t="s">
        <v>1286</v>
      </c>
      <c r="F623" t="s">
        <v>722</v>
      </c>
      <c r="G623" t="s">
        <v>548</v>
      </c>
      <c r="H623" t="s">
        <v>9</v>
      </c>
      <c r="I623" t="str">
        <f t="shared" si="47"/>
        <v>Male</v>
      </c>
      <c r="J623">
        <v>42</v>
      </c>
      <c r="K623" t="str">
        <f t="shared" si="48"/>
        <v>Adult</v>
      </c>
      <c r="L623" t="str" cm="1">
        <f t="array" ref="L623">_xlfn.IFS(J623&lt;13,"Child",J623&lt;18,"Teen",J623&lt;60,"Adult",J623&gt;60,"Old Age")</f>
        <v>Adult</v>
      </c>
      <c r="M623">
        <v>1</v>
      </c>
      <c r="N623">
        <v>0</v>
      </c>
      <c r="O623">
        <f t="shared" si="49"/>
        <v>2</v>
      </c>
      <c r="P623">
        <v>52.554200000000002</v>
      </c>
      <c r="Q623" t="str">
        <f t="shared" si="45"/>
        <v>High</v>
      </c>
      <c r="R623" t="s">
        <v>1514</v>
      </c>
    </row>
    <row r="624" spans="1:18" x14ac:dyDescent="0.45">
      <c r="A624">
        <v>623</v>
      </c>
      <c r="B624">
        <v>1</v>
      </c>
      <c r="C624" t="str">
        <f t="shared" si="46"/>
        <v>Survived</v>
      </c>
      <c r="D624">
        <v>3</v>
      </c>
      <c r="E624" t="s">
        <v>1287</v>
      </c>
      <c r="F624" t="s">
        <v>722</v>
      </c>
      <c r="G624" t="s">
        <v>377</v>
      </c>
      <c r="H624" t="s">
        <v>9</v>
      </c>
      <c r="I624" t="str">
        <f t="shared" si="47"/>
        <v>Male</v>
      </c>
      <c r="J624">
        <v>20</v>
      </c>
      <c r="K624" t="str">
        <f t="shared" si="48"/>
        <v>Adult</v>
      </c>
      <c r="L624" t="str" cm="1">
        <f t="array" ref="L624">_xlfn.IFS(J624&lt;13,"Child",J624&lt;18,"Teen",J624&lt;60,"Adult",J624&gt;60,"Old Age")</f>
        <v>Adult</v>
      </c>
      <c r="M624">
        <v>1</v>
      </c>
      <c r="N624">
        <v>1</v>
      </c>
      <c r="O624">
        <f t="shared" si="49"/>
        <v>3</v>
      </c>
      <c r="P624">
        <v>15.7417</v>
      </c>
      <c r="Q624" t="str">
        <f t="shared" si="45"/>
        <v>High</v>
      </c>
      <c r="R624" t="s">
        <v>1515</v>
      </c>
    </row>
    <row r="625" spans="1:18" x14ac:dyDescent="0.45">
      <c r="A625">
        <v>624</v>
      </c>
      <c r="B625">
        <v>0</v>
      </c>
      <c r="C625" t="str">
        <f t="shared" si="46"/>
        <v>Not Survived</v>
      </c>
      <c r="D625">
        <v>3</v>
      </c>
      <c r="E625" t="s">
        <v>1288</v>
      </c>
      <c r="F625" t="s">
        <v>722</v>
      </c>
      <c r="G625" t="s">
        <v>549</v>
      </c>
      <c r="H625" t="s">
        <v>9</v>
      </c>
      <c r="I625" t="str">
        <f t="shared" si="47"/>
        <v>Male</v>
      </c>
      <c r="J625">
        <v>21</v>
      </c>
      <c r="K625" t="str">
        <f t="shared" si="48"/>
        <v>Adult</v>
      </c>
      <c r="L625" t="str" cm="1">
        <f t="array" ref="L625">_xlfn.IFS(J625&lt;13,"Child",J625&lt;18,"Teen",J625&lt;60,"Adult",J625&gt;60,"Old Age")</f>
        <v>Adult</v>
      </c>
      <c r="M625">
        <v>0</v>
      </c>
      <c r="N625">
        <v>0</v>
      </c>
      <c r="O625">
        <f t="shared" si="49"/>
        <v>1</v>
      </c>
      <c r="P625">
        <v>7.8541999999999996</v>
      </c>
      <c r="Q625" t="str">
        <f t="shared" si="45"/>
        <v>High</v>
      </c>
      <c r="R625" t="s">
        <v>1514</v>
      </c>
    </row>
    <row r="626" spans="1:18" x14ac:dyDescent="0.45">
      <c r="A626">
        <v>625</v>
      </c>
      <c r="B626">
        <v>0</v>
      </c>
      <c r="C626" t="str">
        <f t="shared" si="46"/>
        <v>Not Survived</v>
      </c>
      <c r="D626">
        <v>3</v>
      </c>
      <c r="E626" t="s">
        <v>1289</v>
      </c>
      <c r="F626" t="s">
        <v>722</v>
      </c>
      <c r="G626" t="s">
        <v>550</v>
      </c>
      <c r="H626" t="s">
        <v>9</v>
      </c>
      <c r="I626" t="str">
        <f t="shared" si="47"/>
        <v>Male</v>
      </c>
      <c r="J626">
        <v>21</v>
      </c>
      <c r="K626" t="str">
        <f t="shared" si="48"/>
        <v>Adult</v>
      </c>
      <c r="L626" t="str" cm="1">
        <f t="array" ref="L626">_xlfn.IFS(J626&lt;13,"Child",J626&lt;18,"Teen",J626&lt;60,"Adult",J626&gt;60,"Old Age")</f>
        <v>Adult</v>
      </c>
      <c r="M626">
        <v>0</v>
      </c>
      <c r="N626">
        <v>0</v>
      </c>
      <c r="O626">
        <f t="shared" si="49"/>
        <v>1</v>
      </c>
      <c r="P626">
        <v>16.100000000000001</v>
      </c>
      <c r="Q626" t="str">
        <f t="shared" si="45"/>
        <v>High</v>
      </c>
      <c r="R626" t="s">
        <v>1514</v>
      </c>
    </row>
    <row r="627" spans="1:18" x14ac:dyDescent="0.45">
      <c r="A627">
        <v>626</v>
      </c>
      <c r="B627">
        <v>0</v>
      </c>
      <c r="C627" t="str">
        <f t="shared" si="46"/>
        <v>Not Survived</v>
      </c>
      <c r="D627">
        <v>1</v>
      </c>
      <c r="E627" t="s">
        <v>932</v>
      </c>
      <c r="F627" t="s">
        <v>722</v>
      </c>
      <c r="G627" t="s">
        <v>551</v>
      </c>
      <c r="H627" t="s">
        <v>9</v>
      </c>
      <c r="I627" t="str">
        <f t="shared" si="47"/>
        <v>Male</v>
      </c>
      <c r="J627">
        <v>61</v>
      </c>
      <c r="K627" t="str">
        <f t="shared" si="48"/>
        <v>Old Age</v>
      </c>
      <c r="L627" t="str" cm="1">
        <f t="array" ref="L627">_xlfn.IFS(J627&lt;13,"Child",J627&lt;18,"Teen",J627&lt;60,"Adult",J627&gt;60,"Old Age")</f>
        <v>Old Age</v>
      </c>
      <c r="M627">
        <v>0</v>
      </c>
      <c r="N627">
        <v>0</v>
      </c>
      <c r="O627">
        <f t="shared" si="49"/>
        <v>1</v>
      </c>
      <c r="P627" t="s">
        <v>44</v>
      </c>
      <c r="Q627" t="str">
        <f t="shared" si="45"/>
        <v>High</v>
      </c>
      <c r="R627" t="s">
        <v>1514</v>
      </c>
    </row>
    <row r="628" spans="1:18" x14ac:dyDescent="0.45">
      <c r="A628">
        <v>627</v>
      </c>
      <c r="B628">
        <v>0</v>
      </c>
      <c r="C628" t="str">
        <f t="shared" si="46"/>
        <v>Not Survived</v>
      </c>
      <c r="D628">
        <v>2</v>
      </c>
      <c r="E628" t="s">
        <v>1290</v>
      </c>
      <c r="F628" t="s">
        <v>727</v>
      </c>
      <c r="G628" t="s">
        <v>552</v>
      </c>
      <c r="H628" t="s">
        <v>9</v>
      </c>
      <c r="I628" t="str">
        <f t="shared" si="47"/>
        <v>Male</v>
      </c>
      <c r="J628">
        <v>57</v>
      </c>
      <c r="K628" t="str">
        <f t="shared" si="48"/>
        <v>Adult</v>
      </c>
      <c r="L628" t="str" cm="1">
        <f t="array" ref="L628">_xlfn.IFS(J628&lt;13,"Child",J628&lt;18,"Teen",J628&lt;60,"Adult",J628&gt;60,"Old Age")</f>
        <v>Adult</v>
      </c>
      <c r="M628">
        <v>0</v>
      </c>
      <c r="N628">
        <v>0</v>
      </c>
      <c r="O628">
        <f t="shared" si="49"/>
        <v>1</v>
      </c>
      <c r="P628">
        <v>12.35</v>
      </c>
      <c r="Q628" t="str">
        <f t="shared" si="45"/>
        <v>High</v>
      </c>
      <c r="R628" t="s">
        <v>1516</v>
      </c>
    </row>
    <row r="629" spans="1:18" x14ac:dyDescent="0.45">
      <c r="A629">
        <v>628</v>
      </c>
      <c r="B629">
        <v>1</v>
      </c>
      <c r="C629" t="str">
        <f t="shared" si="46"/>
        <v>Survived</v>
      </c>
      <c r="D629">
        <v>1</v>
      </c>
      <c r="E629" t="s">
        <v>1291</v>
      </c>
      <c r="F629" t="s">
        <v>724</v>
      </c>
      <c r="G629" t="s">
        <v>553</v>
      </c>
      <c r="H629" t="s">
        <v>10</v>
      </c>
      <c r="I629" t="str">
        <f t="shared" si="47"/>
        <v>Female</v>
      </c>
      <c r="J629">
        <v>21</v>
      </c>
      <c r="K629" t="str">
        <f t="shared" si="48"/>
        <v>Adult</v>
      </c>
      <c r="L629" t="str" cm="1">
        <f t="array" ref="L629">_xlfn.IFS(J629&lt;13,"Child",J629&lt;18,"Teen",J629&lt;60,"Adult",J629&gt;60,"Old Age")</f>
        <v>Adult</v>
      </c>
      <c r="M629">
        <v>0</v>
      </c>
      <c r="N629">
        <v>0</v>
      </c>
      <c r="O629">
        <f t="shared" si="49"/>
        <v>1</v>
      </c>
      <c r="P629">
        <v>77.958299999999994</v>
      </c>
      <c r="Q629" t="str">
        <f t="shared" si="45"/>
        <v>High</v>
      </c>
      <c r="R629" t="s">
        <v>1514</v>
      </c>
    </row>
    <row r="630" spans="1:18" x14ac:dyDescent="0.45">
      <c r="A630">
        <v>629</v>
      </c>
      <c r="B630">
        <v>0</v>
      </c>
      <c r="C630" t="str">
        <f t="shared" si="46"/>
        <v>Not Survived</v>
      </c>
      <c r="D630">
        <v>3</v>
      </c>
      <c r="E630" t="s">
        <v>1292</v>
      </c>
      <c r="F630" t="s">
        <v>722</v>
      </c>
      <c r="G630" t="s">
        <v>554</v>
      </c>
      <c r="H630" t="s">
        <v>9</v>
      </c>
      <c r="I630" t="str">
        <f t="shared" si="47"/>
        <v>Male</v>
      </c>
      <c r="J630">
        <v>26</v>
      </c>
      <c r="K630" t="str">
        <f t="shared" si="48"/>
        <v>Adult</v>
      </c>
      <c r="L630" t="str" cm="1">
        <f t="array" ref="L630">_xlfn.IFS(J630&lt;13,"Child",J630&lt;18,"Teen",J630&lt;60,"Adult",J630&gt;60,"Old Age")</f>
        <v>Adult</v>
      </c>
      <c r="M630">
        <v>0</v>
      </c>
      <c r="N630">
        <v>0</v>
      </c>
      <c r="O630">
        <f t="shared" si="49"/>
        <v>1</v>
      </c>
      <c r="P630">
        <v>7.8958000000000004</v>
      </c>
      <c r="Q630" t="str">
        <f t="shared" si="45"/>
        <v>High</v>
      </c>
      <c r="R630" t="s">
        <v>1514</v>
      </c>
    </row>
    <row r="631" spans="1:18" x14ac:dyDescent="0.45">
      <c r="A631">
        <v>630</v>
      </c>
      <c r="B631">
        <v>0</v>
      </c>
      <c r="C631" t="str">
        <f t="shared" si="46"/>
        <v>Not Survived</v>
      </c>
      <c r="D631">
        <v>3</v>
      </c>
      <c r="E631" t="s">
        <v>1293</v>
      </c>
      <c r="F631" t="s">
        <v>722</v>
      </c>
      <c r="G631" t="s">
        <v>555</v>
      </c>
      <c r="H631" t="s">
        <v>9</v>
      </c>
      <c r="I631" t="str">
        <f t="shared" si="47"/>
        <v>Male</v>
      </c>
      <c r="J631">
        <v>28</v>
      </c>
      <c r="K631" t="str">
        <f t="shared" si="48"/>
        <v>Adult</v>
      </c>
      <c r="L631" t="str" cm="1">
        <f t="array" ref="L631">_xlfn.IFS(J631&lt;13,"Child",J631&lt;18,"Teen",J631&lt;60,"Adult",J631&gt;60,"Old Age")</f>
        <v>Adult</v>
      </c>
      <c r="M631">
        <v>0</v>
      </c>
      <c r="N631">
        <v>0</v>
      </c>
      <c r="O631">
        <f t="shared" si="49"/>
        <v>1</v>
      </c>
      <c r="P631">
        <v>7.7332999999999998</v>
      </c>
      <c r="Q631" t="str">
        <f t="shared" si="45"/>
        <v>High</v>
      </c>
      <c r="R631" t="s">
        <v>1516</v>
      </c>
    </row>
    <row r="632" spans="1:18" x14ac:dyDescent="0.45">
      <c r="A632">
        <v>631</v>
      </c>
      <c r="B632">
        <v>1</v>
      </c>
      <c r="C632" t="str">
        <f t="shared" si="46"/>
        <v>Survived</v>
      </c>
      <c r="D632">
        <v>1</v>
      </c>
      <c r="E632" t="s">
        <v>1294</v>
      </c>
      <c r="F632" t="s">
        <v>722</v>
      </c>
      <c r="G632" t="s">
        <v>556</v>
      </c>
      <c r="H632" t="s">
        <v>9</v>
      </c>
      <c r="I632" t="str">
        <f t="shared" si="47"/>
        <v>Male</v>
      </c>
      <c r="J632">
        <v>80</v>
      </c>
      <c r="K632" t="str">
        <f t="shared" si="48"/>
        <v>Old Age</v>
      </c>
      <c r="L632" t="str" cm="1">
        <f t="array" ref="L632">_xlfn.IFS(J632&lt;13,"Child",J632&lt;18,"Teen",J632&lt;60,"Adult",J632&gt;60,"Old Age")</f>
        <v>Old Age</v>
      </c>
      <c r="M632">
        <v>0</v>
      </c>
      <c r="N632">
        <v>0</v>
      </c>
      <c r="O632">
        <f t="shared" si="49"/>
        <v>1</v>
      </c>
      <c r="P632">
        <v>314.45420000000001</v>
      </c>
      <c r="Q632" t="str">
        <f t="shared" si="45"/>
        <v>High</v>
      </c>
      <c r="R632" t="s">
        <v>1514</v>
      </c>
    </row>
    <row r="633" spans="1:18" x14ac:dyDescent="0.45">
      <c r="A633">
        <v>632</v>
      </c>
      <c r="B633">
        <v>0</v>
      </c>
      <c r="C633" t="str">
        <f t="shared" si="46"/>
        <v>Not Survived</v>
      </c>
      <c r="D633">
        <v>3</v>
      </c>
      <c r="E633" t="s">
        <v>1295</v>
      </c>
      <c r="F633" t="s">
        <v>722</v>
      </c>
      <c r="G633" t="s">
        <v>557</v>
      </c>
      <c r="H633" t="s">
        <v>9</v>
      </c>
      <c r="I633" t="str">
        <f t="shared" si="47"/>
        <v>Male</v>
      </c>
      <c r="J633">
        <v>51</v>
      </c>
      <c r="K633" t="str">
        <f t="shared" si="48"/>
        <v>Adult</v>
      </c>
      <c r="L633" t="str" cm="1">
        <f t="array" ref="L633">_xlfn.IFS(J633&lt;13,"Child",J633&lt;18,"Teen",J633&lt;60,"Adult",J633&gt;60,"Old Age")</f>
        <v>Adult</v>
      </c>
      <c r="M633">
        <v>0</v>
      </c>
      <c r="N633">
        <v>0</v>
      </c>
      <c r="O633">
        <f t="shared" si="49"/>
        <v>1</v>
      </c>
      <c r="P633" t="s">
        <v>45</v>
      </c>
      <c r="Q633" t="str">
        <f t="shared" si="45"/>
        <v>High</v>
      </c>
      <c r="R633" t="s">
        <v>1514</v>
      </c>
    </row>
    <row r="634" spans="1:18" x14ac:dyDescent="0.45">
      <c r="A634">
        <v>633</v>
      </c>
      <c r="B634">
        <v>1</v>
      </c>
      <c r="C634" t="str">
        <f t="shared" si="46"/>
        <v>Survived</v>
      </c>
      <c r="D634">
        <v>1</v>
      </c>
      <c r="E634" t="s">
        <v>1296</v>
      </c>
      <c r="F634" t="s">
        <v>728</v>
      </c>
      <c r="G634" t="s">
        <v>558</v>
      </c>
      <c r="H634" t="s">
        <v>9</v>
      </c>
      <c r="I634" t="str">
        <f t="shared" si="47"/>
        <v>Male</v>
      </c>
      <c r="J634">
        <v>32</v>
      </c>
      <c r="K634" t="str">
        <f t="shared" si="48"/>
        <v>Adult</v>
      </c>
      <c r="L634" t="str" cm="1">
        <f t="array" ref="L634">_xlfn.IFS(J634&lt;13,"Child",J634&lt;18,"Teen",J634&lt;60,"Adult",J634&gt;60,"Old Age")</f>
        <v>Adult</v>
      </c>
      <c r="M634">
        <v>0</v>
      </c>
      <c r="N634">
        <v>0</v>
      </c>
      <c r="O634">
        <f t="shared" si="49"/>
        <v>1</v>
      </c>
      <c r="P634" t="s">
        <v>33</v>
      </c>
      <c r="Q634" t="str">
        <f t="shared" si="45"/>
        <v>High</v>
      </c>
      <c r="R634" t="s">
        <v>1515</v>
      </c>
    </row>
    <row r="635" spans="1:18" x14ac:dyDescent="0.45">
      <c r="A635">
        <v>634</v>
      </c>
      <c r="B635">
        <v>0</v>
      </c>
      <c r="C635" t="str">
        <f t="shared" si="46"/>
        <v>Not Survived</v>
      </c>
      <c r="D635">
        <v>1</v>
      </c>
      <c r="E635" t="s">
        <v>1297</v>
      </c>
      <c r="F635" t="s">
        <v>722</v>
      </c>
      <c r="G635" t="s">
        <v>559</v>
      </c>
      <c r="H635" t="s">
        <v>9</v>
      </c>
      <c r="I635" t="str">
        <f t="shared" si="47"/>
        <v>Male</v>
      </c>
      <c r="J635">
        <v>28</v>
      </c>
      <c r="K635" t="str">
        <f t="shared" si="48"/>
        <v>Adult</v>
      </c>
      <c r="L635" t="str" cm="1">
        <f t="array" ref="L635">_xlfn.IFS(J635&lt;13,"Child",J635&lt;18,"Teen",J635&lt;60,"Adult",J635&gt;60,"Old Age")</f>
        <v>Adult</v>
      </c>
      <c r="M635">
        <v>0</v>
      </c>
      <c r="N635">
        <v>0</v>
      </c>
      <c r="O635">
        <f t="shared" si="49"/>
        <v>1</v>
      </c>
      <c r="P635">
        <v>14.4542</v>
      </c>
      <c r="Q635" t="str">
        <f t="shared" si="45"/>
        <v>High</v>
      </c>
      <c r="R635" t="s">
        <v>1514</v>
      </c>
    </row>
    <row r="636" spans="1:18" x14ac:dyDescent="0.45">
      <c r="A636">
        <v>635</v>
      </c>
      <c r="B636">
        <v>0</v>
      </c>
      <c r="C636" t="str">
        <f t="shared" si="46"/>
        <v>Not Survived</v>
      </c>
      <c r="D636">
        <v>3</v>
      </c>
      <c r="E636" t="s">
        <v>1298</v>
      </c>
      <c r="F636" t="s">
        <v>724</v>
      </c>
      <c r="G636" t="s">
        <v>116</v>
      </c>
      <c r="H636" t="s">
        <v>10</v>
      </c>
      <c r="I636" t="str">
        <f t="shared" si="47"/>
        <v>Female</v>
      </c>
      <c r="J636">
        <v>9</v>
      </c>
      <c r="K636" t="str">
        <f t="shared" si="48"/>
        <v>Child</v>
      </c>
      <c r="L636" t="str" cm="1">
        <f t="array" ref="L636">_xlfn.IFS(J636&lt;13,"Child",J636&lt;18,"Teen",J636&lt;60,"Adult",J636&gt;60,"Old Age")</f>
        <v>Child</v>
      </c>
      <c r="M636">
        <v>3</v>
      </c>
      <c r="N636">
        <v>2</v>
      </c>
      <c r="O636">
        <f t="shared" si="49"/>
        <v>6</v>
      </c>
      <c r="P636">
        <v>27.9</v>
      </c>
      <c r="Q636" t="str">
        <f t="shared" si="45"/>
        <v>High</v>
      </c>
      <c r="R636" t="s">
        <v>1514</v>
      </c>
    </row>
    <row r="637" spans="1:18" x14ac:dyDescent="0.45">
      <c r="A637">
        <v>636</v>
      </c>
      <c r="B637">
        <v>1</v>
      </c>
      <c r="C637" t="str">
        <f t="shared" si="46"/>
        <v>Survived</v>
      </c>
      <c r="D637">
        <v>2</v>
      </c>
      <c r="E637" t="s">
        <v>1073</v>
      </c>
      <c r="F637" t="s">
        <v>724</v>
      </c>
      <c r="G637" t="s">
        <v>560</v>
      </c>
      <c r="H637" t="s">
        <v>10</v>
      </c>
      <c r="I637" t="str">
        <f t="shared" si="47"/>
        <v>Female</v>
      </c>
      <c r="J637">
        <v>28</v>
      </c>
      <c r="K637" t="str">
        <f t="shared" si="48"/>
        <v>Adult</v>
      </c>
      <c r="L637" t="str" cm="1">
        <f t="array" ref="L637">_xlfn.IFS(J637&lt;13,"Child",J637&lt;18,"Teen",J637&lt;60,"Adult",J637&gt;60,"Old Age")</f>
        <v>Adult</v>
      </c>
      <c r="M637">
        <v>0</v>
      </c>
      <c r="N637">
        <v>0</v>
      </c>
      <c r="O637">
        <f t="shared" si="49"/>
        <v>1</v>
      </c>
      <c r="P637">
        <v>13</v>
      </c>
      <c r="Q637" t="str">
        <f t="shared" si="45"/>
        <v>High</v>
      </c>
      <c r="R637" t="s">
        <v>1514</v>
      </c>
    </row>
    <row r="638" spans="1:18" x14ac:dyDescent="0.45">
      <c r="A638">
        <v>637</v>
      </c>
      <c r="B638">
        <v>0</v>
      </c>
      <c r="C638" t="str">
        <f t="shared" si="46"/>
        <v>Not Survived</v>
      </c>
      <c r="D638">
        <v>3</v>
      </c>
      <c r="E638" t="s">
        <v>1299</v>
      </c>
      <c r="F638" t="s">
        <v>722</v>
      </c>
      <c r="G638" t="s">
        <v>561</v>
      </c>
      <c r="H638" t="s">
        <v>9</v>
      </c>
      <c r="I638" t="str">
        <f t="shared" si="47"/>
        <v>Male</v>
      </c>
      <c r="J638">
        <v>32</v>
      </c>
      <c r="K638" t="str">
        <f t="shared" si="48"/>
        <v>Adult</v>
      </c>
      <c r="L638" t="str" cm="1">
        <f t="array" ref="L638">_xlfn.IFS(J638&lt;13,"Child",J638&lt;18,"Teen",J638&lt;60,"Adult",J638&gt;60,"Old Age")</f>
        <v>Adult</v>
      </c>
      <c r="M638">
        <v>0</v>
      </c>
      <c r="N638">
        <v>0</v>
      </c>
      <c r="O638">
        <f t="shared" si="49"/>
        <v>1</v>
      </c>
      <c r="P638">
        <v>7.9249999999999998</v>
      </c>
      <c r="Q638" t="str">
        <f t="shared" si="45"/>
        <v>High</v>
      </c>
      <c r="R638" t="s">
        <v>1514</v>
      </c>
    </row>
    <row r="639" spans="1:18" x14ac:dyDescent="0.45">
      <c r="A639">
        <v>638</v>
      </c>
      <c r="B639">
        <v>0</v>
      </c>
      <c r="C639" t="str">
        <f t="shared" si="46"/>
        <v>Not Survived</v>
      </c>
      <c r="D639">
        <v>2</v>
      </c>
      <c r="E639" t="s">
        <v>1300</v>
      </c>
      <c r="F639" t="s">
        <v>722</v>
      </c>
      <c r="G639" t="s">
        <v>263</v>
      </c>
      <c r="H639" t="s">
        <v>9</v>
      </c>
      <c r="I639" t="str">
        <f t="shared" si="47"/>
        <v>Male</v>
      </c>
      <c r="J639">
        <v>31</v>
      </c>
      <c r="K639" t="str">
        <f t="shared" si="48"/>
        <v>Adult</v>
      </c>
      <c r="L639" t="str" cm="1">
        <f t="array" ref="L639">_xlfn.IFS(J639&lt;13,"Child",J639&lt;18,"Teen",J639&lt;60,"Adult",J639&gt;60,"Old Age")</f>
        <v>Adult</v>
      </c>
      <c r="M639">
        <v>1</v>
      </c>
      <c r="N639">
        <v>1</v>
      </c>
      <c r="O639">
        <f t="shared" si="49"/>
        <v>3</v>
      </c>
      <c r="P639">
        <v>26.25</v>
      </c>
      <c r="Q639" t="str">
        <f t="shared" si="45"/>
        <v>High</v>
      </c>
      <c r="R639" t="s">
        <v>1514</v>
      </c>
    </row>
    <row r="640" spans="1:18" x14ac:dyDescent="0.45">
      <c r="A640">
        <v>639</v>
      </c>
      <c r="B640">
        <v>0</v>
      </c>
      <c r="C640" t="str">
        <f t="shared" si="46"/>
        <v>Not Survived</v>
      </c>
      <c r="D640">
        <v>3</v>
      </c>
      <c r="E640" t="s">
        <v>1301</v>
      </c>
      <c r="F640" t="s">
        <v>723</v>
      </c>
      <c r="G640" t="s">
        <v>103</v>
      </c>
      <c r="H640" t="s">
        <v>10</v>
      </c>
      <c r="I640" t="str">
        <f t="shared" si="47"/>
        <v>Female</v>
      </c>
      <c r="J640">
        <v>41</v>
      </c>
      <c r="K640" t="str">
        <f t="shared" si="48"/>
        <v>Adult</v>
      </c>
      <c r="L640" t="str" cm="1">
        <f t="array" ref="L640">_xlfn.IFS(J640&lt;13,"Child",J640&lt;18,"Teen",J640&lt;60,"Adult",J640&gt;60,"Old Age")</f>
        <v>Adult</v>
      </c>
      <c r="M640">
        <v>0</v>
      </c>
      <c r="N640">
        <v>5</v>
      </c>
      <c r="O640">
        <f t="shared" si="49"/>
        <v>6</v>
      </c>
      <c r="P640">
        <v>39.6875</v>
      </c>
      <c r="Q640" t="str">
        <f t="shared" si="45"/>
        <v>High</v>
      </c>
      <c r="R640" t="s">
        <v>1514</v>
      </c>
    </row>
    <row r="641" spans="1:18" x14ac:dyDescent="0.45">
      <c r="A641">
        <v>640</v>
      </c>
      <c r="B641">
        <v>0</v>
      </c>
      <c r="C641" t="str">
        <f t="shared" si="46"/>
        <v>Not Survived</v>
      </c>
      <c r="D641">
        <v>3</v>
      </c>
      <c r="E641" t="s">
        <v>1302</v>
      </c>
      <c r="F641" t="s">
        <v>722</v>
      </c>
      <c r="G641" t="s">
        <v>413</v>
      </c>
      <c r="H641" t="s">
        <v>9</v>
      </c>
      <c r="I641" t="str">
        <f t="shared" si="47"/>
        <v>Male</v>
      </c>
      <c r="J641">
        <v>28</v>
      </c>
      <c r="K641" t="str">
        <f t="shared" si="48"/>
        <v>Adult</v>
      </c>
      <c r="L641" t="str" cm="1">
        <f t="array" ref="L641">_xlfn.IFS(J641&lt;13,"Child",J641&lt;18,"Teen",J641&lt;60,"Adult",J641&gt;60,"Old Age")</f>
        <v>Adult</v>
      </c>
      <c r="M641">
        <v>1</v>
      </c>
      <c r="N641">
        <v>0</v>
      </c>
      <c r="O641">
        <f t="shared" si="49"/>
        <v>2</v>
      </c>
      <c r="P641">
        <v>16.100000000000001</v>
      </c>
      <c r="Q641" t="str">
        <f t="shared" si="45"/>
        <v>High</v>
      </c>
      <c r="R641" t="s">
        <v>1514</v>
      </c>
    </row>
    <row r="642" spans="1:18" x14ac:dyDescent="0.45">
      <c r="A642">
        <v>641</v>
      </c>
      <c r="B642">
        <v>0</v>
      </c>
      <c r="C642" t="str">
        <f t="shared" si="46"/>
        <v>Not Survived</v>
      </c>
      <c r="D642">
        <v>3</v>
      </c>
      <c r="E642" t="s">
        <v>1303</v>
      </c>
      <c r="F642" t="s">
        <v>722</v>
      </c>
      <c r="G642" t="s">
        <v>562</v>
      </c>
      <c r="H642" t="s">
        <v>9</v>
      </c>
      <c r="I642" t="str">
        <f t="shared" si="47"/>
        <v>Male</v>
      </c>
      <c r="J642">
        <v>20</v>
      </c>
      <c r="K642" t="str">
        <f t="shared" si="48"/>
        <v>Adult</v>
      </c>
      <c r="L642" t="str" cm="1">
        <f t="array" ref="L642">_xlfn.IFS(J642&lt;13,"Child",J642&lt;18,"Teen",J642&lt;60,"Adult",J642&gt;60,"Old Age")</f>
        <v>Adult</v>
      </c>
      <c r="M642">
        <v>0</v>
      </c>
      <c r="N642">
        <v>0</v>
      </c>
      <c r="O642">
        <f t="shared" si="49"/>
        <v>1</v>
      </c>
      <c r="P642">
        <v>7.8541999999999996</v>
      </c>
      <c r="Q642" t="str">
        <f t="shared" ref="Q642:Q705" si="50">IF(A642&lt;=10,"Low",IF(A642&lt;=50,"Medium","High"))</f>
        <v>High</v>
      </c>
      <c r="R642" t="s">
        <v>1514</v>
      </c>
    </row>
    <row r="643" spans="1:18" x14ac:dyDescent="0.45">
      <c r="A643">
        <v>642</v>
      </c>
      <c r="B643">
        <v>1</v>
      </c>
      <c r="C643" t="str">
        <f t="shared" ref="C643:C706" si="51">IF(B643 = 0, "Not Survived","Survived")</f>
        <v>Survived</v>
      </c>
      <c r="D643">
        <v>1</v>
      </c>
      <c r="E643" t="s">
        <v>1304</v>
      </c>
      <c r="F643" t="s">
        <v>734</v>
      </c>
      <c r="G643" t="s">
        <v>563</v>
      </c>
      <c r="H643" t="s">
        <v>10</v>
      </c>
      <c r="I643" t="str">
        <f t="shared" ref="I643:I706" si="52">PROPER(H643)</f>
        <v>Female</v>
      </c>
      <c r="J643">
        <v>24</v>
      </c>
      <c r="K643" t="str">
        <f t="shared" ref="K643:K706" si="53">IF(J643&lt;13,"Child",IF(J643&lt;18,"Teen",IF(J643&lt;60,"Adult","Old Age")))</f>
        <v>Adult</v>
      </c>
      <c r="L643" t="str" cm="1">
        <f t="array" ref="L643">_xlfn.IFS(J643&lt;13,"Child",J643&lt;18,"Teen",J643&lt;60,"Adult",J643&gt;60,"Old Age")</f>
        <v>Adult</v>
      </c>
      <c r="M643">
        <v>0</v>
      </c>
      <c r="N643">
        <v>0</v>
      </c>
      <c r="O643">
        <f t="shared" ref="O643:O706" si="54">M643+N643+1</f>
        <v>1</v>
      </c>
      <c r="P643">
        <v>69.3</v>
      </c>
      <c r="Q643" t="str">
        <f t="shared" si="50"/>
        <v>High</v>
      </c>
      <c r="R643" t="s">
        <v>1515</v>
      </c>
    </row>
    <row r="644" spans="1:18" x14ac:dyDescent="0.45">
      <c r="A644">
        <v>643</v>
      </c>
      <c r="B644">
        <v>0</v>
      </c>
      <c r="C644" t="str">
        <f t="shared" si="51"/>
        <v>Not Survived</v>
      </c>
      <c r="D644">
        <v>3</v>
      </c>
      <c r="E644" t="s">
        <v>1305</v>
      </c>
      <c r="F644" t="s">
        <v>724</v>
      </c>
      <c r="G644" t="s">
        <v>116</v>
      </c>
      <c r="H644" t="s">
        <v>10</v>
      </c>
      <c r="I644" t="str">
        <f t="shared" si="52"/>
        <v>Female</v>
      </c>
      <c r="J644">
        <v>2</v>
      </c>
      <c r="K644" t="str">
        <f t="shared" si="53"/>
        <v>Child</v>
      </c>
      <c r="L644" t="str" cm="1">
        <f t="array" ref="L644">_xlfn.IFS(J644&lt;13,"Child",J644&lt;18,"Teen",J644&lt;60,"Adult",J644&gt;60,"Old Age")</f>
        <v>Child</v>
      </c>
      <c r="M644">
        <v>3</v>
      </c>
      <c r="N644">
        <v>2</v>
      </c>
      <c r="O644">
        <f t="shared" si="54"/>
        <v>6</v>
      </c>
      <c r="P644">
        <v>27.9</v>
      </c>
      <c r="Q644" t="str">
        <f t="shared" si="50"/>
        <v>High</v>
      </c>
      <c r="R644" t="s">
        <v>1514</v>
      </c>
    </row>
    <row r="645" spans="1:18" x14ac:dyDescent="0.45">
      <c r="A645">
        <v>644</v>
      </c>
      <c r="B645">
        <v>1</v>
      </c>
      <c r="C645" t="str">
        <f t="shared" si="51"/>
        <v>Survived</v>
      </c>
      <c r="D645">
        <v>3</v>
      </c>
      <c r="E645" t="s">
        <v>1306</v>
      </c>
      <c r="F645" t="s">
        <v>722</v>
      </c>
      <c r="G645" t="s">
        <v>564</v>
      </c>
      <c r="H645" t="s">
        <v>9</v>
      </c>
      <c r="I645" t="str">
        <f t="shared" si="52"/>
        <v>Male</v>
      </c>
      <c r="J645">
        <v>28</v>
      </c>
      <c r="K645" t="str">
        <f t="shared" si="53"/>
        <v>Adult</v>
      </c>
      <c r="L645" t="str" cm="1">
        <f t="array" ref="L645">_xlfn.IFS(J645&lt;13,"Child",J645&lt;18,"Teen",J645&lt;60,"Adult",J645&gt;60,"Old Age")</f>
        <v>Adult</v>
      </c>
      <c r="M645">
        <v>0</v>
      </c>
      <c r="N645">
        <v>0</v>
      </c>
      <c r="O645">
        <f t="shared" si="54"/>
        <v>1</v>
      </c>
      <c r="P645">
        <v>56.495800000000003</v>
      </c>
      <c r="Q645" t="str">
        <f t="shared" si="50"/>
        <v>High</v>
      </c>
      <c r="R645" t="s">
        <v>1514</v>
      </c>
    </row>
    <row r="646" spans="1:18" x14ac:dyDescent="0.45">
      <c r="A646">
        <v>645</v>
      </c>
      <c r="B646">
        <v>1</v>
      </c>
      <c r="C646" t="str">
        <f t="shared" si="51"/>
        <v>Survived</v>
      </c>
      <c r="D646">
        <v>3</v>
      </c>
      <c r="E646" t="s">
        <v>1307</v>
      </c>
      <c r="F646" t="s">
        <v>724</v>
      </c>
      <c r="G646" t="s">
        <v>424</v>
      </c>
      <c r="H646" t="s">
        <v>10</v>
      </c>
      <c r="I646" t="str">
        <f t="shared" si="52"/>
        <v>Female</v>
      </c>
      <c r="J646">
        <v>0.75</v>
      </c>
      <c r="K646" t="str">
        <f t="shared" si="53"/>
        <v>Child</v>
      </c>
      <c r="L646" t="str" cm="1">
        <f t="array" ref="L646">_xlfn.IFS(J646&lt;13,"Child",J646&lt;18,"Teen",J646&lt;60,"Adult",J646&gt;60,"Old Age")</f>
        <v>Child</v>
      </c>
      <c r="M646">
        <v>2</v>
      </c>
      <c r="N646">
        <v>1</v>
      </c>
      <c r="O646">
        <f t="shared" si="54"/>
        <v>4</v>
      </c>
      <c r="P646">
        <v>19.258299999999998</v>
      </c>
      <c r="Q646" t="str">
        <f t="shared" si="50"/>
        <v>High</v>
      </c>
      <c r="R646" t="s">
        <v>1515</v>
      </c>
    </row>
    <row r="647" spans="1:18" x14ac:dyDescent="0.45">
      <c r="A647">
        <v>646</v>
      </c>
      <c r="B647">
        <v>1</v>
      </c>
      <c r="C647" t="str">
        <f t="shared" si="51"/>
        <v>Survived</v>
      </c>
      <c r="D647">
        <v>1</v>
      </c>
      <c r="E647" t="s">
        <v>1308</v>
      </c>
      <c r="F647" t="s">
        <v>722</v>
      </c>
      <c r="G647" t="s">
        <v>105</v>
      </c>
      <c r="H647" t="s">
        <v>9</v>
      </c>
      <c r="I647" t="str">
        <f t="shared" si="52"/>
        <v>Male</v>
      </c>
      <c r="J647">
        <v>48</v>
      </c>
      <c r="K647" t="str">
        <f t="shared" si="53"/>
        <v>Adult</v>
      </c>
      <c r="L647" t="str" cm="1">
        <f t="array" ref="L647">_xlfn.IFS(J647&lt;13,"Child",J647&lt;18,"Teen",J647&lt;60,"Adult",J647&gt;60,"Old Age")</f>
        <v>Adult</v>
      </c>
      <c r="M647">
        <v>1</v>
      </c>
      <c r="N647">
        <v>0</v>
      </c>
      <c r="O647">
        <f t="shared" si="54"/>
        <v>2</v>
      </c>
      <c r="P647">
        <v>76.729200000000006</v>
      </c>
      <c r="Q647" t="str">
        <f t="shared" si="50"/>
        <v>High</v>
      </c>
      <c r="R647" t="s">
        <v>1515</v>
      </c>
    </row>
    <row r="648" spans="1:18" x14ac:dyDescent="0.45">
      <c r="A648">
        <v>647</v>
      </c>
      <c r="B648">
        <v>0</v>
      </c>
      <c r="C648" t="str">
        <f t="shared" si="51"/>
        <v>Not Survived</v>
      </c>
      <c r="D648">
        <v>3</v>
      </c>
      <c r="E648" t="s">
        <v>1309</v>
      </c>
      <c r="F648" t="s">
        <v>722</v>
      </c>
      <c r="G648" t="s">
        <v>565</v>
      </c>
      <c r="H648" t="s">
        <v>9</v>
      </c>
      <c r="I648" t="str">
        <f t="shared" si="52"/>
        <v>Male</v>
      </c>
      <c r="J648">
        <v>19</v>
      </c>
      <c r="K648" t="str">
        <f t="shared" si="53"/>
        <v>Adult</v>
      </c>
      <c r="L648" t="str" cm="1">
        <f t="array" ref="L648">_xlfn.IFS(J648&lt;13,"Child",J648&lt;18,"Teen",J648&lt;60,"Adult",J648&gt;60,"Old Age")</f>
        <v>Adult</v>
      </c>
      <c r="M648">
        <v>0</v>
      </c>
      <c r="N648">
        <v>0</v>
      </c>
      <c r="O648">
        <f t="shared" si="54"/>
        <v>1</v>
      </c>
      <c r="P648">
        <v>7.8958000000000004</v>
      </c>
      <c r="Q648" t="str">
        <f t="shared" si="50"/>
        <v>High</v>
      </c>
      <c r="R648" t="s">
        <v>1514</v>
      </c>
    </row>
    <row r="649" spans="1:18" x14ac:dyDescent="0.45">
      <c r="A649">
        <v>648</v>
      </c>
      <c r="B649">
        <v>1</v>
      </c>
      <c r="C649" t="str">
        <f t="shared" si="51"/>
        <v>Survived</v>
      </c>
      <c r="D649">
        <v>1</v>
      </c>
      <c r="E649" t="s">
        <v>1310</v>
      </c>
      <c r="F649" t="s">
        <v>735</v>
      </c>
      <c r="G649" t="s">
        <v>566</v>
      </c>
      <c r="H649" t="s">
        <v>9</v>
      </c>
      <c r="I649" t="str">
        <f t="shared" si="52"/>
        <v>Male</v>
      </c>
      <c r="J649">
        <v>56</v>
      </c>
      <c r="K649" t="str">
        <f t="shared" si="53"/>
        <v>Adult</v>
      </c>
      <c r="L649" t="str" cm="1">
        <f t="array" ref="L649">_xlfn.IFS(J649&lt;13,"Child",J649&lt;18,"Teen",J649&lt;60,"Adult",J649&gt;60,"Old Age")</f>
        <v>Adult</v>
      </c>
      <c r="M649">
        <v>0</v>
      </c>
      <c r="N649">
        <v>0</v>
      </c>
      <c r="O649">
        <f t="shared" si="54"/>
        <v>1</v>
      </c>
      <c r="P649">
        <v>35.5</v>
      </c>
      <c r="Q649" t="str">
        <f t="shared" si="50"/>
        <v>High</v>
      </c>
      <c r="R649" t="s">
        <v>1515</v>
      </c>
    </row>
    <row r="650" spans="1:18" x14ac:dyDescent="0.45">
      <c r="A650">
        <v>649</v>
      </c>
      <c r="B650">
        <v>0</v>
      </c>
      <c r="C650" t="str">
        <f t="shared" si="51"/>
        <v>Not Survived</v>
      </c>
      <c r="D650">
        <v>3</v>
      </c>
      <c r="E650" t="s">
        <v>1227</v>
      </c>
      <c r="F650" t="s">
        <v>722</v>
      </c>
      <c r="G650" t="s">
        <v>567</v>
      </c>
      <c r="H650" t="s">
        <v>9</v>
      </c>
      <c r="I650" t="str">
        <f t="shared" si="52"/>
        <v>Male</v>
      </c>
      <c r="J650">
        <v>28</v>
      </c>
      <c r="K650" t="str">
        <f t="shared" si="53"/>
        <v>Adult</v>
      </c>
      <c r="L650" t="str" cm="1">
        <f t="array" ref="L650">_xlfn.IFS(J650&lt;13,"Child",J650&lt;18,"Teen",J650&lt;60,"Adult",J650&gt;60,"Old Age")</f>
        <v>Adult</v>
      </c>
      <c r="M650">
        <v>0</v>
      </c>
      <c r="N650">
        <v>0</v>
      </c>
      <c r="O650">
        <f t="shared" si="54"/>
        <v>1</v>
      </c>
      <c r="P650">
        <v>7.55</v>
      </c>
      <c r="Q650" t="str">
        <f t="shared" si="50"/>
        <v>High</v>
      </c>
      <c r="R650" t="s">
        <v>1514</v>
      </c>
    </row>
    <row r="651" spans="1:18" x14ac:dyDescent="0.45">
      <c r="A651">
        <v>650</v>
      </c>
      <c r="B651">
        <v>1</v>
      </c>
      <c r="C651" t="str">
        <f t="shared" si="51"/>
        <v>Survived</v>
      </c>
      <c r="D651">
        <v>3</v>
      </c>
      <c r="E651" t="s">
        <v>1311</v>
      </c>
      <c r="F651" t="s">
        <v>724</v>
      </c>
      <c r="G651" t="s">
        <v>460</v>
      </c>
      <c r="H651" t="s">
        <v>10</v>
      </c>
      <c r="I651" t="str">
        <f t="shared" si="52"/>
        <v>Female</v>
      </c>
      <c r="J651">
        <v>23</v>
      </c>
      <c r="K651" t="str">
        <f t="shared" si="53"/>
        <v>Adult</v>
      </c>
      <c r="L651" t="str" cm="1">
        <f t="array" ref="L651">_xlfn.IFS(J651&lt;13,"Child",J651&lt;18,"Teen",J651&lt;60,"Adult",J651&gt;60,"Old Age")</f>
        <v>Adult</v>
      </c>
      <c r="M651">
        <v>0</v>
      </c>
      <c r="N651">
        <v>0</v>
      </c>
      <c r="O651">
        <f t="shared" si="54"/>
        <v>1</v>
      </c>
      <c r="P651">
        <v>7.55</v>
      </c>
      <c r="Q651" t="str">
        <f t="shared" si="50"/>
        <v>High</v>
      </c>
      <c r="R651" t="s">
        <v>1514</v>
      </c>
    </row>
    <row r="652" spans="1:18" x14ac:dyDescent="0.45">
      <c r="A652">
        <v>651</v>
      </c>
      <c r="B652">
        <v>0</v>
      </c>
      <c r="C652" t="str">
        <f t="shared" si="51"/>
        <v>Not Survived</v>
      </c>
      <c r="D652">
        <v>3</v>
      </c>
      <c r="E652" t="s">
        <v>1312</v>
      </c>
      <c r="F652" t="s">
        <v>722</v>
      </c>
      <c r="G652" t="s">
        <v>568</v>
      </c>
      <c r="H652" t="s">
        <v>9</v>
      </c>
      <c r="I652" t="str">
        <f t="shared" si="52"/>
        <v>Male</v>
      </c>
      <c r="J652">
        <v>28</v>
      </c>
      <c r="K652" t="str">
        <f t="shared" si="53"/>
        <v>Adult</v>
      </c>
      <c r="L652" t="str" cm="1">
        <f t="array" ref="L652">_xlfn.IFS(J652&lt;13,"Child",J652&lt;18,"Teen",J652&lt;60,"Adult",J652&gt;60,"Old Age")</f>
        <v>Adult</v>
      </c>
      <c r="M652">
        <v>0</v>
      </c>
      <c r="N652">
        <v>0</v>
      </c>
      <c r="O652">
        <f t="shared" si="54"/>
        <v>1</v>
      </c>
      <c r="P652">
        <v>7.8958000000000004</v>
      </c>
      <c r="Q652" t="str">
        <f t="shared" si="50"/>
        <v>High</v>
      </c>
      <c r="R652" t="s">
        <v>1514</v>
      </c>
    </row>
    <row r="653" spans="1:18" x14ac:dyDescent="0.45">
      <c r="A653">
        <v>652</v>
      </c>
      <c r="B653">
        <v>1</v>
      </c>
      <c r="C653" t="str">
        <f t="shared" si="51"/>
        <v>Survived</v>
      </c>
      <c r="D653">
        <v>2</v>
      </c>
      <c r="E653" t="s">
        <v>1313</v>
      </c>
      <c r="F653" t="s">
        <v>724</v>
      </c>
      <c r="G653" t="s">
        <v>148</v>
      </c>
      <c r="H653" t="s">
        <v>10</v>
      </c>
      <c r="I653" t="str">
        <f t="shared" si="52"/>
        <v>Female</v>
      </c>
      <c r="J653">
        <v>18</v>
      </c>
      <c r="K653" t="str">
        <f t="shared" si="53"/>
        <v>Adult</v>
      </c>
      <c r="L653" t="str" cm="1">
        <f t="array" ref="L653">_xlfn.IFS(J653&lt;13,"Child",J653&lt;18,"Teen",J653&lt;60,"Adult",J653&gt;60,"Old Age")</f>
        <v>Adult</v>
      </c>
      <c r="M653">
        <v>0</v>
      </c>
      <c r="N653">
        <v>1</v>
      </c>
      <c r="O653">
        <f t="shared" si="54"/>
        <v>2</v>
      </c>
      <c r="P653">
        <v>23</v>
      </c>
      <c r="Q653" t="str">
        <f t="shared" si="50"/>
        <v>High</v>
      </c>
      <c r="R653" t="s">
        <v>1514</v>
      </c>
    </row>
    <row r="654" spans="1:18" x14ac:dyDescent="0.45">
      <c r="A654">
        <v>653</v>
      </c>
      <c r="B654">
        <v>0</v>
      </c>
      <c r="C654" t="str">
        <f t="shared" si="51"/>
        <v>Not Survived</v>
      </c>
      <c r="D654">
        <v>3</v>
      </c>
      <c r="E654" t="s">
        <v>1314</v>
      </c>
      <c r="F654" t="s">
        <v>722</v>
      </c>
      <c r="G654" t="s">
        <v>569</v>
      </c>
      <c r="H654" t="s">
        <v>9</v>
      </c>
      <c r="I654" t="str">
        <f t="shared" si="52"/>
        <v>Male</v>
      </c>
      <c r="J654">
        <v>21</v>
      </c>
      <c r="K654" t="str">
        <f t="shared" si="53"/>
        <v>Adult</v>
      </c>
      <c r="L654" t="str" cm="1">
        <f t="array" ref="L654">_xlfn.IFS(J654&lt;13,"Child",J654&lt;18,"Teen",J654&lt;60,"Adult",J654&gt;60,"Old Age")</f>
        <v>Adult</v>
      </c>
      <c r="M654">
        <v>0</v>
      </c>
      <c r="N654">
        <v>0</v>
      </c>
      <c r="O654">
        <f t="shared" si="54"/>
        <v>1</v>
      </c>
      <c r="P654">
        <v>8.4332999999999991</v>
      </c>
      <c r="Q654" t="str">
        <f t="shared" si="50"/>
        <v>High</v>
      </c>
      <c r="R654" t="s">
        <v>1514</v>
      </c>
    </row>
    <row r="655" spans="1:18" x14ac:dyDescent="0.45">
      <c r="A655">
        <v>654</v>
      </c>
      <c r="B655">
        <v>1</v>
      </c>
      <c r="C655" t="str">
        <f t="shared" si="51"/>
        <v>Survived</v>
      </c>
      <c r="D655">
        <v>3</v>
      </c>
      <c r="E655" t="s">
        <v>1315</v>
      </c>
      <c r="F655" t="s">
        <v>724</v>
      </c>
      <c r="G655" t="s">
        <v>570</v>
      </c>
      <c r="H655" t="s">
        <v>10</v>
      </c>
      <c r="I655" t="str">
        <f t="shared" si="52"/>
        <v>Female</v>
      </c>
      <c r="J655">
        <v>28</v>
      </c>
      <c r="K655" t="str">
        <f t="shared" si="53"/>
        <v>Adult</v>
      </c>
      <c r="L655" t="str" cm="1">
        <f t="array" ref="L655">_xlfn.IFS(J655&lt;13,"Child",J655&lt;18,"Teen",J655&lt;60,"Adult",J655&gt;60,"Old Age")</f>
        <v>Adult</v>
      </c>
      <c r="M655">
        <v>0</v>
      </c>
      <c r="N655">
        <v>0</v>
      </c>
      <c r="O655">
        <f t="shared" si="54"/>
        <v>1</v>
      </c>
      <c r="P655">
        <v>7.8292000000000002</v>
      </c>
      <c r="Q655" t="str">
        <f t="shared" si="50"/>
        <v>High</v>
      </c>
      <c r="R655" t="s">
        <v>1516</v>
      </c>
    </row>
    <row r="656" spans="1:18" x14ac:dyDescent="0.45">
      <c r="A656">
        <v>655</v>
      </c>
      <c r="B656">
        <v>0</v>
      </c>
      <c r="C656" t="str">
        <f t="shared" si="51"/>
        <v>Not Survived</v>
      </c>
      <c r="D656">
        <v>3</v>
      </c>
      <c r="E656" t="s">
        <v>996</v>
      </c>
      <c r="F656" t="s">
        <v>724</v>
      </c>
      <c r="G656" t="s">
        <v>571</v>
      </c>
      <c r="H656" t="s">
        <v>10</v>
      </c>
      <c r="I656" t="str">
        <f t="shared" si="52"/>
        <v>Female</v>
      </c>
      <c r="J656">
        <v>18</v>
      </c>
      <c r="K656" t="str">
        <f t="shared" si="53"/>
        <v>Adult</v>
      </c>
      <c r="L656" t="str" cm="1">
        <f t="array" ref="L656">_xlfn.IFS(J656&lt;13,"Child",J656&lt;18,"Teen",J656&lt;60,"Adult",J656&gt;60,"Old Age")</f>
        <v>Adult</v>
      </c>
      <c r="M656">
        <v>0</v>
      </c>
      <c r="N656">
        <v>0</v>
      </c>
      <c r="O656">
        <f t="shared" si="54"/>
        <v>1</v>
      </c>
      <c r="P656">
        <v>6.75</v>
      </c>
      <c r="Q656" t="str">
        <f t="shared" si="50"/>
        <v>High</v>
      </c>
      <c r="R656" t="s">
        <v>1516</v>
      </c>
    </row>
    <row r="657" spans="1:18" x14ac:dyDescent="0.45">
      <c r="A657">
        <v>656</v>
      </c>
      <c r="B657">
        <v>0</v>
      </c>
      <c r="C657" t="str">
        <f t="shared" si="51"/>
        <v>Not Survived</v>
      </c>
      <c r="D657">
        <v>2</v>
      </c>
      <c r="E657" t="s">
        <v>1316</v>
      </c>
      <c r="F657" t="s">
        <v>722</v>
      </c>
      <c r="G657" t="s">
        <v>167</v>
      </c>
      <c r="H657" t="s">
        <v>9</v>
      </c>
      <c r="I657" t="str">
        <f t="shared" si="52"/>
        <v>Male</v>
      </c>
      <c r="J657">
        <v>24</v>
      </c>
      <c r="K657" t="str">
        <f t="shared" si="53"/>
        <v>Adult</v>
      </c>
      <c r="L657" t="str" cm="1">
        <f t="array" ref="L657">_xlfn.IFS(J657&lt;13,"Child",J657&lt;18,"Teen",J657&lt;60,"Adult",J657&gt;60,"Old Age")</f>
        <v>Adult</v>
      </c>
      <c r="M657">
        <v>2</v>
      </c>
      <c r="N657">
        <v>0</v>
      </c>
      <c r="O657">
        <f t="shared" si="54"/>
        <v>3</v>
      </c>
      <c r="P657">
        <v>73.5</v>
      </c>
      <c r="Q657" t="str">
        <f t="shared" si="50"/>
        <v>High</v>
      </c>
      <c r="R657" t="s">
        <v>1514</v>
      </c>
    </row>
    <row r="658" spans="1:18" x14ac:dyDescent="0.45">
      <c r="A658">
        <v>657</v>
      </c>
      <c r="B658">
        <v>0</v>
      </c>
      <c r="C658" t="str">
        <f t="shared" si="51"/>
        <v>Not Survived</v>
      </c>
      <c r="D658">
        <v>3</v>
      </c>
      <c r="E658" t="s">
        <v>994</v>
      </c>
      <c r="F658" t="s">
        <v>722</v>
      </c>
      <c r="G658" t="s">
        <v>572</v>
      </c>
      <c r="H658" t="s">
        <v>9</v>
      </c>
      <c r="I658" t="str">
        <f t="shared" si="52"/>
        <v>Male</v>
      </c>
      <c r="J658">
        <v>28</v>
      </c>
      <c r="K658" t="str">
        <f t="shared" si="53"/>
        <v>Adult</v>
      </c>
      <c r="L658" t="str" cm="1">
        <f t="array" ref="L658">_xlfn.IFS(J658&lt;13,"Child",J658&lt;18,"Teen",J658&lt;60,"Adult",J658&gt;60,"Old Age")</f>
        <v>Adult</v>
      </c>
      <c r="M658">
        <v>0</v>
      </c>
      <c r="N658">
        <v>0</v>
      </c>
      <c r="O658">
        <f t="shared" si="54"/>
        <v>1</v>
      </c>
      <c r="P658">
        <v>7.8958000000000004</v>
      </c>
      <c r="Q658" t="str">
        <f t="shared" si="50"/>
        <v>High</v>
      </c>
      <c r="R658" t="s">
        <v>1514</v>
      </c>
    </row>
    <row r="659" spans="1:18" x14ac:dyDescent="0.45">
      <c r="A659">
        <v>658</v>
      </c>
      <c r="B659">
        <v>0</v>
      </c>
      <c r="C659" t="str">
        <f t="shared" si="51"/>
        <v>Not Survived</v>
      </c>
      <c r="D659">
        <v>3</v>
      </c>
      <c r="E659" t="s">
        <v>1317</v>
      </c>
      <c r="F659" t="s">
        <v>723</v>
      </c>
      <c r="G659" t="s">
        <v>222</v>
      </c>
      <c r="H659" t="s">
        <v>10</v>
      </c>
      <c r="I659" t="str">
        <f t="shared" si="52"/>
        <v>Female</v>
      </c>
      <c r="J659">
        <v>32</v>
      </c>
      <c r="K659" t="str">
        <f t="shared" si="53"/>
        <v>Adult</v>
      </c>
      <c r="L659" t="str" cm="1">
        <f t="array" ref="L659">_xlfn.IFS(J659&lt;13,"Child",J659&lt;18,"Teen",J659&lt;60,"Adult",J659&gt;60,"Old Age")</f>
        <v>Adult</v>
      </c>
      <c r="M659">
        <v>1</v>
      </c>
      <c r="N659">
        <v>1</v>
      </c>
      <c r="O659">
        <f t="shared" si="54"/>
        <v>3</v>
      </c>
      <c r="P659">
        <v>15.5</v>
      </c>
      <c r="Q659" t="str">
        <f t="shared" si="50"/>
        <v>High</v>
      </c>
      <c r="R659" t="s">
        <v>1516</v>
      </c>
    </row>
    <row r="660" spans="1:18" x14ac:dyDescent="0.45">
      <c r="A660">
        <v>659</v>
      </c>
      <c r="B660">
        <v>0</v>
      </c>
      <c r="C660" t="str">
        <f t="shared" si="51"/>
        <v>Not Survived</v>
      </c>
      <c r="D660">
        <v>2</v>
      </c>
      <c r="E660" t="s">
        <v>1318</v>
      </c>
      <c r="F660" t="s">
        <v>722</v>
      </c>
      <c r="G660" t="s">
        <v>573</v>
      </c>
      <c r="H660" t="s">
        <v>9</v>
      </c>
      <c r="I660" t="str">
        <f t="shared" si="52"/>
        <v>Male</v>
      </c>
      <c r="J660">
        <v>23</v>
      </c>
      <c r="K660" t="str">
        <f t="shared" si="53"/>
        <v>Adult</v>
      </c>
      <c r="L660" t="str" cm="1">
        <f t="array" ref="L660">_xlfn.IFS(J660&lt;13,"Child",J660&lt;18,"Teen",J660&lt;60,"Adult",J660&gt;60,"Old Age")</f>
        <v>Adult</v>
      </c>
      <c r="M660">
        <v>0</v>
      </c>
      <c r="N660">
        <v>0</v>
      </c>
      <c r="O660">
        <f t="shared" si="54"/>
        <v>1</v>
      </c>
      <c r="P660">
        <v>13</v>
      </c>
      <c r="Q660" t="str">
        <f t="shared" si="50"/>
        <v>High</v>
      </c>
      <c r="R660" t="s">
        <v>1514</v>
      </c>
    </row>
    <row r="661" spans="1:18" x14ac:dyDescent="0.45">
      <c r="A661">
        <v>660</v>
      </c>
      <c r="B661">
        <v>0</v>
      </c>
      <c r="C661" t="str">
        <f t="shared" si="51"/>
        <v>Not Survived</v>
      </c>
      <c r="D661">
        <v>1</v>
      </c>
      <c r="E661" t="s">
        <v>1319</v>
      </c>
      <c r="F661" t="s">
        <v>722</v>
      </c>
      <c r="G661" t="s">
        <v>245</v>
      </c>
      <c r="H661" t="s">
        <v>9</v>
      </c>
      <c r="I661" t="str">
        <f t="shared" si="52"/>
        <v>Male</v>
      </c>
      <c r="J661">
        <v>58</v>
      </c>
      <c r="K661" t="str">
        <f t="shared" si="53"/>
        <v>Adult</v>
      </c>
      <c r="L661" t="str" cm="1">
        <f t="array" ref="L661">_xlfn.IFS(J661&lt;13,"Child",J661&lt;18,"Teen",J661&lt;60,"Adult",J661&gt;60,"Old Age")</f>
        <v>Adult</v>
      </c>
      <c r="M661">
        <v>0</v>
      </c>
      <c r="N661">
        <v>2</v>
      </c>
      <c r="O661">
        <f t="shared" si="54"/>
        <v>3</v>
      </c>
      <c r="P661">
        <v>113.27500000000001</v>
      </c>
      <c r="Q661" t="str">
        <f t="shared" si="50"/>
        <v>High</v>
      </c>
      <c r="R661" t="s">
        <v>1515</v>
      </c>
    </row>
    <row r="662" spans="1:18" x14ac:dyDescent="0.45">
      <c r="A662">
        <v>661</v>
      </c>
      <c r="B662">
        <v>1</v>
      </c>
      <c r="C662" t="str">
        <f t="shared" si="51"/>
        <v>Survived</v>
      </c>
      <c r="D662">
        <v>1</v>
      </c>
      <c r="E662" t="s">
        <v>1320</v>
      </c>
      <c r="F662" t="s">
        <v>728</v>
      </c>
      <c r="G662" t="s">
        <v>341</v>
      </c>
      <c r="H662" t="s">
        <v>9</v>
      </c>
      <c r="I662" t="str">
        <f t="shared" si="52"/>
        <v>Male</v>
      </c>
      <c r="J662">
        <v>50</v>
      </c>
      <c r="K662" t="str">
        <f t="shared" si="53"/>
        <v>Adult</v>
      </c>
      <c r="L662" t="str" cm="1">
        <f t="array" ref="L662">_xlfn.IFS(J662&lt;13,"Child",J662&lt;18,"Teen",J662&lt;60,"Adult",J662&gt;60,"Old Age")</f>
        <v>Adult</v>
      </c>
      <c r="M662">
        <v>2</v>
      </c>
      <c r="N662">
        <v>0</v>
      </c>
      <c r="O662">
        <f t="shared" si="54"/>
        <v>3</v>
      </c>
      <c r="P662">
        <v>133.65</v>
      </c>
      <c r="Q662" t="str">
        <f t="shared" si="50"/>
        <v>High</v>
      </c>
      <c r="R662" t="s">
        <v>1514</v>
      </c>
    </row>
    <row r="663" spans="1:18" x14ac:dyDescent="0.45">
      <c r="A663">
        <v>662</v>
      </c>
      <c r="B663">
        <v>0</v>
      </c>
      <c r="C663" t="str">
        <f t="shared" si="51"/>
        <v>Not Survived</v>
      </c>
      <c r="D663">
        <v>3</v>
      </c>
      <c r="E663" t="s">
        <v>1321</v>
      </c>
      <c r="F663" t="s">
        <v>722</v>
      </c>
      <c r="G663" t="s">
        <v>574</v>
      </c>
      <c r="H663" t="s">
        <v>9</v>
      </c>
      <c r="I663" t="str">
        <f t="shared" si="52"/>
        <v>Male</v>
      </c>
      <c r="J663">
        <v>40</v>
      </c>
      <c r="K663" t="str">
        <f t="shared" si="53"/>
        <v>Adult</v>
      </c>
      <c r="L663" t="str" cm="1">
        <f t="array" ref="L663">_xlfn.IFS(J663&lt;13,"Child",J663&lt;18,"Teen",J663&lt;60,"Adult",J663&gt;60,"Old Age")</f>
        <v>Adult</v>
      </c>
      <c r="M663">
        <v>0</v>
      </c>
      <c r="N663">
        <v>0</v>
      </c>
      <c r="O663">
        <f t="shared" si="54"/>
        <v>1</v>
      </c>
      <c r="P663">
        <v>7.2249999999999996</v>
      </c>
      <c r="Q663" t="str">
        <f t="shared" si="50"/>
        <v>High</v>
      </c>
      <c r="R663" t="s">
        <v>1515</v>
      </c>
    </row>
    <row r="664" spans="1:18" x14ac:dyDescent="0.45">
      <c r="A664">
        <v>663</v>
      </c>
      <c r="B664">
        <v>0</v>
      </c>
      <c r="C664" t="str">
        <f t="shared" si="51"/>
        <v>Not Survived</v>
      </c>
      <c r="D664">
        <v>1</v>
      </c>
      <c r="E664" t="s">
        <v>1322</v>
      </c>
      <c r="F664" t="s">
        <v>722</v>
      </c>
      <c r="G664" t="s">
        <v>575</v>
      </c>
      <c r="H664" t="s">
        <v>9</v>
      </c>
      <c r="I664" t="str">
        <f t="shared" si="52"/>
        <v>Male</v>
      </c>
      <c r="J664">
        <v>47</v>
      </c>
      <c r="K664" t="str">
        <f t="shared" si="53"/>
        <v>Adult</v>
      </c>
      <c r="L664" t="str" cm="1">
        <f t="array" ref="L664">_xlfn.IFS(J664&lt;13,"Child",J664&lt;18,"Teen",J664&lt;60,"Adult",J664&gt;60,"Old Age")</f>
        <v>Adult</v>
      </c>
      <c r="M664">
        <v>0</v>
      </c>
      <c r="N664">
        <v>0</v>
      </c>
      <c r="O664">
        <f t="shared" si="54"/>
        <v>1</v>
      </c>
      <c r="P664">
        <v>25.587499999999999</v>
      </c>
      <c r="Q664" t="str">
        <f t="shared" si="50"/>
        <v>High</v>
      </c>
      <c r="R664" t="s">
        <v>1514</v>
      </c>
    </row>
    <row r="665" spans="1:18" x14ac:dyDescent="0.45">
      <c r="A665">
        <v>664</v>
      </c>
      <c r="B665">
        <v>0</v>
      </c>
      <c r="C665" t="str">
        <f t="shared" si="51"/>
        <v>Not Survived</v>
      </c>
      <c r="D665">
        <v>3</v>
      </c>
      <c r="E665" t="s">
        <v>1323</v>
      </c>
      <c r="F665" t="s">
        <v>722</v>
      </c>
      <c r="G665" t="s">
        <v>475</v>
      </c>
      <c r="H665" t="s">
        <v>9</v>
      </c>
      <c r="I665" t="str">
        <f t="shared" si="52"/>
        <v>Male</v>
      </c>
      <c r="J665">
        <v>36</v>
      </c>
      <c r="K665" t="str">
        <f t="shared" si="53"/>
        <v>Adult</v>
      </c>
      <c r="L665" t="str" cm="1">
        <f t="array" ref="L665">_xlfn.IFS(J665&lt;13,"Child",J665&lt;18,"Teen",J665&lt;60,"Adult",J665&gt;60,"Old Age")</f>
        <v>Adult</v>
      </c>
      <c r="M665">
        <v>0</v>
      </c>
      <c r="N665">
        <v>0</v>
      </c>
      <c r="O665">
        <f t="shared" si="54"/>
        <v>1</v>
      </c>
      <c r="P665">
        <v>7.4958</v>
      </c>
      <c r="Q665" t="str">
        <f t="shared" si="50"/>
        <v>High</v>
      </c>
      <c r="R665" t="s">
        <v>1514</v>
      </c>
    </row>
    <row r="666" spans="1:18" x14ac:dyDescent="0.45">
      <c r="A666">
        <v>665</v>
      </c>
      <c r="B666">
        <v>1</v>
      </c>
      <c r="C666" t="str">
        <f t="shared" si="51"/>
        <v>Survived</v>
      </c>
      <c r="D666">
        <v>3</v>
      </c>
      <c r="E666" t="s">
        <v>1324</v>
      </c>
      <c r="F666" t="s">
        <v>722</v>
      </c>
      <c r="G666" t="s">
        <v>576</v>
      </c>
      <c r="H666" t="s">
        <v>9</v>
      </c>
      <c r="I666" t="str">
        <f t="shared" si="52"/>
        <v>Male</v>
      </c>
      <c r="J666">
        <v>20</v>
      </c>
      <c r="K666" t="str">
        <f t="shared" si="53"/>
        <v>Adult</v>
      </c>
      <c r="L666" t="str" cm="1">
        <f t="array" ref="L666">_xlfn.IFS(J666&lt;13,"Child",J666&lt;18,"Teen",J666&lt;60,"Adult",J666&gt;60,"Old Age")</f>
        <v>Adult</v>
      </c>
      <c r="M666">
        <v>1</v>
      </c>
      <c r="N666">
        <v>0</v>
      </c>
      <c r="O666">
        <f t="shared" si="54"/>
        <v>2</v>
      </c>
      <c r="P666">
        <v>7.9249999999999998</v>
      </c>
      <c r="Q666" t="str">
        <f t="shared" si="50"/>
        <v>High</v>
      </c>
      <c r="R666" t="s">
        <v>1514</v>
      </c>
    </row>
    <row r="667" spans="1:18" x14ac:dyDescent="0.45">
      <c r="A667">
        <v>666</v>
      </c>
      <c r="B667">
        <v>0</v>
      </c>
      <c r="C667" t="str">
        <f t="shared" si="51"/>
        <v>Not Survived</v>
      </c>
      <c r="D667">
        <v>2</v>
      </c>
      <c r="E667" t="s">
        <v>1325</v>
      </c>
      <c r="F667" t="s">
        <v>722</v>
      </c>
      <c r="G667" t="s">
        <v>167</v>
      </c>
      <c r="H667" t="s">
        <v>9</v>
      </c>
      <c r="I667" t="str">
        <f t="shared" si="52"/>
        <v>Male</v>
      </c>
      <c r="J667">
        <v>32</v>
      </c>
      <c r="K667" t="str">
        <f t="shared" si="53"/>
        <v>Adult</v>
      </c>
      <c r="L667" t="str" cm="1">
        <f t="array" ref="L667">_xlfn.IFS(J667&lt;13,"Child",J667&lt;18,"Teen",J667&lt;60,"Adult",J667&gt;60,"Old Age")</f>
        <v>Adult</v>
      </c>
      <c r="M667">
        <v>2</v>
      </c>
      <c r="N667">
        <v>0</v>
      </c>
      <c r="O667">
        <f t="shared" si="54"/>
        <v>3</v>
      </c>
      <c r="P667">
        <v>73.5</v>
      </c>
      <c r="Q667" t="str">
        <f t="shared" si="50"/>
        <v>High</v>
      </c>
      <c r="R667" t="s">
        <v>1514</v>
      </c>
    </row>
    <row r="668" spans="1:18" x14ac:dyDescent="0.45">
      <c r="A668">
        <v>667</v>
      </c>
      <c r="B668">
        <v>0</v>
      </c>
      <c r="C668" t="str">
        <f t="shared" si="51"/>
        <v>Not Survived</v>
      </c>
      <c r="D668">
        <v>2</v>
      </c>
      <c r="E668" t="s">
        <v>1326</v>
      </c>
      <c r="F668" t="s">
        <v>722</v>
      </c>
      <c r="G668" t="s">
        <v>577</v>
      </c>
      <c r="H668" t="s">
        <v>9</v>
      </c>
      <c r="I668" t="str">
        <f t="shared" si="52"/>
        <v>Male</v>
      </c>
      <c r="J668">
        <v>25</v>
      </c>
      <c r="K668" t="str">
        <f t="shared" si="53"/>
        <v>Adult</v>
      </c>
      <c r="L668" t="str" cm="1">
        <f t="array" ref="L668">_xlfn.IFS(J668&lt;13,"Child",J668&lt;18,"Teen",J668&lt;60,"Adult",J668&gt;60,"Old Age")</f>
        <v>Adult</v>
      </c>
      <c r="M668">
        <v>0</v>
      </c>
      <c r="N668">
        <v>0</v>
      </c>
      <c r="O668">
        <f t="shared" si="54"/>
        <v>1</v>
      </c>
      <c r="P668">
        <v>13</v>
      </c>
      <c r="Q668" t="str">
        <f t="shared" si="50"/>
        <v>High</v>
      </c>
      <c r="R668" t="s">
        <v>1514</v>
      </c>
    </row>
    <row r="669" spans="1:18" x14ac:dyDescent="0.45">
      <c r="A669">
        <v>668</v>
      </c>
      <c r="B669">
        <v>0</v>
      </c>
      <c r="C669" t="str">
        <f t="shared" si="51"/>
        <v>Not Survived</v>
      </c>
      <c r="D669">
        <v>3</v>
      </c>
      <c r="E669" t="s">
        <v>1327</v>
      </c>
      <c r="F669" t="s">
        <v>722</v>
      </c>
      <c r="G669" t="s">
        <v>578</v>
      </c>
      <c r="H669" t="s">
        <v>9</v>
      </c>
      <c r="I669" t="str">
        <f t="shared" si="52"/>
        <v>Male</v>
      </c>
      <c r="J669">
        <v>28</v>
      </c>
      <c r="K669" t="str">
        <f t="shared" si="53"/>
        <v>Adult</v>
      </c>
      <c r="L669" t="str" cm="1">
        <f t="array" ref="L669">_xlfn.IFS(J669&lt;13,"Child",J669&lt;18,"Teen",J669&lt;60,"Adult",J669&gt;60,"Old Age")</f>
        <v>Adult</v>
      </c>
      <c r="M669">
        <v>0</v>
      </c>
      <c r="N669">
        <v>0</v>
      </c>
      <c r="O669">
        <f t="shared" si="54"/>
        <v>1</v>
      </c>
      <c r="P669">
        <v>7.7750000000000004</v>
      </c>
      <c r="Q669" t="str">
        <f t="shared" si="50"/>
        <v>High</v>
      </c>
      <c r="R669" t="s">
        <v>1514</v>
      </c>
    </row>
    <row r="670" spans="1:18" x14ac:dyDescent="0.45">
      <c r="A670">
        <v>669</v>
      </c>
      <c r="B670">
        <v>0</v>
      </c>
      <c r="C670" t="str">
        <f t="shared" si="51"/>
        <v>Not Survived</v>
      </c>
      <c r="D670">
        <v>3</v>
      </c>
      <c r="E670" t="s">
        <v>1328</v>
      </c>
      <c r="F670" t="s">
        <v>722</v>
      </c>
      <c r="G670" t="s">
        <v>579</v>
      </c>
      <c r="H670" t="s">
        <v>9</v>
      </c>
      <c r="I670" t="str">
        <f t="shared" si="52"/>
        <v>Male</v>
      </c>
      <c r="J670">
        <v>43</v>
      </c>
      <c r="K670" t="str">
        <f t="shared" si="53"/>
        <v>Adult</v>
      </c>
      <c r="L670" t="str" cm="1">
        <f t="array" ref="L670">_xlfn.IFS(J670&lt;13,"Child",J670&lt;18,"Teen",J670&lt;60,"Adult",J670&gt;60,"Old Age")</f>
        <v>Adult</v>
      </c>
      <c r="M670">
        <v>0</v>
      </c>
      <c r="N670">
        <v>0</v>
      </c>
      <c r="O670">
        <f t="shared" si="54"/>
        <v>1</v>
      </c>
      <c r="P670" t="s">
        <v>12</v>
      </c>
      <c r="Q670" t="str">
        <f t="shared" si="50"/>
        <v>High</v>
      </c>
      <c r="R670" t="s">
        <v>1514</v>
      </c>
    </row>
    <row r="671" spans="1:18" x14ac:dyDescent="0.45">
      <c r="A671">
        <v>670</v>
      </c>
      <c r="B671">
        <v>1</v>
      </c>
      <c r="C671" t="str">
        <f t="shared" si="51"/>
        <v>Survived</v>
      </c>
      <c r="D671">
        <v>1</v>
      </c>
      <c r="E671" t="s">
        <v>1329</v>
      </c>
      <c r="F671" t="s">
        <v>723</v>
      </c>
      <c r="G671" t="s">
        <v>580</v>
      </c>
      <c r="H671" t="s">
        <v>10</v>
      </c>
      <c r="I671" t="str">
        <f t="shared" si="52"/>
        <v>Female</v>
      </c>
      <c r="J671">
        <v>28</v>
      </c>
      <c r="K671" t="str">
        <f t="shared" si="53"/>
        <v>Adult</v>
      </c>
      <c r="L671" t="str" cm="1">
        <f t="array" ref="L671">_xlfn.IFS(J671&lt;13,"Child",J671&lt;18,"Teen",J671&lt;60,"Adult",J671&gt;60,"Old Age")</f>
        <v>Adult</v>
      </c>
      <c r="M671">
        <v>1</v>
      </c>
      <c r="N671">
        <v>0</v>
      </c>
      <c r="O671">
        <f t="shared" si="54"/>
        <v>2</v>
      </c>
      <c r="P671">
        <v>52</v>
      </c>
      <c r="Q671" t="str">
        <f t="shared" si="50"/>
        <v>High</v>
      </c>
      <c r="R671" t="s">
        <v>1514</v>
      </c>
    </row>
    <row r="672" spans="1:18" x14ac:dyDescent="0.45">
      <c r="A672">
        <v>671</v>
      </c>
      <c r="B672">
        <v>1</v>
      </c>
      <c r="C672" t="str">
        <f t="shared" si="51"/>
        <v>Survived</v>
      </c>
      <c r="D672">
        <v>2</v>
      </c>
      <c r="E672" t="s">
        <v>1330</v>
      </c>
      <c r="F672" t="s">
        <v>723</v>
      </c>
      <c r="G672" t="s">
        <v>227</v>
      </c>
      <c r="H672" t="s">
        <v>10</v>
      </c>
      <c r="I672" t="str">
        <f t="shared" si="52"/>
        <v>Female</v>
      </c>
      <c r="J672">
        <v>40</v>
      </c>
      <c r="K672" t="str">
        <f t="shared" si="53"/>
        <v>Adult</v>
      </c>
      <c r="L672" t="str" cm="1">
        <f t="array" ref="L672">_xlfn.IFS(J672&lt;13,"Child",J672&lt;18,"Teen",J672&lt;60,"Adult",J672&gt;60,"Old Age")</f>
        <v>Adult</v>
      </c>
      <c r="M672">
        <v>1</v>
      </c>
      <c r="N672">
        <v>1</v>
      </c>
      <c r="O672">
        <f t="shared" si="54"/>
        <v>3</v>
      </c>
      <c r="P672">
        <v>39</v>
      </c>
      <c r="Q672" t="str">
        <f t="shared" si="50"/>
        <v>High</v>
      </c>
      <c r="R672" t="s">
        <v>1514</v>
      </c>
    </row>
    <row r="673" spans="1:18" x14ac:dyDescent="0.45">
      <c r="A673">
        <v>672</v>
      </c>
      <c r="B673">
        <v>0</v>
      </c>
      <c r="C673" t="str">
        <f t="shared" si="51"/>
        <v>Not Survived</v>
      </c>
      <c r="D673">
        <v>1</v>
      </c>
      <c r="E673" t="s">
        <v>1331</v>
      </c>
      <c r="F673" t="s">
        <v>722</v>
      </c>
      <c r="G673" t="s">
        <v>581</v>
      </c>
      <c r="H673" t="s">
        <v>9</v>
      </c>
      <c r="I673" t="str">
        <f t="shared" si="52"/>
        <v>Male</v>
      </c>
      <c r="J673">
        <v>31</v>
      </c>
      <c r="K673" t="str">
        <f t="shared" si="53"/>
        <v>Adult</v>
      </c>
      <c r="L673" t="str" cm="1">
        <f t="array" ref="L673">_xlfn.IFS(J673&lt;13,"Child",J673&lt;18,"Teen",J673&lt;60,"Adult",J673&gt;60,"Old Age")</f>
        <v>Adult</v>
      </c>
      <c r="M673">
        <v>1</v>
      </c>
      <c r="N673">
        <v>0</v>
      </c>
      <c r="O673">
        <f t="shared" si="54"/>
        <v>2</v>
      </c>
      <c r="P673">
        <v>52</v>
      </c>
      <c r="Q673" t="str">
        <f t="shared" si="50"/>
        <v>High</v>
      </c>
      <c r="R673" t="s">
        <v>1514</v>
      </c>
    </row>
    <row r="674" spans="1:18" x14ac:dyDescent="0.45">
      <c r="A674">
        <v>673</v>
      </c>
      <c r="B674">
        <v>0</v>
      </c>
      <c r="C674" t="str">
        <f t="shared" si="51"/>
        <v>Not Survived</v>
      </c>
      <c r="D674">
        <v>2</v>
      </c>
      <c r="E674" t="s">
        <v>1332</v>
      </c>
      <c r="F674" t="s">
        <v>722</v>
      </c>
      <c r="G674" t="s">
        <v>582</v>
      </c>
      <c r="H674" t="s">
        <v>9</v>
      </c>
      <c r="I674" t="str">
        <f t="shared" si="52"/>
        <v>Male</v>
      </c>
      <c r="J674">
        <v>70</v>
      </c>
      <c r="K674" t="str">
        <f t="shared" si="53"/>
        <v>Old Age</v>
      </c>
      <c r="L674" t="str" cm="1">
        <f t="array" ref="L674">_xlfn.IFS(J674&lt;13,"Child",J674&lt;18,"Teen",J674&lt;60,"Adult",J674&gt;60,"Old Age")</f>
        <v>Old Age</v>
      </c>
      <c r="M674">
        <v>0</v>
      </c>
      <c r="N674">
        <v>0</v>
      </c>
      <c r="O674">
        <f t="shared" si="54"/>
        <v>1</v>
      </c>
      <c r="P674" t="s">
        <v>18</v>
      </c>
      <c r="Q674" t="str">
        <f t="shared" si="50"/>
        <v>High</v>
      </c>
      <c r="R674" t="s">
        <v>1514</v>
      </c>
    </row>
    <row r="675" spans="1:18" x14ac:dyDescent="0.45">
      <c r="A675">
        <v>674</v>
      </c>
      <c r="B675">
        <v>1</v>
      </c>
      <c r="C675" t="str">
        <f t="shared" si="51"/>
        <v>Survived</v>
      </c>
      <c r="D675">
        <v>2</v>
      </c>
      <c r="E675" t="s">
        <v>1333</v>
      </c>
      <c r="F675" t="s">
        <v>722</v>
      </c>
      <c r="G675" t="s">
        <v>583</v>
      </c>
      <c r="H675" t="s">
        <v>9</v>
      </c>
      <c r="I675" t="str">
        <f t="shared" si="52"/>
        <v>Male</v>
      </c>
      <c r="J675">
        <v>31</v>
      </c>
      <c r="K675" t="str">
        <f t="shared" si="53"/>
        <v>Adult</v>
      </c>
      <c r="L675" t="str" cm="1">
        <f t="array" ref="L675">_xlfn.IFS(J675&lt;13,"Child",J675&lt;18,"Teen",J675&lt;60,"Adult",J675&gt;60,"Old Age")</f>
        <v>Adult</v>
      </c>
      <c r="M675">
        <v>0</v>
      </c>
      <c r="N675">
        <v>0</v>
      </c>
      <c r="O675">
        <f t="shared" si="54"/>
        <v>1</v>
      </c>
      <c r="P675">
        <v>13</v>
      </c>
      <c r="Q675" t="str">
        <f t="shared" si="50"/>
        <v>High</v>
      </c>
      <c r="R675" t="s">
        <v>1514</v>
      </c>
    </row>
    <row r="676" spans="1:18" x14ac:dyDescent="0.45">
      <c r="A676">
        <v>675</v>
      </c>
      <c r="B676">
        <v>0</v>
      </c>
      <c r="C676" t="str">
        <f t="shared" si="51"/>
        <v>Not Survived</v>
      </c>
      <c r="D676">
        <v>2</v>
      </c>
      <c r="E676" t="s">
        <v>1334</v>
      </c>
      <c r="F676" t="s">
        <v>722</v>
      </c>
      <c r="G676" t="s">
        <v>584</v>
      </c>
      <c r="H676" t="s">
        <v>9</v>
      </c>
      <c r="I676" t="str">
        <f t="shared" si="52"/>
        <v>Male</v>
      </c>
      <c r="J676">
        <v>28</v>
      </c>
      <c r="K676" t="str">
        <f t="shared" si="53"/>
        <v>Adult</v>
      </c>
      <c r="L676" t="str" cm="1">
        <f t="array" ref="L676">_xlfn.IFS(J676&lt;13,"Child",J676&lt;18,"Teen",J676&lt;60,"Adult",J676&gt;60,"Old Age")</f>
        <v>Adult</v>
      </c>
      <c r="M676">
        <v>0</v>
      </c>
      <c r="N676">
        <v>0</v>
      </c>
      <c r="O676">
        <f t="shared" si="54"/>
        <v>1</v>
      </c>
      <c r="P676">
        <v>14.4542</v>
      </c>
      <c r="Q676" t="str">
        <f t="shared" si="50"/>
        <v>High</v>
      </c>
      <c r="R676" t="s">
        <v>1514</v>
      </c>
    </row>
    <row r="677" spans="1:18" x14ac:dyDescent="0.45">
      <c r="A677">
        <v>676</v>
      </c>
      <c r="B677">
        <v>0</v>
      </c>
      <c r="C677" t="str">
        <f t="shared" si="51"/>
        <v>Not Survived</v>
      </c>
      <c r="D677">
        <v>3</v>
      </c>
      <c r="E677" t="s">
        <v>1335</v>
      </c>
      <c r="F677" t="s">
        <v>722</v>
      </c>
      <c r="G677" t="s">
        <v>585</v>
      </c>
      <c r="H677" t="s">
        <v>9</v>
      </c>
      <c r="I677" t="str">
        <f t="shared" si="52"/>
        <v>Male</v>
      </c>
      <c r="J677">
        <v>18</v>
      </c>
      <c r="K677" t="str">
        <f t="shared" si="53"/>
        <v>Adult</v>
      </c>
      <c r="L677" t="str" cm="1">
        <f t="array" ref="L677">_xlfn.IFS(J677&lt;13,"Child",J677&lt;18,"Teen",J677&lt;60,"Adult",J677&gt;60,"Old Age")</f>
        <v>Adult</v>
      </c>
      <c r="M677">
        <v>0</v>
      </c>
      <c r="N677">
        <v>0</v>
      </c>
      <c r="O677">
        <f t="shared" si="54"/>
        <v>1</v>
      </c>
      <c r="P677">
        <v>7.7750000000000004</v>
      </c>
      <c r="Q677" t="str">
        <f t="shared" si="50"/>
        <v>High</v>
      </c>
      <c r="R677" t="s">
        <v>1514</v>
      </c>
    </row>
    <row r="678" spans="1:18" x14ac:dyDescent="0.45">
      <c r="A678">
        <v>677</v>
      </c>
      <c r="B678">
        <v>0</v>
      </c>
      <c r="C678" t="str">
        <f t="shared" si="51"/>
        <v>Not Survived</v>
      </c>
      <c r="D678">
        <v>3</v>
      </c>
      <c r="E678" t="s">
        <v>1336</v>
      </c>
      <c r="F678" t="s">
        <v>722</v>
      </c>
      <c r="G678" t="s">
        <v>586</v>
      </c>
      <c r="H678" t="s">
        <v>9</v>
      </c>
      <c r="I678" t="str">
        <f t="shared" si="52"/>
        <v>Male</v>
      </c>
      <c r="J678">
        <v>24.5</v>
      </c>
      <c r="K678" t="str">
        <f t="shared" si="53"/>
        <v>Adult</v>
      </c>
      <c r="L678" t="str" cm="1">
        <f t="array" ref="L678">_xlfn.IFS(J678&lt;13,"Child",J678&lt;18,"Teen",J678&lt;60,"Adult",J678&gt;60,"Old Age")</f>
        <v>Adult</v>
      </c>
      <c r="M678">
        <v>0</v>
      </c>
      <c r="N678">
        <v>0</v>
      </c>
      <c r="O678">
        <f t="shared" si="54"/>
        <v>1</v>
      </c>
      <c r="P678" t="s">
        <v>12</v>
      </c>
      <c r="Q678" t="str">
        <f t="shared" si="50"/>
        <v>High</v>
      </c>
      <c r="R678" t="s">
        <v>1514</v>
      </c>
    </row>
    <row r="679" spans="1:18" x14ac:dyDescent="0.45">
      <c r="A679">
        <v>678</v>
      </c>
      <c r="B679">
        <v>1</v>
      </c>
      <c r="C679" t="str">
        <f t="shared" si="51"/>
        <v>Survived</v>
      </c>
      <c r="D679">
        <v>3</v>
      </c>
      <c r="E679" t="s">
        <v>876</v>
      </c>
      <c r="F679" t="s">
        <v>724</v>
      </c>
      <c r="G679" t="s">
        <v>587</v>
      </c>
      <c r="H679" t="s">
        <v>10</v>
      </c>
      <c r="I679" t="str">
        <f t="shared" si="52"/>
        <v>Female</v>
      </c>
      <c r="J679">
        <v>18</v>
      </c>
      <c r="K679" t="str">
        <f t="shared" si="53"/>
        <v>Adult</v>
      </c>
      <c r="L679" t="str" cm="1">
        <f t="array" ref="L679">_xlfn.IFS(J679&lt;13,"Child",J679&lt;18,"Teen",J679&lt;60,"Adult",J679&gt;60,"Old Age")</f>
        <v>Adult</v>
      </c>
      <c r="M679">
        <v>0</v>
      </c>
      <c r="N679">
        <v>0</v>
      </c>
      <c r="O679">
        <f t="shared" si="54"/>
        <v>1</v>
      </c>
      <c r="P679">
        <v>9.8416999999999994</v>
      </c>
      <c r="Q679" t="str">
        <f t="shared" si="50"/>
        <v>High</v>
      </c>
      <c r="R679" t="s">
        <v>1514</v>
      </c>
    </row>
    <row r="680" spans="1:18" x14ac:dyDescent="0.45">
      <c r="A680">
        <v>679</v>
      </c>
      <c r="B680">
        <v>0</v>
      </c>
      <c r="C680" t="str">
        <f t="shared" si="51"/>
        <v>Not Survived</v>
      </c>
      <c r="D680">
        <v>3</v>
      </c>
      <c r="E680" t="s">
        <v>1337</v>
      </c>
      <c r="F680" t="s">
        <v>723</v>
      </c>
      <c r="G680" t="s">
        <v>112</v>
      </c>
      <c r="H680" t="s">
        <v>10</v>
      </c>
      <c r="I680" t="str">
        <f t="shared" si="52"/>
        <v>Female</v>
      </c>
      <c r="J680">
        <v>43</v>
      </c>
      <c r="K680" t="str">
        <f t="shared" si="53"/>
        <v>Adult</v>
      </c>
      <c r="L680" t="str" cm="1">
        <f t="array" ref="L680">_xlfn.IFS(J680&lt;13,"Child",J680&lt;18,"Teen",J680&lt;60,"Adult",J680&gt;60,"Old Age")</f>
        <v>Adult</v>
      </c>
      <c r="M680">
        <v>1</v>
      </c>
      <c r="N680">
        <v>6</v>
      </c>
      <c r="O680">
        <f t="shared" si="54"/>
        <v>8</v>
      </c>
      <c r="P680">
        <v>46.9</v>
      </c>
      <c r="Q680" t="str">
        <f t="shared" si="50"/>
        <v>High</v>
      </c>
      <c r="R680" t="s">
        <v>1514</v>
      </c>
    </row>
    <row r="681" spans="1:18" x14ac:dyDescent="0.45">
      <c r="A681">
        <v>680</v>
      </c>
      <c r="B681">
        <v>1</v>
      </c>
      <c r="C681" t="str">
        <f t="shared" si="51"/>
        <v>Survived</v>
      </c>
      <c r="D681">
        <v>1</v>
      </c>
      <c r="E681" t="s">
        <v>1338</v>
      </c>
      <c r="F681" t="s">
        <v>722</v>
      </c>
      <c r="G681" t="s">
        <v>588</v>
      </c>
      <c r="H681" t="s">
        <v>9</v>
      </c>
      <c r="I681" t="str">
        <f t="shared" si="52"/>
        <v>Male</v>
      </c>
      <c r="J681">
        <v>36</v>
      </c>
      <c r="K681" t="str">
        <f t="shared" si="53"/>
        <v>Adult</v>
      </c>
      <c r="L681" t="str" cm="1">
        <f t="array" ref="L681">_xlfn.IFS(J681&lt;13,"Child",J681&lt;18,"Teen",J681&lt;60,"Adult",J681&gt;60,"Old Age")</f>
        <v>Adult</v>
      </c>
      <c r="M681">
        <v>0</v>
      </c>
      <c r="N681">
        <v>1</v>
      </c>
      <c r="O681">
        <f t="shared" si="54"/>
        <v>2</v>
      </c>
      <c r="P681">
        <v>512.32920000000001</v>
      </c>
      <c r="Q681" t="str">
        <f t="shared" si="50"/>
        <v>High</v>
      </c>
      <c r="R681" t="s">
        <v>1515</v>
      </c>
    </row>
    <row r="682" spans="1:18" x14ac:dyDescent="0.45">
      <c r="A682">
        <v>681</v>
      </c>
      <c r="B682">
        <v>0</v>
      </c>
      <c r="C682" t="str">
        <f t="shared" si="51"/>
        <v>Not Survived</v>
      </c>
      <c r="D682">
        <v>3</v>
      </c>
      <c r="E682" t="s">
        <v>1339</v>
      </c>
      <c r="F682" t="s">
        <v>724</v>
      </c>
      <c r="G682" t="s">
        <v>589</v>
      </c>
      <c r="H682" t="s">
        <v>10</v>
      </c>
      <c r="I682" t="str">
        <f t="shared" si="52"/>
        <v>Female</v>
      </c>
      <c r="J682">
        <v>28</v>
      </c>
      <c r="K682" t="str">
        <f t="shared" si="53"/>
        <v>Adult</v>
      </c>
      <c r="L682" t="str" cm="1">
        <f t="array" ref="L682">_xlfn.IFS(J682&lt;13,"Child",J682&lt;18,"Teen",J682&lt;60,"Adult",J682&gt;60,"Old Age")</f>
        <v>Adult</v>
      </c>
      <c r="M682">
        <v>0</v>
      </c>
      <c r="N682">
        <v>0</v>
      </c>
      <c r="O682">
        <f t="shared" si="54"/>
        <v>1</v>
      </c>
      <c r="P682">
        <v>8.1374999999999993</v>
      </c>
      <c r="Q682" t="str">
        <f t="shared" si="50"/>
        <v>High</v>
      </c>
      <c r="R682" t="s">
        <v>1516</v>
      </c>
    </row>
    <row r="683" spans="1:18" x14ac:dyDescent="0.45">
      <c r="A683">
        <v>682</v>
      </c>
      <c r="B683">
        <v>1</v>
      </c>
      <c r="C683" t="str">
        <f t="shared" si="51"/>
        <v>Survived</v>
      </c>
      <c r="D683">
        <v>1</v>
      </c>
      <c r="E683" t="s">
        <v>1340</v>
      </c>
      <c r="F683" t="s">
        <v>722</v>
      </c>
      <c r="G683" t="s">
        <v>590</v>
      </c>
      <c r="H683" t="s">
        <v>9</v>
      </c>
      <c r="I683" t="str">
        <f t="shared" si="52"/>
        <v>Male</v>
      </c>
      <c r="J683">
        <v>27</v>
      </c>
      <c r="K683" t="str">
        <f t="shared" si="53"/>
        <v>Adult</v>
      </c>
      <c r="L683" t="str" cm="1">
        <f t="array" ref="L683">_xlfn.IFS(J683&lt;13,"Child",J683&lt;18,"Teen",J683&lt;60,"Adult",J683&gt;60,"Old Age")</f>
        <v>Adult</v>
      </c>
      <c r="M683">
        <v>0</v>
      </c>
      <c r="N683">
        <v>0</v>
      </c>
      <c r="O683">
        <f t="shared" si="54"/>
        <v>1</v>
      </c>
      <c r="P683">
        <v>76.729200000000006</v>
      </c>
      <c r="Q683" t="str">
        <f t="shared" si="50"/>
        <v>High</v>
      </c>
      <c r="R683" t="s">
        <v>1515</v>
      </c>
    </row>
    <row r="684" spans="1:18" x14ac:dyDescent="0.45">
      <c r="A684">
        <v>683</v>
      </c>
      <c r="B684">
        <v>0</v>
      </c>
      <c r="C684" t="str">
        <f t="shared" si="51"/>
        <v>Not Survived</v>
      </c>
      <c r="D684">
        <v>3</v>
      </c>
      <c r="E684" t="s">
        <v>1341</v>
      </c>
      <c r="F684" t="s">
        <v>722</v>
      </c>
      <c r="G684" t="s">
        <v>591</v>
      </c>
      <c r="H684" t="s">
        <v>9</v>
      </c>
      <c r="I684" t="str">
        <f t="shared" si="52"/>
        <v>Male</v>
      </c>
      <c r="J684">
        <v>20</v>
      </c>
      <c r="K684" t="str">
        <f t="shared" si="53"/>
        <v>Adult</v>
      </c>
      <c r="L684" t="str" cm="1">
        <f t="array" ref="L684">_xlfn.IFS(J684&lt;13,"Child",J684&lt;18,"Teen",J684&lt;60,"Adult",J684&gt;60,"Old Age")</f>
        <v>Adult</v>
      </c>
      <c r="M684">
        <v>0</v>
      </c>
      <c r="N684">
        <v>0</v>
      </c>
      <c r="O684">
        <f t="shared" si="54"/>
        <v>1</v>
      </c>
      <c r="P684">
        <v>9.2249999999999996</v>
      </c>
      <c r="Q684" t="str">
        <f t="shared" si="50"/>
        <v>High</v>
      </c>
      <c r="R684" t="s">
        <v>1514</v>
      </c>
    </row>
    <row r="685" spans="1:18" x14ac:dyDescent="0.45">
      <c r="A685">
        <v>684</v>
      </c>
      <c r="B685">
        <v>0</v>
      </c>
      <c r="C685" t="str">
        <f t="shared" si="51"/>
        <v>Not Survived</v>
      </c>
      <c r="D685">
        <v>3</v>
      </c>
      <c r="E685" t="s">
        <v>1342</v>
      </c>
      <c r="F685" t="s">
        <v>722</v>
      </c>
      <c r="G685" t="s">
        <v>112</v>
      </c>
      <c r="H685" t="s">
        <v>9</v>
      </c>
      <c r="I685" t="str">
        <f t="shared" si="52"/>
        <v>Male</v>
      </c>
      <c r="J685">
        <v>14</v>
      </c>
      <c r="K685" t="str">
        <f t="shared" si="53"/>
        <v>Teen</v>
      </c>
      <c r="L685" t="str" cm="1">
        <f t="array" ref="L685">_xlfn.IFS(J685&lt;13,"Child",J685&lt;18,"Teen",J685&lt;60,"Adult",J685&gt;60,"Old Age")</f>
        <v>Teen</v>
      </c>
      <c r="M685">
        <v>5</v>
      </c>
      <c r="N685">
        <v>2</v>
      </c>
      <c r="O685">
        <f t="shared" si="54"/>
        <v>8</v>
      </c>
      <c r="P685">
        <v>46.9</v>
      </c>
      <c r="Q685" t="str">
        <f t="shared" si="50"/>
        <v>High</v>
      </c>
      <c r="R685" t="s">
        <v>1514</v>
      </c>
    </row>
    <row r="686" spans="1:18" x14ac:dyDescent="0.45">
      <c r="A686">
        <v>685</v>
      </c>
      <c r="B686">
        <v>0</v>
      </c>
      <c r="C686" t="str">
        <f t="shared" si="51"/>
        <v>Not Survived</v>
      </c>
      <c r="D686">
        <v>2</v>
      </c>
      <c r="E686" t="s">
        <v>1343</v>
      </c>
      <c r="F686" t="s">
        <v>722</v>
      </c>
      <c r="G686" t="s">
        <v>227</v>
      </c>
      <c r="H686" t="s">
        <v>9</v>
      </c>
      <c r="I686" t="str">
        <f t="shared" si="52"/>
        <v>Male</v>
      </c>
      <c r="J686">
        <v>60</v>
      </c>
      <c r="K686" t="str">
        <f t="shared" si="53"/>
        <v>Old Age</v>
      </c>
      <c r="L686" t="e" cm="1">
        <f t="array" ref="L686">_xlfn.IFS(J686&lt;13,"Child",J686&lt;18,"Teen",J686&lt;60,"Adult",J686&gt;60,"Old Age")</f>
        <v>#N/A</v>
      </c>
      <c r="M686">
        <v>1</v>
      </c>
      <c r="N686">
        <v>1</v>
      </c>
      <c r="O686">
        <f t="shared" si="54"/>
        <v>3</v>
      </c>
      <c r="P686">
        <v>39</v>
      </c>
      <c r="Q686" t="str">
        <f t="shared" si="50"/>
        <v>High</v>
      </c>
      <c r="R686" t="s">
        <v>1514</v>
      </c>
    </row>
    <row r="687" spans="1:18" x14ac:dyDescent="0.45">
      <c r="A687">
        <v>686</v>
      </c>
      <c r="B687">
        <v>0</v>
      </c>
      <c r="C687" t="str">
        <f t="shared" si="51"/>
        <v>Not Survived</v>
      </c>
      <c r="D687">
        <v>2</v>
      </c>
      <c r="E687" t="s">
        <v>1344</v>
      </c>
      <c r="F687" t="s">
        <v>722</v>
      </c>
      <c r="G687" t="s">
        <v>96</v>
      </c>
      <c r="H687" t="s">
        <v>9</v>
      </c>
      <c r="I687" t="str">
        <f t="shared" si="52"/>
        <v>Male</v>
      </c>
      <c r="J687">
        <v>25</v>
      </c>
      <c r="K687" t="str">
        <f t="shared" si="53"/>
        <v>Adult</v>
      </c>
      <c r="L687" t="str" cm="1">
        <f t="array" ref="L687">_xlfn.IFS(J687&lt;13,"Child",J687&lt;18,"Teen",J687&lt;60,"Adult",J687&gt;60,"Old Age")</f>
        <v>Adult</v>
      </c>
      <c r="M687">
        <v>1</v>
      </c>
      <c r="N687">
        <v>2</v>
      </c>
      <c r="O687">
        <f t="shared" si="54"/>
        <v>4</v>
      </c>
      <c r="P687">
        <v>41.5792</v>
      </c>
      <c r="Q687" t="str">
        <f t="shared" si="50"/>
        <v>High</v>
      </c>
      <c r="R687" t="s">
        <v>1515</v>
      </c>
    </row>
    <row r="688" spans="1:18" x14ac:dyDescent="0.45">
      <c r="A688">
        <v>687</v>
      </c>
      <c r="B688">
        <v>0</v>
      </c>
      <c r="C688" t="str">
        <f t="shared" si="51"/>
        <v>Not Survived</v>
      </c>
      <c r="D688">
        <v>3</v>
      </c>
      <c r="E688" t="s">
        <v>1345</v>
      </c>
      <c r="F688" t="s">
        <v>722</v>
      </c>
      <c r="G688" t="s">
        <v>103</v>
      </c>
      <c r="H688" t="s">
        <v>9</v>
      </c>
      <c r="I688" t="str">
        <f t="shared" si="52"/>
        <v>Male</v>
      </c>
      <c r="J688">
        <v>14</v>
      </c>
      <c r="K688" t="str">
        <f t="shared" si="53"/>
        <v>Teen</v>
      </c>
      <c r="L688" t="str" cm="1">
        <f t="array" ref="L688">_xlfn.IFS(J688&lt;13,"Child",J688&lt;18,"Teen",J688&lt;60,"Adult",J688&gt;60,"Old Age")</f>
        <v>Teen</v>
      </c>
      <c r="M688">
        <v>4</v>
      </c>
      <c r="N688">
        <v>1</v>
      </c>
      <c r="O688">
        <f t="shared" si="54"/>
        <v>6</v>
      </c>
      <c r="P688">
        <v>39.6875</v>
      </c>
      <c r="Q688" t="str">
        <f t="shared" si="50"/>
        <v>High</v>
      </c>
      <c r="R688" t="s">
        <v>1514</v>
      </c>
    </row>
    <row r="689" spans="1:18" x14ac:dyDescent="0.45">
      <c r="A689">
        <v>688</v>
      </c>
      <c r="B689">
        <v>0</v>
      </c>
      <c r="C689" t="str">
        <f t="shared" si="51"/>
        <v>Not Survived</v>
      </c>
      <c r="D689">
        <v>3</v>
      </c>
      <c r="E689" t="s">
        <v>1346</v>
      </c>
      <c r="F689" t="s">
        <v>722</v>
      </c>
      <c r="G689" t="s">
        <v>592</v>
      </c>
      <c r="H689" t="s">
        <v>9</v>
      </c>
      <c r="I689" t="str">
        <f t="shared" si="52"/>
        <v>Male</v>
      </c>
      <c r="J689">
        <v>19</v>
      </c>
      <c r="K689" t="str">
        <f t="shared" si="53"/>
        <v>Adult</v>
      </c>
      <c r="L689" t="str" cm="1">
        <f t="array" ref="L689">_xlfn.IFS(J689&lt;13,"Child",J689&lt;18,"Teen",J689&lt;60,"Adult",J689&gt;60,"Old Age")</f>
        <v>Adult</v>
      </c>
      <c r="M689">
        <v>0</v>
      </c>
      <c r="N689">
        <v>0</v>
      </c>
      <c r="O689">
        <f t="shared" si="54"/>
        <v>1</v>
      </c>
      <c r="P689" t="s">
        <v>46</v>
      </c>
      <c r="Q689" t="str">
        <f t="shared" si="50"/>
        <v>High</v>
      </c>
      <c r="R689" t="s">
        <v>1514</v>
      </c>
    </row>
    <row r="690" spans="1:18" x14ac:dyDescent="0.45">
      <c r="A690">
        <v>689</v>
      </c>
      <c r="B690">
        <v>0</v>
      </c>
      <c r="C690" t="str">
        <f t="shared" si="51"/>
        <v>Not Survived</v>
      </c>
      <c r="D690">
        <v>3</v>
      </c>
      <c r="E690" t="s">
        <v>1347</v>
      </c>
      <c r="F690" t="s">
        <v>722</v>
      </c>
      <c r="G690" t="s">
        <v>593</v>
      </c>
      <c r="H690" t="s">
        <v>9</v>
      </c>
      <c r="I690" t="str">
        <f t="shared" si="52"/>
        <v>Male</v>
      </c>
      <c r="J690">
        <v>18</v>
      </c>
      <c r="K690" t="str">
        <f t="shared" si="53"/>
        <v>Adult</v>
      </c>
      <c r="L690" t="str" cm="1">
        <f t="array" ref="L690">_xlfn.IFS(J690&lt;13,"Child",J690&lt;18,"Teen",J690&lt;60,"Adult",J690&gt;60,"Old Age")</f>
        <v>Adult</v>
      </c>
      <c r="M690">
        <v>0</v>
      </c>
      <c r="N690">
        <v>0</v>
      </c>
      <c r="O690">
        <f t="shared" si="54"/>
        <v>1</v>
      </c>
      <c r="P690">
        <v>7.7957999999999998</v>
      </c>
      <c r="Q690" t="str">
        <f t="shared" si="50"/>
        <v>High</v>
      </c>
      <c r="R690" t="s">
        <v>1514</v>
      </c>
    </row>
    <row r="691" spans="1:18" x14ac:dyDescent="0.45">
      <c r="A691">
        <v>690</v>
      </c>
      <c r="B691">
        <v>1</v>
      </c>
      <c r="C691" t="str">
        <f t="shared" si="51"/>
        <v>Survived</v>
      </c>
      <c r="D691">
        <v>1</v>
      </c>
      <c r="E691" t="s">
        <v>1348</v>
      </c>
      <c r="F691" t="s">
        <v>724</v>
      </c>
      <c r="G691" t="s">
        <v>594</v>
      </c>
      <c r="H691" t="s">
        <v>10</v>
      </c>
      <c r="I691" t="str">
        <f t="shared" si="52"/>
        <v>Female</v>
      </c>
      <c r="J691">
        <v>15</v>
      </c>
      <c r="K691" t="str">
        <f t="shared" si="53"/>
        <v>Teen</v>
      </c>
      <c r="L691" t="str" cm="1">
        <f t="array" ref="L691">_xlfn.IFS(J691&lt;13,"Child",J691&lt;18,"Teen",J691&lt;60,"Adult",J691&gt;60,"Old Age")</f>
        <v>Teen</v>
      </c>
      <c r="M691">
        <v>0</v>
      </c>
      <c r="N691">
        <v>1</v>
      </c>
      <c r="O691">
        <f t="shared" si="54"/>
        <v>2</v>
      </c>
      <c r="P691">
        <v>211.33750000000001</v>
      </c>
      <c r="Q691" t="str">
        <f t="shared" si="50"/>
        <v>High</v>
      </c>
      <c r="R691" t="s">
        <v>1514</v>
      </c>
    </row>
    <row r="692" spans="1:18" x14ac:dyDescent="0.45">
      <c r="A692">
        <v>691</v>
      </c>
      <c r="B692">
        <v>1</v>
      </c>
      <c r="C692" t="str">
        <f t="shared" si="51"/>
        <v>Survived</v>
      </c>
      <c r="D692">
        <v>1</v>
      </c>
      <c r="E692" t="s">
        <v>1349</v>
      </c>
      <c r="F692" t="s">
        <v>722</v>
      </c>
      <c r="G692" t="s">
        <v>595</v>
      </c>
      <c r="H692" t="s">
        <v>9</v>
      </c>
      <c r="I692" t="str">
        <f t="shared" si="52"/>
        <v>Male</v>
      </c>
      <c r="J692">
        <v>31</v>
      </c>
      <c r="K692" t="str">
        <f t="shared" si="53"/>
        <v>Adult</v>
      </c>
      <c r="L692" t="str" cm="1">
        <f t="array" ref="L692">_xlfn.IFS(J692&lt;13,"Child",J692&lt;18,"Teen",J692&lt;60,"Adult",J692&gt;60,"Old Age")</f>
        <v>Adult</v>
      </c>
      <c r="M692">
        <v>1</v>
      </c>
      <c r="N692">
        <v>0</v>
      </c>
      <c r="O692">
        <f t="shared" si="54"/>
        <v>2</v>
      </c>
      <c r="P692">
        <v>57</v>
      </c>
      <c r="Q692" t="str">
        <f t="shared" si="50"/>
        <v>High</v>
      </c>
      <c r="R692" t="s">
        <v>1514</v>
      </c>
    </row>
    <row r="693" spans="1:18" x14ac:dyDescent="0.45">
      <c r="A693">
        <v>692</v>
      </c>
      <c r="B693">
        <v>1</v>
      </c>
      <c r="C693" t="str">
        <f t="shared" si="51"/>
        <v>Survived</v>
      </c>
      <c r="D693">
        <v>3</v>
      </c>
      <c r="E693" t="s">
        <v>1350</v>
      </c>
      <c r="F693" t="s">
        <v>724</v>
      </c>
      <c r="G693" t="s">
        <v>596</v>
      </c>
      <c r="H693" t="s">
        <v>10</v>
      </c>
      <c r="I693" t="str">
        <f t="shared" si="52"/>
        <v>Female</v>
      </c>
      <c r="J693">
        <v>4</v>
      </c>
      <c r="K693" t="str">
        <f t="shared" si="53"/>
        <v>Child</v>
      </c>
      <c r="L693" t="str" cm="1">
        <f t="array" ref="L693">_xlfn.IFS(J693&lt;13,"Child",J693&lt;18,"Teen",J693&lt;60,"Adult",J693&gt;60,"Old Age")</f>
        <v>Child</v>
      </c>
      <c r="M693">
        <v>0</v>
      </c>
      <c r="N693">
        <v>1</v>
      </c>
      <c r="O693">
        <f t="shared" si="54"/>
        <v>2</v>
      </c>
      <c r="P693">
        <v>13.416700000000001</v>
      </c>
      <c r="Q693" t="str">
        <f t="shared" si="50"/>
        <v>High</v>
      </c>
      <c r="R693" t="s">
        <v>1515</v>
      </c>
    </row>
    <row r="694" spans="1:18" x14ac:dyDescent="0.45">
      <c r="A694">
        <v>693</v>
      </c>
      <c r="B694">
        <v>1</v>
      </c>
      <c r="C694" t="str">
        <f t="shared" si="51"/>
        <v>Survived</v>
      </c>
      <c r="D694">
        <v>3</v>
      </c>
      <c r="E694" t="s">
        <v>1351</v>
      </c>
      <c r="F694" t="s">
        <v>722</v>
      </c>
      <c r="G694" t="s">
        <v>597</v>
      </c>
      <c r="H694" t="s">
        <v>9</v>
      </c>
      <c r="I694" t="str">
        <f t="shared" si="52"/>
        <v>Male</v>
      </c>
      <c r="J694">
        <v>28</v>
      </c>
      <c r="K694" t="str">
        <f t="shared" si="53"/>
        <v>Adult</v>
      </c>
      <c r="L694" t="str" cm="1">
        <f t="array" ref="L694">_xlfn.IFS(J694&lt;13,"Child",J694&lt;18,"Teen",J694&lt;60,"Adult",J694&gt;60,"Old Age")</f>
        <v>Adult</v>
      </c>
      <c r="M694">
        <v>0</v>
      </c>
      <c r="N694">
        <v>0</v>
      </c>
      <c r="O694">
        <f t="shared" si="54"/>
        <v>1</v>
      </c>
      <c r="P694">
        <v>56.495800000000003</v>
      </c>
      <c r="Q694" t="str">
        <f t="shared" si="50"/>
        <v>High</v>
      </c>
      <c r="R694" t="s">
        <v>1514</v>
      </c>
    </row>
    <row r="695" spans="1:18" x14ac:dyDescent="0.45">
      <c r="A695">
        <v>694</v>
      </c>
      <c r="B695">
        <v>0</v>
      </c>
      <c r="C695" t="str">
        <f t="shared" si="51"/>
        <v>Not Survived</v>
      </c>
      <c r="D695">
        <v>3</v>
      </c>
      <c r="E695" t="s">
        <v>1352</v>
      </c>
      <c r="F695" t="s">
        <v>722</v>
      </c>
      <c r="G695" t="s">
        <v>598</v>
      </c>
      <c r="H695" t="s">
        <v>9</v>
      </c>
      <c r="I695" t="str">
        <f t="shared" si="52"/>
        <v>Male</v>
      </c>
      <c r="J695">
        <v>25</v>
      </c>
      <c r="K695" t="str">
        <f t="shared" si="53"/>
        <v>Adult</v>
      </c>
      <c r="L695" t="str" cm="1">
        <f t="array" ref="L695">_xlfn.IFS(J695&lt;13,"Child",J695&lt;18,"Teen",J695&lt;60,"Adult",J695&gt;60,"Old Age")</f>
        <v>Adult</v>
      </c>
      <c r="M695">
        <v>0</v>
      </c>
      <c r="N695">
        <v>0</v>
      </c>
      <c r="O695">
        <f t="shared" si="54"/>
        <v>1</v>
      </c>
      <c r="P695">
        <v>7.2249999999999996</v>
      </c>
      <c r="Q695" t="str">
        <f t="shared" si="50"/>
        <v>High</v>
      </c>
      <c r="R695" t="s">
        <v>1515</v>
      </c>
    </row>
    <row r="696" spans="1:18" x14ac:dyDescent="0.45">
      <c r="A696">
        <v>695</v>
      </c>
      <c r="B696">
        <v>0</v>
      </c>
      <c r="C696" t="str">
        <f t="shared" si="51"/>
        <v>Not Survived</v>
      </c>
      <c r="D696">
        <v>1</v>
      </c>
      <c r="E696" t="s">
        <v>920</v>
      </c>
      <c r="F696" t="s">
        <v>735</v>
      </c>
      <c r="G696" t="s">
        <v>599</v>
      </c>
      <c r="H696" t="s">
        <v>9</v>
      </c>
      <c r="I696" t="str">
        <f t="shared" si="52"/>
        <v>Male</v>
      </c>
      <c r="J696">
        <v>60</v>
      </c>
      <c r="K696" t="str">
        <f t="shared" si="53"/>
        <v>Old Age</v>
      </c>
      <c r="L696" t="e" cm="1">
        <f t="array" ref="L696">_xlfn.IFS(J696&lt;13,"Child",J696&lt;18,"Teen",J696&lt;60,"Adult",J696&gt;60,"Old Age")</f>
        <v>#N/A</v>
      </c>
      <c r="M696">
        <v>0</v>
      </c>
      <c r="N696">
        <v>0</v>
      </c>
      <c r="O696">
        <f t="shared" si="54"/>
        <v>1</v>
      </c>
      <c r="P696">
        <v>26.55</v>
      </c>
      <c r="Q696" t="str">
        <f t="shared" si="50"/>
        <v>High</v>
      </c>
      <c r="R696" t="s">
        <v>1514</v>
      </c>
    </row>
    <row r="697" spans="1:18" x14ac:dyDescent="0.45">
      <c r="A697">
        <v>696</v>
      </c>
      <c r="B697">
        <v>0</v>
      </c>
      <c r="C697" t="str">
        <f t="shared" si="51"/>
        <v>Not Survived</v>
      </c>
      <c r="D697">
        <v>2</v>
      </c>
      <c r="E697" t="s">
        <v>1094</v>
      </c>
      <c r="F697" t="s">
        <v>722</v>
      </c>
      <c r="G697" t="s">
        <v>532</v>
      </c>
      <c r="H697" t="s">
        <v>9</v>
      </c>
      <c r="I697" t="str">
        <f t="shared" si="52"/>
        <v>Male</v>
      </c>
      <c r="J697">
        <v>52</v>
      </c>
      <c r="K697" t="str">
        <f t="shared" si="53"/>
        <v>Adult</v>
      </c>
      <c r="L697" t="str" cm="1">
        <f t="array" ref="L697">_xlfn.IFS(J697&lt;13,"Child",J697&lt;18,"Teen",J697&lt;60,"Adult",J697&gt;60,"Old Age")</f>
        <v>Adult</v>
      </c>
      <c r="M697">
        <v>0</v>
      </c>
      <c r="N697">
        <v>0</v>
      </c>
      <c r="O697">
        <f t="shared" si="54"/>
        <v>1</v>
      </c>
      <c r="P697">
        <v>13.5</v>
      </c>
      <c r="Q697" t="str">
        <f t="shared" si="50"/>
        <v>High</v>
      </c>
      <c r="R697" t="s">
        <v>1514</v>
      </c>
    </row>
    <row r="698" spans="1:18" x14ac:dyDescent="0.45">
      <c r="A698">
        <v>697</v>
      </c>
      <c r="B698">
        <v>0</v>
      </c>
      <c r="C698" t="str">
        <f t="shared" si="51"/>
        <v>Not Survived</v>
      </c>
      <c r="D698">
        <v>3</v>
      </c>
      <c r="E698" t="s">
        <v>744</v>
      </c>
      <c r="F698" t="s">
        <v>722</v>
      </c>
      <c r="G698" t="s">
        <v>317</v>
      </c>
      <c r="H698" t="s">
        <v>9</v>
      </c>
      <c r="I698" t="str">
        <f t="shared" si="52"/>
        <v>Male</v>
      </c>
      <c r="J698">
        <v>44</v>
      </c>
      <c r="K698" t="str">
        <f t="shared" si="53"/>
        <v>Adult</v>
      </c>
      <c r="L698" t="str" cm="1">
        <f t="array" ref="L698">_xlfn.IFS(J698&lt;13,"Child",J698&lt;18,"Teen",J698&lt;60,"Adult",J698&gt;60,"Old Age")</f>
        <v>Adult</v>
      </c>
      <c r="M698">
        <v>0</v>
      </c>
      <c r="N698">
        <v>0</v>
      </c>
      <c r="O698">
        <f t="shared" si="54"/>
        <v>1</v>
      </c>
      <c r="P698" t="s">
        <v>12</v>
      </c>
      <c r="Q698" t="str">
        <f t="shared" si="50"/>
        <v>High</v>
      </c>
      <c r="R698" t="s">
        <v>1514</v>
      </c>
    </row>
    <row r="699" spans="1:18" x14ac:dyDescent="0.45">
      <c r="A699">
        <v>698</v>
      </c>
      <c r="B699">
        <v>1</v>
      </c>
      <c r="C699" t="str">
        <f t="shared" si="51"/>
        <v>Survived</v>
      </c>
      <c r="D699">
        <v>3</v>
      </c>
      <c r="E699" t="s">
        <v>891</v>
      </c>
      <c r="F699" t="s">
        <v>724</v>
      </c>
      <c r="G699" t="s">
        <v>600</v>
      </c>
      <c r="H699" t="s">
        <v>10</v>
      </c>
      <c r="I699" t="str">
        <f t="shared" si="52"/>
        <v>Female</v>
      </c>
      <c r="J699">
        <v>28</v>
      </c>
      <c r="K699" t="str">
        <f t="shared" si="53"/>
        <v>Adult</v>
      </c>
      <c r="L699" t="str" cm="1">
        <f t="array" ref="L699">_xlfn.IFS(J699&lt;13,"Child",J699&lt;18,"Teen",J699&lt;60,"Adult",J699&gt;60,"Old Age")</f>
        <v>Adult</v>
      </c>
      <c r="M699">
        <v>0</v>
      </c>
      <c r="N699">
        <v>0</v>
      </c>
      <c r="O699">
        <f t="shared" si="54"/>
        <v>1</v>
      </c>
      <c r="P699">
        <v>7.7332999999999998</v>
      </c>
      <c r="Q699" t="str">
        <f t="shared" si="50"/>
        <v>High</v>
      </c>
      <c r="R699" t="s">
        <v>1516</v>
      </c>
    </row>
    <row r="700" spans="1:18" x14ac:dyDescent="0.45">
      <c r="A700">
        <v>699</v>
      </c>
      <c r="B700">
        <v>0</v>
      </c>
      <c r="C700" t="str">
        <f t="shared" si="51"/>
        <v>Not Survived</v>
      </c>
      <c r="D700">
        <v>1</v>
      </c>
      <c r="E700" t="s">
        <v>1353</v>
      </c>
      <c r="F700" t="s">
        <v>722</v>
      </c>
      <c r="G700" t="s">
        <v>500</v>
      </c>
      <c r="H700" t="s">
        <v>9</v>
      </c>
      <c r="I700" t="str">
        <f t="shared" si="52"/>
        <v>Male</v>
      </c>
      <c r="J700">
        <v>49</v>
      </c>
      <c r="K700" t="str">
        <f t="shared" si="53"/>
        <v>Adult</v>
      </c>
      <c r="L700" t="str" cm="1">
        <f t="array" ref="L700">_xlfn.IFS(J700&lt;13,"Child",J700&lt;18,"Teen",J700&lt;60,"Adult",J700&gt;60,"Old Age")</f>
        <v>Adult</v>
      </c>
      <c r="M700">
        <v>1</v>
      </c>
      <c r="N700">
        <v>1</v>
      </c>
      <c r="O700">
        <f t="shared" si="54"/>
        <v>3</v>
      </c>
      <c r="P700" t="s">
        <v>34</v>
      </c>
      <c r="Q700" t="str">
        <f t="shared" si="50"/>
        <v>High</v>
      </c>
      <c r="R700" t="s">
        <v>1515</v>
      </c>
    </row>
    <row r="701" spans="1:18" x14ac:dyDescent="0.45">
      <c r="A701">
        <v>700</v>
      </c>
      <c r="B701">
        <v>0</v>
      </c>
      <c r="C701" t="str">
        <f t="shared" si="51"/>
        <v>Not Survived</v>
      </c>
      <c r="D701">
        <v>3</v>
      </c>
      <c r="E701" t="s">
        <v>1354</v>
      </c>
      <c r="F701" t="s">
        <v>722</v>
      </c>
      <c r="G701" t="s">
        <v>601</v>
      </c>
      <c r="H701" t="s">
        <v>9</v>
      </c>
      <c r="I701" t="str">
        <f t="shared" si="52"/>
        <v>Male</v>
      </c>
      <c r="J701">
        <v>42</v>
      </c>
      <c r="K701" t="str">
        <f t="shared" si="53"/>
        <v>Adult</v>
      </c>
      <c r="L701" t="str" cm="1">
        <f t="array" ref="L701">_xlfn.IFS(J701&lt;13,"Child",J701&lt;18,"Teen",J701&lt;60,"Adult",J701&gt;60,"Old Age")</f>
        <v>Adult</v>
      </c>
      <c r="M701">
        <v>0</v>
      </c>
      <c r="N701">
        <v>0</v>
      </c>
      <c r="O701">
        <f t="shared" si="54"/>
        <v>1</v>
      </c>
      <c r="P701">
        <v>7.65</v>
      </c>
      <c r="Q701" t="str">
        <f t="shared" si="50"/>
        <v>High</v>
      </c>
      <c r="R701" t="s">
        <v>1514</v>
      </c>
    </row>
    <row r="702" spans="1:18" x14ac:dyDescent="0.45">
      <c r="A702">
        <v>701</v>
      </c>
      <c r="B702">
        <v>1</v>
      </c>
      <c r="C702" t="str">
        <f t="shared" si="51"/>
        <v>Survived</v>
      </c>
      <c r="D702">
        <v>1</v>
      </c>
      <c r="E702" t="s">
        <v>1355</v>
      </c>
      <c r="F702" t="s">
        <v>723</v>
      </c>
      <c r="G702" t="s">
        <v>602</v>
      </c>
      <c r="H702" t="s">
        <v>10</v>
      </c>
      <c r="I702" t="str">
        <f t="shared" si="52"/>
        <v>Female</v>
      </c>
      <c r="J702">
        <v>18</v>
      </c>
      <c r="K702" t="str">
        <f t="shared" si="53"/>
        <v>Adult</v>
      </c>
      <c r="L702" t="str" cm="1">
        <f t="array" ref="L702">_xlfn.IFS(J702&lt;13,"Child",J702&lt;18,"Teen",J702&lt;60,"Adult",J702&gt;60,"Old Age")</f>
        <v>Adult</v>
      </c>
      <c r="M702">
        <v>1</v>
      </c>
      <c r="N702">
        <v>0</v>
      </c>
      <c r="O702">
        <f t="shared" si="54"/>
        <v>2</v>
      </c>
      <c r="P702">
        <v>227.52500000000001</v>
      </c>
      <c r="Q702" t="str">
        <f t="shared" si="50"/>
        <v>High</v>
      </c>
      <c r="R702" t="s">
        <v>1515</v>
      </c>
    </row>
    <row r="703" spans="1:18" x14ac:dyDescent="0.45">
      <c r="A703">
        <v>702</v>
      </c>
      <c r="B703">
        <v>1</v>
      </c>
      <c r="C703" t="str">
        <f t="shared" si="51"/>
        <v>Survived</v>
      </c>
      <c r="D703">
        <v>1</v>
      </c>
      <c r="E703" t="s">
        <v>1356</v>
      </c>
      <c r="F703" t="s">
        <v>722</v>
      </c>
      <c r="G703" t="s">
        <v>603</v>
      </c>
      <c r="H703" t="s">
        <v>9</v>
      </c>
      <c r="I703" t="str">
        <f t="shared" si="52"/>
        <v>Male</v>
      </c>
      <c r="J703">
        <v>35</v>
      </c>
      <c r="K703" t="str">
        <f t="shared" si="53"/>
        <v>Adult</v>
      </c>
      <c r="L703" t="str" cm="1">
        <f t="array" ref="L703">_xlfn.IFS(J703&lt;13,"Child",J703&lt;18,"Teen",J703&lt;60,"Adult",J703&gt;60,"Old Age")</f>
        <v>Adult</v>
      </c>
      <c r="M703">
        <v>0</v>
      </c>
      <c r="N703">
        <v>0</v>
      </c>
      <c r="O703">
        <f t="shared" si="54"/>
        <v>1</v>
      </c>
      <c r="P703">
        <v>26.287500000000001</v>
      </c>
      <c r="Q703" t="str">
        <f t="shared" si="50"/>
        <v>High</v>
      </c>
      <c r="R703" t="s">
        <v>1514</v>
      </c>
    </row>
    <row r="704" spans="1:18" x14ac:dyDescent="0.45">
      <c r="A704">
        <v>703</v>
      </c>
      <c r="B704">
        <v>0</v>
      </c>
      <c r="C704" t="str">
        <f t="shared" si="51"/>
        <v>Not Survived</v>
      </c>
      <c r="D704">
        <v>3</v>
      </c>
      <c r="E704" t="s">
        <v>1357</v>
      </c>
      <c r="F704" t="s">
        <v>724</v>
      </c>
      <c r="G704" t="s">
        <v>362</v>
      </c>
      <c r="H704" t="s">
        <v>10</v>
      </c>
      <c r="I704" t="str">
        <f t="shared" si="52"/>
        <v>Female</v>
      </c>
      <c r="J704">
        <v>18</v>
      </c>
      <c r="K704" t="str">
        <f t="shared" si="53"/>
        <v>Adult</v>
      </c>
      <c r="L704" t="str" cm="1">
        <f t="array" ref="L704">_xlfn.IFS(J704&lt;13,"Child",J704&lt;18,"Teen",J704&lt;60,"Adult",J704&gt;60,"Old Age")</f>
        <v>Adult</v>
      </c>
      <c r="M704">
        <v>0</v>
      </c>
      <c r="N704">
        <v>1</v>
      </c>
      <c r="O704">
        <f t="shared" si="54"/>
        <v>2</v>
      </c>
      <c r="P704">
        <v>14.4542</v>
      </c>
      <c r="Q704" t="str">
        <f t="shared" si="50"/>
        <v>High</v>
      </c>
      <c r="R704" t="s">
        <v>1515</v>
      </c>
    </row>
    <row r="705" spans="1:18" x14ac:dyDescent="0.45">
      <c r="A705">
        <v>704</v>
      </c>
      <c r="B705">
        <v>0</v>
      </c>
      <c r="C705" t="str">
        <f t="shared" si="51"/>
        <v>Not Survived</v>
      </c>
      <c r="D705">
        <v>3</v>
      </c>
      <c r="E705" t="s">
        <v>861</v>
      </c>
      <c r="F705" t="s">
        <v>722</v>
      </c>
      <c r="G705" t="s">
        <v>604</v>
      </c>
      <c r="H705" t="s">
        <v>9</v>
      </c>
      <c r="I705" t="str">
        <f t="shared" si="52"/>
        <v>Male</v>
      </c>
      <c r="J705">
        <v>25</v>
      </c>
      <c r="K705" t="str">
        <f t="shared" si="53"/>
        <v>Adult</v>
      </c>
      <c r="L705" t="str" cm="1">
        <f t="array" ref="L705">_xlfn.IFS(J705&lt;13,"Child",J705&lt;18,"Teen",J705&lt;60,"Adult",J705&gt;60,"Old Age")</f>
        <v>Adult</v>
      </c>
      <c r="M705">
        <v>0</v>
      </c>
      <c r="N705">
        <v>0</v>
      </c>
      <c r="O705">
        <f t="shared" si="54"/>
        <v>1</v>
      </c>
      <c r="P705">
        <v>7.7416999999999998</v>
      </c>
      <c r="Q705" t="str">
        <f t="shared" si="50"/>
        <v>High</v>
      </c>
      <c r="R705" t="s">
        <v>1516</v>
      </c>
    </row>
    <row r="706" spans="1:18" x14ac:dyDescent="0.45">
      <c r="A706">
        <v>705</v>
      </c>
      <c r="B706">
        <v>0</v>
      </c>
      <c r="C706" t="str">
        <f t="shared" si="51"/>
        <v>Not Survived</v>
      </c>
      <c r="D706">
        <v>3</v>
      </c>
      <c r="E706" t="s">
        <v>1358</v>
      </c>
      <c r="F706" t="s">
        <v>722</v>
      </c>
      <c r="G706" t="s">
        <v>549</v>
      </c>
      <c r="H706" t="s">
        <v>9</v>
      </c>
      <c r="I706" t="str">
        <f t="shared" si="52"/>
        <v>Male</v>
      </c>
      <c r="J706">
        <v>26</v>
      </c>
      <c r="K706" t="str">
        <f t="shared" si="53"/>
        <v>Adult</v>
      </c>
      <c r="L706" t="str" cm="1">
        <f t="array" ref="L706">_xlfn.IFS(J706&lt;13,"Child",J706&lt;18,"Teen",J706&lt;60,"Adult",J706&gt;60,"Old Age")</f>
        <v>Adult</v>
      </c>
      <c r="M706">
        <v>1</v>
      </c>
      <c r="N706">
        <v>0</v>
      </c>
      <c r="O706">
        <f t="shared" si="54"/>
        <v>2</v>
      </c>
      <c r="P706">
        <v>7.8541999999999996</v>
      </c>
      <c r="Q706" t="str">
        <f t="shared" ref="Q706:Q769" si="55">IF(A706&lt;=10,"Low",IF(A706&lt;=50,"Medium","High"))</f>
        <v>High</v>
      </c>
      <c r="R706" t="s">
        <v>1514</v>
      </c>
    </row>
    <row r="707" spans="1:18" x14ac:dyDescent="0.45">
      <c r="A707">
        <v>706</v>
      </c>
      <c r="B707">
        <v>0</v>
      </c>
      <c r="C707" t="str">
        <f t="shared" ref="C707:C770" si="56">IF(B707 = 0, "Not Survived","Survived")</f>
        <v>Not Survived</v>
      </c>
      <c r="D707">
        <v>2</v>
      </c>
      <c r="E707" t="s">
        <v>1359</v>
      </c>
      <c r="F707" t="s">
        <v>722</v>
      </c>
      <c r="G707" t="s">
        <v>436</v>
      </c>
      <c r="H707" t="s">
        <v>9</v>
      </c>
      <c r="I707" t="str">
        <f t="shared" ref="I707:I770" si="57">PROPER(H707)</f>
        <v>Male</v>
      </c>
      <c r="J707">
        <v>39</v>
      </c>
      <c r="K707" t="str">
        <f t="shared" ref="K707:K770" si="58">IF(J707&lt;13,"Child",IF(J707&lt;18,"Teen",IF(J707&lt;60,"Adult","Old Age")))</f>
        <v>Adult</v>
      </c>
      <c r="L707" t="str" cm="1">
        <f t="array" ref="L707">_xlfn.IFS(J707&lt;13,"Child",J707&lt;18,"Teen",J707&lt;60,"Adult",J707&gt;60,"Old Age")</f>
        <v>Adult</v>
      </c>
      <c r="M707">
        <v>0</v>
      </c>
      <c r="N707">
        <v>0</v>
      </c>
      <c r="O707">
        <f t="shared" ref="O707:O770" si="59">M707+N707+1</f>
        <v>1</v>
      </c>
      <c r="P707">
        <v>26</v>
      </c>
      <c r="Q707" t="str">
        <f t="shared" si="55"/>
        <v>High</v>
      </c>
      <c r="R707" t="s">
        <v>1514</v>
      </c>
    </row>
    <row r="708" spans="1:18" x14ac:dyDescent="0.45">
      <c r="A708">
        <v>707</v>
      </c>
      <c r="B708">
        <v>1</v>
      </c>
      <c r="C708" t="str">
        <f t="shared" si="56"/>
        <v>Survived</v>
      </c>
      <c r="D708">
        <v>2</v>
      </c>
      <c r="E708" t="s">
        <v>1360</v>
      </c>
      <c r="F708" t="s">
        <v>723</v>
      </c>
      <c r="G708" t="s">
        <v>317</v>
      </c>
      <c r="H708" t="s">
        <v>10</v>
      </c>
      <c r="I708" t="str">
        <f t="shared" si="57"/>
        <v>Female</v>
      </c>
      <c r="J708">
        <v>45</v>
      </c>
      <c r="K708" t="str">
        <f t="shared" si="58"/>
        <v>Adult</v>
      </c>
      <c r="L708" t="str" cm="1">
        <f t="array" ref="L708">_xlfn.IFS(J708&lt;13,"Child",J708&lt;18,"Teen",J708&lt;60,"Adult",J708&gt;60,"Old Age")</f>
        <v>Adult</v>
      </c>
      <c r="M708">
        <v>0</v>
      </c>
      <c r="N708">
        <v>0</v>
      </c>
      <c r="O708">
        <f t="shared" si="59"/>
        <v>1</v>
      </c>
      <c r="P708">
        <v>13.5</v>
      </c>
      <c r="Q708" t="str">
        <f t="shared" si="55"/>
        <v>High</v>
      </c>
      <c r="R708" t="s">
        <v>1514</v>
      </c>
    </row>
    <row r="709" spans="1:18" x14ac:dyDescent="0.45">
      <c r="A709">
        <v>708</v>
      </c>
      <c r="B709">
        <v>1</v>
      </c>
      <c r="C709" t="str">
        <f t="shared" si="56"/>
        <v>Survived</v>
      </c>
      <c r="D709">
        <v>1</v>
      </c>
      <c r="E709" t="s">
        <v>1361</v>
      </c>
      <c r="F709" t="s">
        <v>722</v>
      </c>
      <c r="G709" t="s">
        <v>605</v>
      </c>
      <c r="H709" t="s">
        <v>9</v>
      </c>
      <c r="I709" t="str">
        <f t="shared" si="57"/>
        <v>Male</v>
      </c>
      <c r="J709">
        <v>42</v>
      </c>
      <c r="K709" t="str">
        <f t="shared" si="58"/>
        <v>Adult</v>
      </c>
      <c r="L709" t="str" cm="1">
        <f t="array" ref="L709">_xlfn.IFS(J709&lt;13,"Child",J709&lt;18,"Teen",J709&lt;60,"Adult",J709&gt;60,"Old Age")</f>
        <v>Adult</v>
      </c>
      <c r="M709">
        <v>0</v>
      </c>
      <c r="N709">
        <v>0</v>
      </c>
      <c r="O709">
        <f t="shared" si="59"/>
        <v>1</v>
      </c>
      <c r="P709">
        <v>26.287500000000001</v>
      </c>
      <c r="Q709" t="str">
        <f t="shared" si="55"/>
        <v>High</v>
      </c>
      <c r="R709" t="s">
        <v>1514</v>
      </c>
    </row>
    <row r="710" spans="1:18" x14ac:dyDescent="0.45">
      <c r="A710">
        <v>709</v>
      </c>
      <c r="B710">
        <v>1</v>
      </c>
      <c r="C710" t="str">
        <f t="shared" si="56"/>
        <v>Survived</v>
      </c>
      <c r="D710">
        <v>1</v>
      </c>
      <c r="E710" t="s">
        <v>1281</v>
      </c>
      <c r="F710" t="s">
        <v>724</v>
      </c>
      <c r="G710" t="s">
        <v>606</v>
      </c>
      <c r="H710" t="s">
        <v>10</v>
      </c>
      <c r="I710" t="str">
        <f t="shared" si="57"/>
        <v>Female</v>
      </c>
      <c r="J710">
        <v>22</v>
      </c>
      <c r="K710" t="str">
        <f t="shared" si="58"/>
        <v>Adult</v>
      </c>
      <c r="L710" t="str" cm="1">
        <f t="array" ref="L710">_xlfn.IFS(J710&lt;13,"Child",J710&lt;18,"Teen",J710&lt;60,"Adult",J710&gt;60,"Old Age")</f>
        <v>Adult</v>
      </c>
      <c r="M710">
        <v>0</v>
      </c>
      <c r="N710">
        <v>0</v>
      </c>
      <c r="O710">
        <f t="shared" si="59"/>
        <v>1</v>
      </c>
      <c r="P710">
        <v>151.55000000000001</v>
      </c>
      <c r="Q710" t="str">
        <f t="shared" si="55"/>
        <v>High</v>
      </c>
      <c r="R710" t="s">
        <v>1514</v>
      </c>
    </row>
    <row r="711" spans="1:18" x14ac:dyDescent="0.45">
      <c r="A711">
        <v>710</v>
      </c>
      <c r="B711">
        <v>1</v>
      </c>
      <c r="C711" t="str">
        <f t="shared" si="56"/>
        <v>Survived</v>
      </c>
      <c r="D711">
        <v>3</v>
      </c>
      <c r="E711" t="s">
        <v>1362</v>
      </c>
      <c r="F711" t="s">
        <v>725</v>
      </c>
      <c r="G711" t="s">
        <v>118</v>
      </c>
      <c r="H711" t="s">
        <v>9</v>
      </c>
      <c r="I711" t="str">
        <f t="shared" si="57"/>
        <v>Male</v>
      </c>
      <c r="J711">
        <v>28</v>
      </c>
      <c r="K711" t="str">
        <f t="shared" si="58"/>
        <v>Adult</v>
      </c>
      <c r="L711" t="str" cm="1">
        <f t="array" ref="L711">_xlfn.IFS(J711&lt;13,"Child",J711&lt;18,"Teen",J711&lt;60,"Adult",J711&gt;60,"Old Age")</f>
        <v>Adult</v>
      </c>
      <c r="M711">
        <v>1</v>
      </c>
      <c r="N711">
        <v>1</v>
      </c>
      <c r="O711">
        <f t="shared" si="59"/>
        <v>3</v>
      </c>
      <c r="P711">
        <v>15.245799999999999</v>
      </c>
      <c r="Q711" t="str">
        <f t="shared" si="55"/>
        <v>High</v>
      </c>
      <c r="R711" t="s">
        <v>1515</v>
      </c>
    </row>
    <row r="712" spans="1:18" x14ac:dyDescent="0.45">
      <c r="A712">
        <v>711</v>
      </c>
      <c r="B712">
        <v>1</v>
      </c>
      <c r="C712" t="str">
        <f t="shared" si="56"/>
        <v>Survived</v>
      </c>
      <c r="D712">
        <v>1</v>
      </c>
      <c r="E712" t="s">
        <v>1363</v>
      </c>
      <c r="F712" t="s">
        <v>734</v>
      </c>
      <c r="G712" t="s">
        <v>607</v>
      </c>
      <c r="H712" t="s">
        <v>10</v>
      </c>
      <c r="I712" t="str">
        <f t="shared" si="57"/>
        <v>Female</v>
      </c>
      <c r="J712">
        <v>24</v>
      </c>
      <c r="K712" t="str">
        <f t="shared" si="58"/>
        <v>Adult</v>
      </c>
      <c r="L712" t="str" cm="1">
        <f t="array" ref="L712">_xlfn.IFS(J712&lt;13,"Child",J712&lt;18,"Teen",J712&lt;60,"Adult",J712&gt;60,"Old Age")</f>
        <v>Adult</v>
      </c>
      <c r="M712">
        <v>0</v>
      </c>
      <c r="N712">
        <v>0</v>
      </c>
      <c r="O712">
        <f t="shared" si="59"/>
        <v>1</v>
      </c>
      <c r="P712" t="s">
        <v>40</v>
      </c>
      <c r="Q712" t="str">
        <f t="shared" si="55"/>
        <v>High</v>
      </c>
      <c r="R712" t="s">
        <v>1515</v>
      </c>
    </row>
    <row r="713" spans="1:18" x14ac:dyDescent="0.45">
      <c r="A713">
        <v>712</v>
      </c>
      <c r="B713">
        <v>0</v>
      </c>
      <c r="C713" t="str">
        <f t="shared" si="56"/>
        <v>Not Survived</v>
      </c>
      <c r="D713">
        <v>1</v>
      </c>
      <c r="E713" t="s">
        <v>1364</v>
      </c>
      <c r="F713" t="s">
        <v>722</v>
      </c>
      <c r="G713" t="s">
        <v>608</v>
      </c>
      <c r="H713" t="s">
        <v>9</v>
      </c>
      <c r="I713" t="str">
        <f t="shared" si="57"/>
        <v>Male</v>
      </c>
      <c r="J713">
        <v>28</v>
      </c>
      <c r="K713" t="str">
        <f t="shared" si="58"/>
        <v>Adult</v>
      </c>
      <c r="L713" t="str" cm="1">
        <f t="array" ref="L713">_xlfn.IFS(J713&lt;13,"Child",J713&lt;18,"Teen",J713&lt;60,"Adult",J713&gt;60,"Old Age")</f>
        <v>Adult</v>
      </c>
      <c r="M713">
        <v>0</v>
      </c>
      <c r="N713">
        <v>0</v>
      </c>
      <c r="O713">
        <f t="shared" si="59"/>
        <v>1</v>
      </c>
      <c r="P713">
        <v>26.55</v>
      </c>
      <c r="Q713" t="str">
        <f t="shared" si="55"/>
        <v>High</v>
      </c>
      <c r="R713" t="s">
        <v>1514</v>
      </c>
    </row>
    <row r="714" spans="1:18" x14ac:dyDescent="0.45">
      <c r="A714">
        <v>713</v>
      </c>
      <c r="B714">
        <v>1</v>
      </c>
      <c r="C714" t="str">
        <f t="shared" si="56"/>
        <v>Survived</v>
      </c>
      <c r="D714">
        <v>1</v>
      </c>
      <c r="E714" t="s">
        <v>1365</v>
      </c>
      <c r="F714" t="s">
        <v>722</v>
      </c>
      <c r="G714" t="s">
        <v>580</v>
      </c>
      <c r="H714" t="s">
        <v>9</v>
      </c>
      <c r="I714" t="str">
        <f t="shared" si="57"/>
        <v>Male</v>
      </c>
      <c r="J714">
        <v>48</v>
      </c>
      <c r="K714" t="str">
        <f t="shared" si="58"/>
        <v>Adult</v>
      </c>
      <c r="L714" t="str" cm="1">
        <f t="array" ref="L714">_xlfn.IFS(J714&lt;13,"Child",J714&lt;18,"Teen",J714&lt;60,"Adult",J714&gt;60,"Old Age")</f>
        <v>Adult</v>
      </c>
      <c r="M714">
        <v>1</v>
      </c>
      <c r="N714">
        <v>0</v>
      </c>
      <c r="O714">
        <f t="shared" si="59"/>
        <v>2</v>
      </c>
      <c r="P714">
        <v>52</v>
      </c>
      <c r="Q714" t="str">
        <f t="shared" si="55"/>
        <v>High</v>
      </c>
      <c r="R714" t="s">
        <v>1514</v>
      </c>
    </row>
    <row r="715" spans="1:18" x14ac:dyDescent="0.45">
      <c r="A715">
        <v>714</v>
      </c>
      <c r="B715">
        <v>0</v>
      </c>
      <c r="C715" t="str">
        <f t="shared" si="56"/>
        <v>Not Survived</v>
      </c>
      <c r="D715">
        <v>3</v>
      </c>
      <c r="E715" t="s">
        <v>1366</v>
      </c>
      <c r="F715" t="s">
        <v>722</v>
      </c>
      <c r="G715" t="s">
        <v>258</v>
      </c>
      <c r="H715" t="s">
        <v>9</v>
      </c>
      <c r="I715" t="str">
        <f t="shared" si="57"/>
        <v>Male</v>
      </c>
      <c r="J715">
        <v>29</v>
      </c>
      <c r="K715" t="str">
        <f t="shared" si="58"/>
        <v>Adult</v>
      </c>
      <c r="L715" t="str" cm="1">
        <f t="array" ref="L715">_xlfn.IFS(J715&lt;13,"Child",J715&lt;18,"Teen",J715&lt;60,"Adult",J715&gt;60,"Old Age")</f>
        <v>Adult</v>
      </c>
      <c r="M715">
        <v>0</v>
      </c>
      <c r="N715">
        <v>0</v>
      </c>
      <c r="O715">
        <f t="shared" si="59"/>
        <v>1</v>
      </c>
      <c r="P715">
        <v>9.4832999999999998</v>
      </c>
      <c r="Q715" t="str">
        <f t="shared" si="55"/>
        <v>High</v>
      </c>
      <c r="R715" t="s">
        <v>1514</v>
      </c>
    </row>
    <row r="716" spans="1:18" x14ac:dyDescent="0.45">
      <c r="A716">
        <v>715</v>
      </c>
      <c r="B716">
        <v>0</v>
      </c>
      <c r="C716" t="str">
        <f t="shared" si="56"/>
        <v>Not Survived</v>
      </c>
      <c r="D716">
        <v>2</v>
      </c>
      <c r="E716" t="s">
        <v>1026</v>
      </c>
      <c r="F716" t="s">
        <v>722</v>
      </c>
      <c r="G716" t="s">
        <v>609</v>
      </c>
      <c r="H716" t="s">
        <v>9</v>
      </c>
      <c r="I716" t="str">
        <f t="shared" si="57"/>
        <v>Male</v>
      </c>
      <c r="J716">
        <v>52</v>
      </c>
      <c r="K716" t="str">
        <f t="shared" si="58"/>
        <v>Adult</v>
      </c>
      <c r="L716" t="str" cm="1">
        <f t="array" ref="L716">_xlfn.IFS(J716&lt;13,"Child",J716&lt;18,"Teen",J716&lt;60,"Adult",J716&gt;60,"Old Age")</f>
        <v>Adult</v>
      </c>
      <c r="M716">
        <v>0</v>
      </c>
      <c r="N716">
        <v>0</v>
      </c>
      <c r="O716">
        <f t="shared" si="59"/>
        <v>1</v>
      </c>
      <c r="P716">
        <v>13</v>
      </c>
      <c r="Q716" t="str">
        <f t="shared" si="55"/>
        <v>High</v>
      </c>
      <c r="R716" t="s">
        <v>1514</v>
      </c>
    </row>
    <row r="717" spans="1:18" x14ac:dyDescent="0.45">
      <c r="A717">
        <v>716</v>
      </c>
      <c r="B717">
        <v>0</v>
      </c>
      <c r="C717" t="str">
        <f t="shared" si="56"/>
        <v>Not Survived</v>
      </c>
      <c r="D717">
        <v>3</v>
      </c>
      <c r="E717" t="s">
        <v>1367</v>
      </c>
      <c r="F717" t="s">
        <v>722</v>
      </c>
      <c r="G717" t="s">
        <v>610</v>
      </c>
      <c r="H717" t="s">
        <v>9</v>
      </c>
      <c r="I717" t="str">
        <f t="shared" si="57"/>
        <v>Male</v>
      </c>
      <c r="J717">
        <v>19</v>
      </c>
      <c r="K717" t="str">
        <f t="shared" si="58"/>
        <v>Adult</v>
      </c>
      <c r="L717" t="str" cm="1">
        <f t="array" ref="L717">_xlfn.IFS(J717&lt;13,"Child",J717&lt;18,"Teen",J717&lt;60,"Adult",J717&gt;60,"Old Age")</f>
        <v>Adult</v>
      </c>
      <c r="M717">
        <v>0</v>
      </c>
      <c r="N717">
        <v>0</v>
      </c>
      <c r="O717">
        <f t="shared" si="59"/>
        <v>1</v>
      </c>
      <c r="P717">
        <v>7.65</v>
      </c>
      <c r="Q717" t="str">
        <f t="shared" si="55"/>
        <v>High</v>
      </c>
      <c r="R717" t="s">
        <v>1514</v>
      </c>
    </row>
    <row r="718" spans="1:18" x14ac:dyDescent="0.45">
      <c r="A718">
        <v>717</v>
      </c>
      <c r="B718">
        <v>1</v>
      </c>
      <c r="C718" t="str">
        <f t="shared" si="56"/>
        <v>Survived</v>
      </c>
      <c r="D718">
        <v>1</v>
      </c>
      <c r="E718" t="s">
        <v>1368</v>
      </c>
      <c r="F718" t="s">
        <v>724</v>
      </c>
      <c r="G718" t="s">
        <v>611</v>
      </c>
      <c r="H718" t="s">
        <v>10</v>
      </c>
      <c r="I718" t="str">
        <f t="shared" si="57"/>
        <v>Female</v>
      </c>
      <c r="J718">
        <v>38</v>
      </c>
      <c r="K718" t="str">
        <f t="shared" si="58"/>
        <v>Adult</v>
      </c>
      <c r="L718" t="str" cm="1">
        <f t="array" ref="L718">_xlfn.IFS(J718&lt;13,"Child",J718&lt;18,"Teen",J718&lt;60,"Adult",J718&gt;60,"Old Age")</f>
        <v>Adult</v>
      </c>
      <c r="M718">
        <v>0</v>
      </c>
      <c r="N718">
        <v>0</v>
      </c>
      <c r="O718">
        <f t="shared" si="59"/>
        <v>1</v>
      </c>
      <c r="P718">
        <v>227.52500000000001</v>
      </c>
      <c r="Q718" t="str">
        <f t="shared" si="55"/>
        <v>High</v>
      </c>
      <c r="R718" t="s">
        <v>1515</v>
      </c>
    </row>
    <row r="719" spans="1:18" x14ac:dyDescent="0.45">
      <c r="A719">
        <v>718</v>
      </c>
      <c r="B719">
        <v>1</v>
      </c>
      <c r="C719" t="str">
        <f t="shared" si="56"/>
        <v>Survived</v>
      </c>
      <c r="D719">
        <v>2</v>
      </c>
      <c r="E719" t="s">
        <v>1369</v>
      </c>
      <c r="F719" t="s">
        <v>724</v>
      </c>
      <c r="G719" t="s">
        <v>612</v>
      </c>
      <c r="H719" t="s">
        <v>10</v>
      </c>
      <c r="I719" t="str">
        <f t="shared" si="57"/>
        <v>Female</v>
      </c>
      <c r="J719">
        <v>27</v>
      </c>
      <c r="K719" t="str">
        <f t="shared" si="58"/>
        <v>Adult</v>
      </c>
      <c r="L719" t="str" cm="1">
        <f t="array" ref="L719">_xlfn.IFS(J719&lt;13,"Child",J719&lt;18,"Teen",J719&lt;60,"Adult",J719&gt;60,"Old Age")</f>
        <v>Adult</v>
      </c>
      <c r="M719">
        <v>0</v>
      </c>
      <c r="N719">
        <v>0</v>
      </c>
      <c r="O719">
        <f t="shared" si="59"/>
        <v>1</v>
      </c>
      <c r="P719" t="s">
        <v>18</v>
      </c>
      <c r="Q719" t="str">
        <f t="shared" si="55"/>
        <v>High</v>
      </c>
      <c r="R719" t="s">
        <v>1514</v>
      </c>
    </row>
    <row r="720" spans="1:18" x14ac:dyDescent="0.45">
      <c r="A720">
        <v>719</v>
      </c>
      <c r="B720">
        <v>0</v>
      </c>
      <c r="C720" t="str">
        <f t="shared" si="56"/>
        <v>Not Survived</v>
      </c>
      <c r="D720">
        <v>3</v>
      </c>
      <c r="E720" t="s">
        <v>1370</v>
      </c>
      <c r="F720" t="s">
        <v>722</v>
      </c>
      <c r="G720" t="s">
        <v>613</v>
      </c>
      <c r="H720" t="s">
        <v>9</v>
      </c>
      <c r="I720" t="str">
        <f t="shared" si="57"/>
        <v>Male</v>
      </c>
      <c r="J720">
        <v>28</v>
      </c>
      <c r="K720" t="str">
        <f t="shared" si="58"/>
        <v>Adult</v>
      </c>
      <c r="L720" t="str" cm="1">
        <f t="array" ref="L720">_xlfn.IFS(J720&lt;13,"Child",J720&lt;18,"Teen",J720&lt;60,"Adult",J720&gt;60,"Old Age")</f>
        <v>Adult</v>
      </c>
      <c r="M720">
        <v>0</v>
      </c>
      <c r="N720">
        <v>0</v>
      </c>
      <c r="O720">
        <f t="shared" si="59"/>
        <v>1</v>
      </c>
      <c r="P720">
        <v>15.5</v>
      </c>
      <c r="Q720" t="str">
        <f t="shared" si="55"/>
        <v>High</v>
      </c>
      <c r="R720" t="s">
        <v>1516</v>
      </c>
    </row>
    <row r="721" spans="1:18" x14ac:dyDescent="0.45">
      <c r="A721">
        <v>720</v>
      </c>
      <c r="B721">
        <v>0</v>
      </c>
      <c r="C721" t="str">
        <f t="shared" si="56"/>
        <v>Not Survived</v>
      </c>
      <c r="D721">
        <v>3</v>
      </c>
      <c r="E721" t="s">
        <v>1371</v>
      </c>
      <c r="F721" t="s">
        <v>722</v>
      </c>
      <c r="G721" t="s">
        <v>63</v>
      </c>
      <c r="H721" t="s">
        <v>9</v>
      </c>
      <c r="I721" t="str">
        <f t="shared" si="57"/>
        <v>Male</v>
      </c>
      <c r="J721">
        <v>33</v>
      </c>
      <c r="K721" t="str">
        <f t="shared" si="58"/>
        <v>Adult</v>
      </c>
      <c r="L721" t="str" cm="1">
        <f t="array" ref="L721">_xlfn.IFS(J721&lt;13,"Child",J721&lt;18,"Teen",J721&lt;60,"Adult",J721&gt;60,"Old Age")</f>
        <v>Adult</v>
      </c>
      <c r="M721">
        <v>0</v>
      </c>
      <c r="N721">
        <v>0</v>
      </c>
      <c r="O721">
        <f t="shared" si="59"/>
        <v>1</v>
      </c>
      <c r="P721">
        <v>7.7750000000000004</v>
      </c>
      <c r="Q721" t="str">
        <f t="shared" si="55"/>
        <v>High</v>
      </c>
      <c r="R721" t="s">
        <v>1514</v>
      </c>
    </row>
    <row r="722" spans="1:18" x14ac:dyDescent="0.45">
      <c r="A722">
        <v>721</v>
      </c>
      <c r="B722">
        <v>1</v>
      </c>
      <c r="C722" t="str">
        <f t="shared" si="56"/>
        <v>Survived</v>
      </c>
      <c r="D722">
        <v>2</v>
      </c>
      <c r="E722" t="s">
        <v>1372</v>
      </c>
      <c r="F722" t="s">
        <v>724</v>
      </c>
      <c r="G722" t="s">
        <v>105</v>
      </c>
      <c r="H722" t="s">
        <v>10</v>
      </c>
      <c r="I722" t="str">
        <f t="shared" si="57"/>
        <v>Female</v>
      </c>
      <c r="J722">
        <v>6</v>
      </c>
      <c r="K722" t="str">
        <f t="shared" si="58"/>
        <v>Child</v>
      </c>
      <c r="L722" t="str" cm="1">
        <f t="array" ref="L722">_xlfn.IFS(J722&lt;13,"Child",J722&lt;18,"Teen",J722&lt;60,"Adult",J722&gt;60,"Old Age")</f>
        <v>Child</v>
      </c>
      <c r="M722">
        <v>0</v>
      </c>
      <c r="N722">
        <v>1</v>
      </c>
      <c r="O722">
        <f t="shared" si="59"/>
        <v>2</v>
      </c>
      <c r="P722">
        <v>33</v>
      </c>
      <c r="Q722" t="str">
        <f t="shared" si="55"/>
        <v>High</v>
      </c>
      <c r="R722" t="s">
        <v>1514</v>
      </c>
    </row>
    <row r="723" spans="1:18" x14ac:dyDescent="0.45">
      <c r="A723">
        <v>722</v>
      </c>
      <c r="B723">
        <v>0</v>
      </c>
      <c r="C723" t="str">
        <f t="shared" si="56"/>
        <v>Not Survived</v>
      </c>
      <c r="D723">
        <v>3</v>
      </c>
      <c r="E723" t="s">
        <v>1373</v>
      </c>
      <c r="F723" t="s">
        <v>722</v>
      </c>
      <c r="G723" t="s">
        <v>562</v>
      </c>
      <c r="H723" t="s">
        <v>9</v>
      </c>
      <c r="I723" t="str">
        <f t="shared" si="57"/>
        <v>Male</v>
      </c>
      <c r="J723">
        <v>17</v>
      </c>
      <c r="K723" t="str">
        <f t="shared" si="58"/>
        <v>Teen</v>
      </c>
      <c r="L723" t="str" cm="1">
        <f t="array" ref="L723">_xlfn.IFS(J723&lt;13,"Child",J723&lt;18,"Teen",J723&lt;60,"Adult",J723&gt;60,"Old Age")</f>
        <v>Teen</v>
      </c>
      <c r="M723">
        <v>1</v>
      </c>
      <c r="N723">
        <v>0</v>
      </c>
      <c r="O723">
        <f t="shared" si="59"/>
        <v>2</v>
      </c>
      <c r="P723" t="s">
        <v>45</v>
      </c>
      <c r="Q723" t="str">
        <f t="shared" si="55"/>
        <v>High</v>
      </c>
      <c r="R723" t="s">
        <v>1514</v>
      </c>
    </row>
    <row r="724" spans="1:18" x14ac:dyDescent="0.45">
      <c r="A724">
        <v>723</v>
      </c>
      <c r="B724">
        <v>0</v>
      </c>
      <c r="C724" t="str">
        <f t="shared" si="56"/>
        <v>Not Survived</v>
      </c>
      <c r="D724">
        <v>2</v>
      </c>
      <c r="E724" t="s">
        <v>743</v>
      </c>
      <c r="F724" t="s">
        <v>722</v>
      </c>
      <c r="G724" t="s">
        <v>614</v>
      </c>
      <c r="H724" t="s">
        <v>9</v>
      </c>
      <c r="I724" t="str">
        <f t="shared" si="57"/>
        <v>Male</v>
      </c>
      <c r="J724">
        <v>34</v>
      </c>
      <c r="K724" t="str">
        <f t="shared" si="58"/>
        <v>Adult</v>
      </c>
      <c r="L724" t="str" cm="1">
        <f t="array" ref="L724">_xlfn.IFS(J724&lt;13,"Child",J724&lt;18,"Teen",J724&lt;60,"Adult",J724&gt;60,"Old Age")</f>
        <v>Adult</v>
      </c>
      <c r="M724">
        <v>0</v>
      </c>
      <c r="N724">
        <v>0</v>
      </c>
      <c r="O724">
        <f t="shared" si="59"/>
        <v>1</v>
      </c>
      <c r="P724">
        <v>13</v>
      </c>
      <c r="Q724" t="str">
        <f t="shared" si="55"/>
        <v>High</v>
      </c>
      <c r="R724" t="s">
        <v>1514</v>
      </c>
    </row>
    <row r="725" spans="1:18" x14ac:dyDescent="0.45">
      <c r="A725">
        <v>724</v>
      </c>
      <c r="B725">
        <v>0</v>
      </c>
      <c r="C725" t="str">
        <f t="shared" si="56"/>
        <v>Not Survived</v>
      </c>
      <c r="D725">
        <v>2</v>
      </c>
      <c r="E725" t="s">
        <v>1374</v>
      </c>
      <c r="F725" t="s">
        <v>722</v>
      </c>
      <c r="G725" t="s">
        <v>615</v>
      </c>
      <c r="H725" t="s">
        <v>9</v>
      </c>
      <c r="I725" t="str">
        <f t="shared" si="57"/>
        <v>Male</v>
      </c>
      <c r="J725">
        <v>50</v>
      </c>
      <c r="K725" t="str">
        <f t="shared" si="58"/>
        <v>Adult</v>
      </c>
      <c r="L725" t="str" cm="1">
        <f t="array" ref="L725">_xlfn.IFS(J725&lt;13,"Child",J725&lt;18,"Teen",J725&lt;60,"Adult",J725&gt;60,"Old Age")</f>
        <v>Adult</v>
      </c>
      <c r="M725">
        <v>0</v>
      </c>
      <c r="N725">
        <v>0</v>
      </c>
      <c r="O725">
        <f t="shared" si="59"/>
        <v>1</v>
      </c>
      <c r="P725">
        <v>13</v>
      </c>
      <c r="Q725" t="str">
        <f t="shared" si="55"/>
        <v>High</v>
      </c>
      <c r="R725" t="s">
        <v>1514</v>
      </c>
    </row>
    <row r="726" spans="1:18" x14ac:dyDescent="0.45">
      <c r="A726">
        <v>725</v>
      </c>
      <c r="B726">
        <v>1</v>
      </c>
      <c r="C726" t="str">
        <f t="shared" si="56"/>
        <v>Survived</v>
      </c>
      <c r="D726">
        <v>1</v>
      </c>
      <c r="E726" t="s">
        <v>1375</v>
      </c>
      <c r="F726" t="s">
        <v>722</v>
      </c>
      <c r="G726" t="s">
        <v>616</v>
      </c>
      <c r="H726" t="s">
        <v>9</v>
      </c>
      <c r="I726" t="str">
        <f t="shared" si="57"/>
        <v>Male</v>
      </c>
      <c r="J726">
        <v>27</v>
      </c>
      <c r="K726" t="str">
        <f t="shared" si="58"/>
        <v>Adult</v>
      </c>
      <c r="L726" t="str" cm="1">
        <f t="array" ref="L726">_xlfn.IFS(J726&lt;13,"Child",J726&lt;18,"Teen",J726&lt;60,"Adult",J726&gt;60,"Old Age")</f>
        <v>Adult</v>
      </c>
      <c r="M726">
        <v>1</v>
      </c>
      <c r="N726">
        <v>0</v>
      </c>
      <c r="O726">
        <f t="shared" si="59"/>
        <v>2</v>
      </c>
      <c r="P726">
        <v>53.1</v>
      </c>
      <c r="Q726" t="str">
        <f t="shared" si="55"/>
        <v>High</v>
      </c>
      <c r="R726" t="s">
        <v>1514</v>
      </c>
    </row>
    <row r="727" spans="1:18" x14ac:dyDescent="0.45">
      <c r="A727">
        <v>726</v>
      </c>
      <c r="B727">
        <v>0</v>
      </c>
      <c r="C727" t="str">
        <f t="shared" si="56"/>
        <v>Not Survived</v>
      </c>
      <c r="D727">
        <v>3</v>
      </c>
      <c r="E727" t="s">
        <v>1166</v>
      </c>
      <c r="F727" t="s">
        <v>722</v>
      </c>
      <c r="G727" t="s">
        <v>390</v>
      </c>
      <c r="H727" t="s">
        <v>9</v>
      </c>
      <c r="I727" t="str">
        <f t="shared" si="57"/>
        <v>Male</v>
      </c>
      <c r="J727">
        <v>20</v>
      </c>
      <c r="K727" t="str">
        <f t="shared" si="58"/>
        <v>Adult</v>
      </c>
      <c r="L727" t="str" cm="1">
        <f t="array" ref="L727">_xlfn.IFS(J727&lt;13,"Child",J727&lt;18,"Teen",J727&lt;60,"Adult",J727&gt;60,"Old Age")</f>
        <v>Adult</v>
      </c>
      <c r="M727">
        <v>0</v>
      </c>
      <c r="N727">
        <v>0</v>
      </c>
      <c r="O727">
        <f t="shared" si="59"/>
        <v>1</v>
      </c>
      <c r="P727">
        <v>8.6624999999999996</v>
      </c>
      <c r="Q727" t="str">
        <f t="shared" si="55"/>
        <v>High</v>
      </c>
      <c r="R727" t="s">
        <v>1514</v>
      </c>
    </row>
    <row r="728" spans="1:18" x14ac:dyDescent="0.45">
      <c r="A728">
        <v>727</v>
      </c>
      <c r="B728">
        <v>1</v>
      </c>
      <c r="C728" t="str">
        <f t="shared" si="56"/>
        <v>Survived</v>
      </c>
      <c r="D728">
        <v>2</v>
      </c>
      <c r="E728" t="s">
        <v>1376</v>
      </c>
      <c r="F728" t="s">
        <v>723</v>
      </c>
      <c r="G728" t="s">
        <v>449</v>
      </c>
      <c r="H728" t="s">
        <v>10</v>
      </c>
      <c r="I728" t="str">
        <f t="shared" si="57"/>
        <v>Female</v>
      </c>
      <c r="J728">
        <v>30</v>
      </c>
      <c r="K728" t="str">
        <f t="shared" si="58"/>
        <v>Adult</v>
      </c>
      <c r="L728" t="str" cm="1">
        <f t="array" ref="L728">_xlfn.IFS(J728&lt;13,"Child",J728&lt;18,"Teen",J728&lt;60,"Adult",J728&gt;60,"Old Age")</f>
        <v>Adult</v>
      </c>
      <c r="M728">
        <v>3</v>
      </c>
      <c r="N728">
        <v>0</v>
      </c>
      <c r="O728">
        <f t="shared" si="59"/>
        <v>4</v>
      </c>
      <c r="P728">
        <v>21</v>
      </c>
      <c r="Q728" t="str">
        <f t="shared" si="55"/>
        <v>High</v>
      </c>
      <c r="R728" t="s">
        <v>1514</v>
      </c>
    </row>
    <row r="729" spans="1:18" x14ac:dyDescent="0.45">
      <c r="A729">
        <v>728</v>
      </c>
      <c r="B729">
        <v>1</v>
      </c>
      <c r="C729" t="str">
        <f t="shared" si="56"/>
        <v>Survived</v>
      </c>
      <c r="D729">
        <v>3</v>
      </c>
      <c r="E729" t="s">
        <v>1377</v>
      </c>
      <c r="F729" t="s">
        <v>724</v>
      </c>
      <c r="G729" t="s">
        <v>617</v>
      </c>
      <c r="H729" t="s">
        <v>10</v>
      </c>
      <c r="I729" t="str">
        <f t="shared" si="57"/>
        <v>Female</v>
      </c>
      <c r="J729">
        <v>28</v>
      </c>
      <c r="K729" t="str">
        <f t="shared" si="58"/>
        <v>Adult</v>
      </c>
      <c r="L729" t="str" cm="1">
        <f t="array" ref="L729">_xlfn.IFS(J729&lt;13,"Child",J729&lt;18,"Teen",J729&lt;60,"Adult",J729&gt;60,"Old Age")</f>
        <v>Adult</v>
      </c>
      <c r="M729">
        <v>0</v>
      </c>
      <c r="N729">
        <v>0</v>
      </c>
      <c r="O729">
        <f t="shared" si="59"/>
        <v>1</v>
      </c>
      <c r="P729">
        <v>7.7374999999999998</v>
      </c>
      <c r="Q729" t="str">
        <f t="shared" si="55"/>
        <v>High</v>
      </c>
      <c r="R729" t="s">
        <v>1516</v>
      </c>
    </row>
    <row r="730" spans="1:18" x14ac:dyDescent="0.45">
      <c r="A730">
        <v>729</v>
      </c>
      <c r="B730">
        <v>0</v>
      </c>
      <c r="C730" t="str">
        <f t="shared" si="56"/>
        <v>Not Survived</v>
      </c>
      <c r="D730">
        <v>2</v>
      </c>
      <c r="E730" t="s">
        <v>1378</v>
      </c>
      <c r="F730" t="s">
        <v>722</v>
      </c>
      <c r="G730" t="s">
        <v>618</v>
      </c>
      <c r="H730" t="s">
        <v>9</v>
      </c>
      <c r="I730" t="str">
        <f t="shared" si="57"/>
        <v>Male</v>
      </c>
      <c r="J730">
        <v>25</v>
      </c>
      <c r="K730" t="str">
        <f t="shared" si="58"/>
        <v>Adult</v>
      </c>
      <c r="L730" t="str" cm="1">
        <f t="array" ref="L730">_xlfn.IFS(J730&lt;13,"Child",J730&lt;18,"Teen",J730&lt;60,"Adult",J730&gt;60,"Old Age")</f>
        <v>Adult</v>
      </c>
      <c r="M730">
        <v>1</v>
      </c>
      <c r="N730">
        <v>0</v>
      </c>
      <c r="O730">
        <f t="shared" si="59"/>
        <v>2</v>
      </c>
      <c r="P730">
        <v>26</v>
      </c>
      <c r="Q730" t="str">
        <f t="shared" si="55"/>
        <v>High</v>
      </c>
      <c r="R730" t="s">
        <v>1514</v>
      </c>
    </row>
    <row r="731" spans="1:18" x14ac:dyDescent="0.45">
      <c r="A731">
        <v>730</v>
      </c>
      <c r="B731">
        <v>0</v>
      </c>
      <c r="C731" t="str">
        <f t="shared" si="56"/>
        <v>Not Survived</v>
      </c>
      <c r="D731">
        <v>3</v>
      </c>
      <c r="E731" t="s">
        <v>1379</v>
      </c>
      <c r="F731" t="s">
        <v>724</v>
      </c>
      <c r="G731" t="s">
        <v>619</v>
      </c>
      <c r="H731" t="s">
        <v>10</v>
      </c>
      <c r="I731" t="str">
        <f t="shared" si="57"/>
        <v>Female</v>
      </c>
      <c r="J731">
        <v>25</v>
      </c>
      <c r="K731" t="str">
        <f t="shared" si="58"/>
        <v>Adult</v>
      </c>
      <c r="L731" t="str" cm="1">
        <f t="array" ref="L731">_xlfn.IFS(J731&lt;13,"Child",J731&lt;18,"Teen",J731&lt;60,"Adult",J731&gt;60,"Old Age")</f>
        <v>Adult</v>
      </c>
      <c r="M731">
        <v>1</v>
      </c>
      <c r="N731">
        <v>0</v>
      </c>
      <c r="O731">
        <f t="shared" si="59"/>
        <v>2</v>
      </c>
      <c r="P731">
        <v>7.9249999999999998</v>
      </c>
      <c r="Q731" t="str">
        <f t="shared" si="55"/>
        <v>High</v>
      </c>
      <c r="R731" t="s">
        <v>1514</v>
      </c>
    </row>
    <row r="732" spans="1:18" x14ac:dyDescent="0.45">
      <c r="A732">
        <v>731</v>
      </c>
      <c r="B732">
        <v>1</v>
      </c>
      <c r="C732" t="str">
        <f t="shared" si="56"/>
        <v>Survived</v>
      </c>
      <c r="D732">
        <v>1</v>
      </c>
      <c r="E732" t="s">
        <v>1380</v>
      </c>
      <c r="F732" t="s">
        <v>724</v>
      </c>
      <c r="G732" t="s">
        <v>59</v>
      </c>
      <c r="H732" t="s">
        <v>10</v>
      </c>
      <c r="I732" t="str">
        <f t="shared" si="57"/>
        <v>Female</v>
      </c>
      <c r="J732">
        <v>29</v>
      </c>
      <c r="K732" t="str">
        <f t="shared" si="58"/>
        <v>Adult</v>
      </c>
      <c r="L732" t="str" cm="1">
        <f t="array" ref="L732">_xlfn.IFS(J732&lt;13,"Child",J732&lt;18,"Teen",J732&lt;60,"Adult",J732&gt;60,"Old Age")</f>
        <v>Adult</v>
      </c>
      <c r="M732">
        <v>0</v>
      </c>
      <c r="N732">
        <v>0</v>
      </c>
      <c r="O732">
        <f t="shared" si="59"/>
        <v>1</v>
      </c>
      <c r="P732">
        <v>211.33750000000001</v>
      </c>
      <c r="Q732" t="str">
        <f t="shared" si="55"/>
        <v>High</v>
      </c>
      <c r="R732" t="s">
        <v>1514</v>
      </c>
    </row>
    <row r="733" spans="1:18" x14ac:dyDescent="0.45">
      <c r="A733">
        <v>732</v>
      </c>
      <c r="B733">
        <v>0</v>
      </c>
      <c r="C733" t="str">
        <f t="shared" si="56"/>
        <v>Not Survived</v>
      </c>
      <c r="D733">
        <v>3</v>
      </c>
      <c r="E733" t="s">
        <v>1381</v>
      </c>
      <c r="F733" t="s">
        <v>722</v>
      </c>
      <c r="G733" t="s">
        <v>620</v>
      </c>
      <c r="H733" t="s">
        <v>9</v>
      </c>
      <c r="I733" t="str">
        <f t="shared" si="57"/>
        <v>Male</v>
      </c>
      <c r="J733">
        <v>11</v>
      </c>
      <c r="K733" t="str">
        <f t="shared" si="58"/>
        <v>Child</v>
      </c>
      <c r="L733" t="str" cm="1">
        <f t="array" ref="L733">_xlfn.IFS(J733&lt;13,"Child",J733&lt;18,"Teen",J733&lt;60,"Adult",J733&gt;60,"Old Age")</f>
        <v>Child</v>
      </c>
      <c r="M733">
        <v>0</v>
      </c>
      <c r="N733">
        <v>0</v>
      </c>
      <c r="O733">
        <f t="shared" si="59"/>
        <v>1</v>
      </c>
      <c r="P733">
        <v>18.787500000000001</v>
      </c>
      <c r="Q733" t="str">
        <f t="shared" si="55"/>
        <v>High</v>
      </c>
      <c r="R733" t="s">
        <v>1515</v>
      </c>
    </row>
    <row r="734" spans="1:18" x14ac:dyDescent="0.45">
      <c r="A734">
        <v>733</v>
      </c>
      <c r="B734">
        <v>0</v>
      </c>
      <c r="C734" t="str">
        <f t="shared" si="56"/>
        <v>Not Survived</v>
      </c>
      <c r="D734">
        <v>2</v>
      </c>
      <c r="E734" t="s">
        <v>1382</v>
      </c>
      <c r="F734" t="s">
        <v>722</v>
      </c>
      <c r="G734" t="s">
        <v>621</v>
      </c>
      <c r="H734" t="s">
        <v>9</v>
      </c>
      <c r="I734" t="str">
        <f t="shared" si="57"/>
        <v>Male</v>
      </c>
      <c r="J734">
        <v>28</v>
      </c>
      <c r="K734" t="str">
        <f t="shared" si="58"/>
        <v>Adult</v>
      </c>
      <c r="L734" t="str" cm="1">
        <f t="array" ref="L734">_xlfn.IFS(J734&lt;13,"Child",J734&lt;18,"Teen",J734&lt;60,"Adult",J734&gt;60,"Old Age")</f>
        <v>Adult</v>
      </c>
      <c r="M734">
        <v>0</v>
      </c>
      <c r="N734">
        <v>0</v>
      </c>
      <c r="O734">
        <f t="shared" si="59"/>
        <v>1</v>
      </c>
      <c r="P734">
        <v>14.4542</v>
      </c>
      <c r="Q734" t="str">
        <f t="shared" si="55"/>
        <v>High</v>
      </c>
      <c r="R734" t="s">
        <v>1514</v>
      </c>
    </row>
    <row r="735" spans="1:18" x14ac:dyDescent="0.45">
      <c r="A735">
        <v>734</v>
      </c>
      <c r="B735">
        <v>0</v>
      </c>
      <c r="C735" t="str">
        <f t="shared" si="56"/>
        <v>Not Survived</v>
      </c>
      <c r="D735">
        <v>2</v>
      </c>
      <c r="E735" t="s">
        <v>783</v>
      </c>
      <c r="F735" t="s">
        <v>722</v>
      </c>
      <c r="G735" t="s">
        <v>622</v>
      </c>
      <c r="H735" t="s">
        <v>9</v>
      </c>
      <c r="I735" t="str">
        <f t="shared" si="57"/>
        <v>Male</v>
      </c>
      <c r="J735">
        <v>23</v>
      </c>
      <c r="K735" t="str">
        <f t="shared" si="58"/>
        <v>Adult</v>
      </c>
      <c r="L735" t="str" cm="1">
        <f t="array" ref="L735">_xlfn.IFS(J735&lt;13,"Child",J735&lt;18,"Teen",J735&lt;60,"Adult",J735&gt;60,"Old Age")</f>
        <v>Adult</v>
      </c>
      <c r="M735">
        <v>0</v>
      </c>
      <c r="N735">
        <v>0</v>
      </c>
      <c r="O735">
        <f t="shared" si="59"/>
        <v>1</v>
      </c>
      <c r="P735">
        <v>13</v>
      </c>
      <c r="Q735" t="str">
        <f t="shared" si="55"/>
        <v>High</v>
      </c>
      <c r="R735" t="s">
        <v>1514</v>
      </c>
    </row>
    <row r="736" spans="1:18" x14ac:dyDescent="0.45">
      <c r="A736">
        <v>735</v>
      </c>
      <c r="B736">
        <v>0</v>
      </c>
      <c r="C736" t="str">
        <f t="shared" si="56"/>
        <v>Not Survived</v>
      </c>
      <c r="D736">
        <v>2</v>
      </c>
      <c r="E736" t="s">
        <v>1383</v>
      </c>
      <c r="F736" t="s">
        <v>722</v>
      </c>
      <c r="G736" t="s">
        <v>623</v>
      </c>
      <c r="H736" t="s">
        <v>9</v>
      </c>
      <c r="I736" t="str">
        <f t="shared" si="57"/>
        <v>Male</v>
      </c>
      <c r="J736">
        <v>23</v>
      </c>
      <c r="K736" t="str">
        <f t="shared" si="58"/>
        <v>Adult</v>
      </c>
      <c r="L736" t="str" cm="1">
        <f t="array" ref="L736">_xlfn.IFS(J736&lt;13,"Child",J736&lt;18,"Teen",J736&lt;60,"Adult",J736&gt;60,"Old Age")</f>
        <v>Adult</v>
      </c>
      <c r="M736">
        <v>0</v>
      </c>
      <c r="N736">
        <v>0</v>
      </c>
      <c r="O736">
        <f t="shared" si="59"/>
        <v>1</v>
      </c>
      <c r="P736">
        <v>13</v>
      </c>
      <c r="Q736" t="str">
        <f t="shared" si="55"/>
        <v>High</v>
      </c>
      <c r="R736" t="s">
        <v>1514</v>
      </c>
    </row>
    <row r="737" spans="1:18" x14ac:dyDescent="0.45">
      <c r="A737">
        <v>736</v>
      </c>
      <c r="B737">
        <v>0</v>
      </c>
      <c r="C737" t="str">
        <f t="shared" si="56"/>
        <v>Not Survived</v>
      </c>
      <c r="D737">
        <v>3</v>
      </c>
      <c r="E737" t="s">
        <v>1384</v>
      </c>
      <c r="F737" t="s">
        <v>722</v>
      </c>
      <c r="G737" t="s">
        <v>72</v>
      </c>
      <c r="H737" t="s">
        <v>9</v>
      </c>
      <c r="I737" t="str">
        <f t="shared" si="57"/>
        <v>Male</v>
      </c>
      <c r="J737">
        <v>28.5</v>
      </c>
      <c r="K737" t="str">
        <f t="shared" si="58"/>
        <v>Adult</v>
      </c>
      <c r="L737" t="str" cm="1">
        <f t="array" ref="L737">_xlfn.IFS(J737&lt;13,"Child",J737&lt;18,"Teen",J737&lt;60,"Adult",J737&gt;60,"Old Age")</f>
        <v>Adult</v>
      </c>
      <c r="M737">
        <v>0</v>
      </c>
      <c r="N737">
        <v>0</v>
      </c>
      <c r="O737">
        <f t="shared" si="59"/>
        <v>1</v>
      </c>
      <c r="P737">
        <v>16.100000000000001</v>
      </c>
      <c r="Q737" t="str">
        <f t="shared" si="55"/>
        <v>High</v>
      </c>
      <c r="R737" t="s">
        <v>1514</v>
      </c>
    </row>
    <row r="738" spans="1:18" x14ac:dyDescent="0.45">
      <c r="A738">
        <v>737</v>
      </c>
      <c r="B738">
        <v>0</v>
      </c>
      <c r="C738" t="str">
        <f t="shared" si="56"/>
        <v>Not Survived</v>
      </c>
      <c r="D738">
        <v>3</v>
      </c>
      <c r="E738" t="s">
        <v>1230</v>
      </c>
      <c r="F738" t="s">
        <v>723</v>
      </c>
      <c r="G738" t="s">
        <v>137</v>
      </c>
      <c r="H738" t="s">
        <v>10</v>
      </c>
      <c r="I738" t="str">
        <f t="shared" si="57"/>
        <v>Female</v>
      </c>
      <c r="J738">
        <v>48</v>
      </c>
      <c r="K738" t="str">
        <f t="shared" si="58"/>
        <v>Adult</v>
      </c>
      <c r="L738" t="str" cm="1">
        <f t="array" ref="L738">_xlfn.IFS(J738&lt;13,"Child",J738&lt;18,"Teen",J738&lt;60,"Adult",J738&gt;60,"Old Age")</f>
        <v>Adult</v>
      </c>
      <c r="M738">
        <v>1</v>
      </c>
      <c r="N738">
        <v>3</v>
      </c>
      <c r="O738">
        <f t="shared" si="59"/>
        <v>5</v>
      </c>
      <c r="P738">
        <v>34.375</v>
      </c>
      <c r="Q738" t="str">
        <f t="shared" si="55"/>
        <v>High</v>
      </c>
      <c r="R738" t="s">
        <v>1514</v>
      </c>
    </row>
    <row r="739" spans="1:18" x14ac:dyDescent="0.45">
      <c r="A739">
        <v>738</v>
      </c>
      <c r="B739">
        <v>1</v>
      </c>
      <c r="C739" t="str">
        <f t="shared" si="56"/>
        <v>Survived</v>
      </c>
      <c r="D739">
        <v>1</v>
      </c>
      <c r="E739" t="s">
        <v>1385</v>
      </c>
      <c r="F739" t="s">
        <v>722</v>
      </c>
      <c r="G739" t="s">
        <v>624</v>
      </c>
      <c r="H739" t="s">
        <v>9</v>
      </c>
      <c r="I739" t="str">
        <f t="shared" si="57"/>
        <v>Male</v>
      </c>
      <c r="J739">
        <v>35</v>
      </c>
      <c r="K739" t="str">
        <f t="shared" si="58"/>
        <v>Adult</v>
      </c>
      <c r="L739" t="str" cm="1">
        <f t="array" ref="L739">_xlfn.IFS(J739&lt;13,"Child",J739&lt;18,"Teen",J739&lt;60,"Adult",J739&gt;60,"Old Age")</f>
        <v>Adult</v>
      </c>
      <c r="M739">
        <v>0</v>
      </c>
      <c r="N739">
        <v>0</v>
      </c>
      <c r="O739">
        <f t="shared" si="59"/>
        <v>1</v>
      </c>
      <c r="P739">
        <v>512.32920000000001</v>
      </c>
      <c r="Q739" t="str">
        <f t="shared" si="55"/>
        <v>High</v>
      </c>
      <c r="R739" t="s">
        <v>1515</v>
      </c>
    </row>
    <row r="740" spans="1:18" x14ac:dyDescent="0.45">
      <c r="A740">
        <v>739</v>
      </c>
      <c r="B740">
        <v>0</v>
      </c>
      <c r="C740" t="str">
        <f t="shared" si="56"/>
        <v>Not Survived</v>
      </c>
      <c r="D740">
        <v>3</v>
      </c>
      <c r="E740" t="s">
        <v>1386</v>
      </c>
      <c r="F740" t="s">
        <v>722</v>
      </c>
      <c r="G740" t="s">
        <v>625</v>
      </c>
      <c r="H740" t="s">
        <v>9</v>
      </c>
      <c r="I740" t="str">
        <f t="shared" si="57"/>
        <v>Male</v>
      </c>
      <c r="J740">
        <v>28</v>
      </c>
      <c r="K740" t="str">
        <f t="shared" si="58"/>
        <v>Adult</v>
      </c>
      <c r="L740" t="str" cm="1">
        <f t="array" ref="L740">_xlfn.IFS(J740&lt;13,"Child",J740&lt;18,"Teen",J740&lt;60,"Adult",J740&gt;60,"Old Age")</f>
        <v>Adult</v>
      </c>
      <c r="M740">
        <v>0</v>
      </c>
      <c r="N740">
        <v>0</v>
      </c>
      <c r="O740">
        <f t="shared" si="59"/>
        <v>1</v>
      </c>
      <c r="P740">
        <v>7.8958000000000004</v>
      </c>
      <c r="Q740" t="str">
        <f t="shared" si="55"/>
        <v>High</v>
      </c>
      <c r="R740" t="s">
        <v>1514</v>
      </c>
    </row>
    <row r="741" spans="1:18" x14ac:dyDescent="0.45">
      <c r="A741">
        <v>740</v>
      </c>
      <c r="B741">
        <v>0</v>
      </c>
      <c r="C741" t="str">
        <f t="shared" si="56"/>
        <v>Not Survived</v>
      </c>
      <c r="D741">
        <v>3</v>
      </c>
      <c r="E741" t="s">
        <v>1387</v>
      </c>
      <c r="F741" t="s">
        <v>722</v>
      </c>
      <c r="G741" t="s">
        <v>626</v>
      </c>
      <c r="H741" t="s">
        <v>9</v>
      </c>
      <c r="I741" t="str">
        <f t="shared" si="57"/>
        <v>Male</v>
      </c>
      <c r="J741">
        <v>28</v>
      </c>
      <c r="K741" t="str">
        <f t="shared" si="58"/>
        <v>Adult</v>
      </c>
      <c r="L741" t="str" cm="1">
        <f t="array" ref="L741">_xlfn.IFS(J741&lt;13,"Child",J741&lt;18,"Teen",J741&lt;60,"Adult",J741&gt;60,"Old Age")</f>
        <v>Adult</v>
      </c>
      <c r="M741">
        <v>0</v>
      </c>
      <c r="N741">
        <v>0</v>
      </c>
      <c r="O741">
        <f t="shared" si="59"/>
        <v>1</v>
      </c>
      <c r="P741">
        <v>7.8958000000000004</v>
      </c>
      <c r="Q741" t="str">
        <f t="shared" si="55"/>
        <v>High</v>
      </c>
      <c r="R741" t="s">
        <v>1514</v>
      </c>
    </row>
    <row r="742" spans="1:18" x14ac:dyDescent="0.45">
      <c r="A742">
        <v>741</v>
      </c>
      <c r="B742">
        <v>1</v>
      </c>
      <c r="C742" t="str">
        <f t="shared" si="56"/>
        <v>Survived</v>
      </c>
      <c r="D742">
        <v>1</v>
      </c>
      <c r="E742" t="s">
        <v>1388</v>
      </c>
      <c r="F742" t="s">
        <v>722</v>
      </c>
      <c r="G742" t="s">
        <v>627</v>
      </c>
      <c r="H742" t="s">
        <v>9</v>
      </c>
      <c r="I742" t="str">
        <f t="shared" si="57"/>
        <v>Male</v>
      </c>
      <c r="J742">
        <v>28</v>
      </c>
      <c r="K742" t="str">
        <f t="shared" si="58"/>
        <v>Adult</v>
      </c>
      <c r="L742" t="str" cm="1">
        <f t="array" ref="L742">_xlfn.IFS(J742&lt;13,"Child",J742&lt;18,"Teen",J742&lt;60,"Adult",J742&gt;60,"Old Age")</f>
        <v>Adult</v>
      </c>
      <c r="M742">
        <v>0</v>
      </c>
      <c r="N742">
        <v>0</v>
      </c>
      <c r="O742">
        <f t="shared" si="59"/>
        <v>1</v>
      </c>
      <c r="P742">
        <v>314.45420000000001</v>
      </c>
      <c r="Q742" t="str">
        <f t="shared" si="55"/>
        <v>High</v>
      </c>
      <c r="R742" t="s">
        <v>1514</v>
      </c>
    </row>
    <row r="743" spans="1:18" x14ac:dyDescent="0.45">
      <c r="A743">
        <v>742</v>
      </c>
      <c r="B743">
        <v>0</v>
      </c>
      <c r="C743" t="str">
        <f t="shared" si="56"/>
        <v>Not Survived</v>
      </c>
      <c r="D743">
        <v>1</v>
      </c>
      <c r="E743" t="s">
        <v>1389</v>
      </c>
      <c r="F743" t="s">
        <v>722</v>
      </c>
      <c r="G743" t="s">
        <v>628</v>
      </c>
      <c r="H743" t="s">
        <v>9</v>
      </c>
      <c r="I743" t="str">
        <f t="shared" si="57"/>
        <v>Male</v>
      </c>
      <c r="J743">
        <v>36</v>
      </c>
      <c r="K743" t="str">
        <f t="shared" si="58"/>
        <v>Adult</v>
      </c>
      <c r="L743" t="str" cm="1">
        <f t="array" ref="L743">_xlfn.IFS(J743&lt;13,"Child",J743&lt;18,"Teen",J743&lt;60,"Adult",J743&gt;60,"Old Age")</f>
        <v>Adult</v>
      </c>
      <c r="M743">
        <v>1</v>
      </c>
      <c r="N743">
        <v>0</v>
      </c>
      <c r="O743">
        <f t="shared" si="59"/>
        <v>2</v>
      </c>
      <c r="P743">
        <v>78.849999999999994</v>
      </c>
      <c r="Q743" t="str">
        <f t="shared" si="55"/>
        <v>High</v>
      </c>
      <c r="R743" t="s">
        <v>1514</v>
      </c>
    </row>
    <row r="744" spans="1:18" x14ac:dyDescent="0.45">
      <c r="A744">
        <v>743</v>
      </c>
      <c r="B744">
        <v>1</v>
      </c>
      <c r="C744" t="str">
        <f t="shared" si="56"/>
        <v>Survived</v>
      </c>
      <c r="D744">
        <v>1</v>
      </c>
      <c r="E744" t="s">
        <v>1390</v>
      </c>
      <c r="F744" t="s">
        <v>724</v>
      </c>
      <c r="G744" t="s">
        <v>325</v>
      </c>
      <c r="H744" t="s">
        <v>10</v>
      </c>
      <c r="I744" t="str">
        <f t="shared" si="57"/>
        <v>Female</v>
      </c>
      <c r="J744">
        <v>21</v>
      </c>
      <c r="K744" t="str">
        <f t="shared" si="58"/>
        <v>Adult</v>
      </c>
      <c r="L744" t="str" cm="1">
        <f t="array" ref="L744">_xlfn.IFS(J744&lt;13,"Child",J744&lt;18,"Teen",J744&lt;60,"Adult",J744&gt;60,"Old Age")</f>
        <v>Adult</v>
      </c>
      <c r="M744">
        <v>2</v>
      </c>
      <c r="N744">
        <v>2</v>
      </c>
      <c r="O744">
        <f t="shared" si="59"/>
        <v>5</v>
      </c>
      <c r="P744">
        <v>262.375</v>
      </c>
      <c r="Q744" t="str">
        <f t="shared" si="55"/>
        <v>High</v>
      </c>
      <c r="R744" t="s">
        <v>1515</v>
      </c>
    </row>
    <row r="745" spans="1:18" x14ac:dyDescent="0.45">
      <c r="A745">
        <v>744</v>
      </c>
      <c r="B745">
        <v>0</v>
      </c>
      <c r="C745" t="str">
        <f t="shared" si="56"/>
        <v>Not Survived</v>
      </c>
      <c r="D745">
        <v>3</v>
      </c>
      <c r="E745" t="s">
        <v>1391</v>
      </c>
      <c r="F745" t="s">
        <v>722</v>
      </c>
      <c r="G745" t="s">
        <v>629</v>
      </c>
      <c r="H745" t="s">
        <v>9</v>
      </c>
      <c r="I745" t="str">
        <f t="shared" si="57"/>
        <v>Male</v>
      </c>
      <c r="J745">
        <v>24</v>
      </c>
      <c r="K745" t="str">
        <f t="shared" si="58"/>
        <v>Adult</v>
      </c>
      <c r="L745" t="str" cm="1">
        <f t="array" ref="L745">_xlfn.IFS(J745&lt;13,"Child",J745&lt;18,"Teen",J745&lt;60,"Adult",J745&gt;60,"Old Age")</f>
        <v>Adult</v>
      </c>
      <c r="M745">
        <v>1</v>
      </c>
      <c r="N745">
        <v>0</v>
      </c>
      <c r="O745">
        <f t="shared" si="59"/>
        <v>2</v>
      </c>
      <c r="P745">
        <v>16.100000000000001</v>
      </c>
      <c r="Q745" t="str">
        <f t="shared" si="55"/>
        <v>High</v>
      </c>
      <c r="R745" t="s">
        <v>1514</v>
      </c>
    </row>
    <row r="746" spans="1:18" x14ac:dyDescent="0.45">
      <c r="A746">
        <v>745</v>
      </c>
      <c r="B746">
        <v>1</v>
      </c>
      <c r="C746" t="str">
        <f t="shared" si="56"/>
        <v>Survived</v>
      </c>
      <c r="D746">
        <v>3</v>
      </c>
      <c r="E746" t="s">
        <v>1091</v>
      </c>
      <c r="F746" t="s">
        <v>722</v>
      </c>
      <c r="G746" t="s">
        <v>630</v>
      </c>
      <c r="H746" t="s">
        <v>9</v>
      </c>
      <c r="I746" t="str">
        <f t="shared" si="57"/>
        <v>Male</v>
      </c>
      <c r="J746">
        <v>31</v>
      </c>
      <c r="K746" t="str">
        <f t="shared" si="58"/>
        <v>Adult</v>
      </c>
      <c r="L746" t="str" cm="1">
        <f t="array" ref="L746">_xlfn.IFS(J746&lt;13,"Child",J746&lt;18,"Teen",J746&lt;60,"Adult",J746&gt;60,"Old Age")</f>
        <v>Adult</v>
      </c>
      <c r="M746">
        <v>0</v>
      </c>
      <c r="N746">
        <v>0</v>
      </c>
      <c r="O746">
        <f t="shared" si="59"/>
        <v>1</v>
      </c>
      <c r="P746">
        <v>7.9249999999999998</v>
      </c>
      <c r="Q746" t="str">
        <f t="shared" si="55"/>
        <v>High</v>
      </c>
      <c r="R746" t="s">
        <v>1514</v>
      </c>
    </row>
    <row r="747" spans="1:18" x14ac:dyDescent="0.45">
      <c r="A747">
        <v>746</v>
      </c>
      <c r="B747">
        <v>0</v>
      </c>
      <c r="C747" t="str">
        <f t="shared" si="56"/>
        <v>Not Survived</v>
      </c>
      <c r="D747">
        <v>1</v>
      </c>
      <c r="E747" t="s">
        <v>1392</v>
      </c>
      <c r="F747" t="s">
        <v>736</v>
      </c>
      <c r="G747" t="s">
        <v>495</v>
      </c>
      <c r="H747" t="s">
        <v>9</v>
      </c>
      <c r="I747" t="str">
        <f t="shared" si="57"/>
        <v>Male</v>
      </c>
      <c r="J747">
        <v>70</v>
      </c>
      <c r="K747" t="str">
        <f t="shared" si="58"/>
        <v>Old Age</v>
      </c>
      <c r="L747" t="str" cm="1">
        <f t="array" ref="L747">_xlfn.IFS(J747&lt;13,"Child",J747&lt;18,"Teen",J747&lt;60,"Adult",J747&gt;60,"Old Age")</f>
        <v>Old Age</v>
      </c>
      <c r="M747">
        <v>1</v>
      </c>
      <c r="N747">
        <v>1</v>
      </c>
      <c r="O747">
        <f t="shared" si="59"/>
        <v>3</v>
      </c>
      <c r="P747">
        <v>71</v>
      </c>
      <c r="Q747" t="str">
        <f t="shared" si="55"/>
        <v>High</v>
      </c>
      <c r="R747" t="s">
        <v>1514</v>
      </c>
    </row>
    <row r="748" spans="1:18" x14ac:dyDescent="0.45">
      <c r="A748">
        <v>747</v>
      </c>
      <c r="B748">
        <v>0</v>
      </c>
      <c r="C748" t="str">
        <f t="shared" si="56"/>
        <v>Not Survived</v>
      </c>
      <c r="D748">
        <v>3</v>
      </c>
      <c r="E748" t="s">
        <v>1393</v>
      </c>
      <c r="F748" t="s">
        <v>722</v>
      </c>
      <c r="G748" t="s">
        <v>298</v>
      </c>
      <c r="H748" t="s">
        <v>9</v>
      </c>
      <c r="I748" t="str">
        <f t="shared" si="57"/>
        <v>Male</v>
      </c>
      <c r="J748">
        <v>16</v>
      </c>
      <c r="K748" t="str">
        <f t="shared" si="58"/>
        <v>Teen</v>
      </c>
      <c r="L748" t="str" cm="1">
        <f t="array" ref="L748">_xlfn.IFS(J748&lt;13,"Child",J748&lt;18,"Teen",J748&lt;60,"Adult",J748&gt;60,"Old Age")</f>
        <v>Teen</v>
      </c>
      <c r="M748">
        <v>1</v>
      </c>
      <c r="N748">
        <v>1</v>
      </c>
      <c r="O748">
        <f t="shared" si="59"/>
        <v>3</v>
      </c>
      <c r="P748" t="s">
        <v>31</v>
      </c>
      <c r="Q748" t="str">
        <f t="shared" si="55"/>
        <v>High</v>
      </c>
      <c r="R748" t="s">
        <v>1514</v>
      </c>
    </row>
    <row r="749" spans="1:18" x14ac:dyDescent="0.45">
      <c r="A749">
        <v>748</v>
      </c>
      <c r="B749">
        <v>1</v>
      </c>
      <c r="C749" t="str">
        <f t="shared" si="56"/>
        <v>Survived</v>
      </c>
      <c r="D749">
        <v>2</v>
      </c>
      <c r="E749" t="s">
        <v>863</v>
      </c>
      <c r="F749" t="s">
        <v>724</v>
      </c>
      <c r="G749" t="s">
        <v>631</v>
      </c>
      <c r="H749" t="s">
        <v>10</v>
      </c>
      <c r="I749" t="str">
        <f t="shared" si="57"/>
        <v>Female</v>
      </c>
      <c r="J749">
        <v>30</v>
      </c>
      <c r="K749" t="str">
        <f t="shared" si="58"/>
        <v>Adult</v>
      </c>
      <c r="L749" t="str" cm="1">
        <f t="array" ref="L749">_xlfn.IFS(J749&lt;13,"Child",J749&lt;18,"Teen",J749&lt;60,"Adult",J749&gt;60,"Old Age")</f>
        <v>Adult</v>
      </c>
      <c r="M749">
        <v>0</v>
      </c>
      <c r="N749">
        <v>0</v>
      </c>
      <c r="O749">
        <f t="shared" si="59"/>
        <v>1</v>
      </c>
      <c r="P749">
        <v>13</v>
      </c>
      <c r="Q749" t="str">
        <f t="shared" si="55"/>
        <v>High</v>
      </c>
      <c r="R749" t="s">
        <v>1514</v>
      </c>
    </row>
    <row r="750" spans="1:18" x14ac:dyDescent="0.45">
      <c r="A750">
        <v>749</v>
      </c>
      <c r="B750">
        <v>0</v>
      </c>
      <c r="C750" t="str">
        <f t="shared" si="56"/>
        <v>Not Survived</v>
      </c>
      <c r="D750">
        <v>1</v>
      </c>
      <c r="E750" t="s">
        <v>1394</v>
      </c>
      <c r="F750" t="s">
        <v>722</v>
      </c>
      <c r="G750" t="s">
        <v>632</v>
      </c>
      <c r="H750" t="s">
        <v>9</v>
      </c>
      <c r="I750" t="str">
        <f t="shared" si="57"/>
        <v>Male</v>
      </c>
      <c r="J750">
        <v>19</v>
      </c>
      <c r="K750" t="str">
        <f t="shared" si="58"/>
        <v>Adult</v>
      </c>
      <c r="L750" t="str" cm="1">
        <f t="array" ref="L750">_xlfn.IFS(J750&lt;13,"Child",J750&lt;18,"Teen",J750&lt;60,"Adult",J750&gt;60,"Old Age")</f>
        <v>Adult</v>
      </c>
      <c r="M750">
        <v>1</v>
      </c>
      <c r="N750">
        <v>0</v>
      </c>
      <c r="O750">
        <f t="shared" si="59"/>
        <v>2</v>
      </c>
      <c r="P750">
        <v>53.1</v>
      </c>
      <c r="Q750" t="str">
        <f t="shared" si="55"/>
        <v>High</v>
      </c>
      <c r="R750" t="s">
        <v>1514</v>
      </c>
    </row>
    <row r="751" spans="1:18" x14ac:dyDescent="0.45">
      <c r="A751">
        <v>750</v>
      </c>
      <c r="B751">
        <v>0</v>
      </c>
      <c r="C751" t="str">
        <f t="shared" si="56"/>
        <v>Not Survived</v>
      </c>
      <c r="D751">
        <v>3</v>
      </c>
      <c r="E751" t="s">
        <v>1370</v>
      </c>
      <c r="F751" t="s">
        <v>722</v>
      </c>
      <c r="G751" t="s">
        <v>633</v>
      </c>
      <c r="H751" t="s">
        <v>9</v>
      </c>
      <c r="I751" t="str">
        <f t="shared" si="57"/>
        <v>Male</v>
      </c>
      <c r="J751">
        <v>31</v>
      </c>
      <c r="K751" t="str">
        <f t="shared" si="58"/>
        <v>Adult</v>
      </c>
      <c r="L751" t="str" cm="1">
        <f t="array" ref="L751">_xlfn.IFS(J751&lt;13,"Child",J751&lt;18,"Teen",J751&lt;60,"Adult",J751&gt;60,"Old Age")</f>
        <v>Adult</v>
      </c>
      <c r="M751">
        <v>0</v>
      </c>
      <c r="N751">
        <v>0</v>
      </c>
      <c r="O751">
        <f t="shared" si="59"/>
        <v>1</v>
      </c>
      <c r="P751">
        <v>7.75</v>
      </c>
      <c r="Q751" t="str">
        <f t="shared" si="55"/>
        <v>High</v>
      </c>
      <c r="R751" t="s">
        <v>1516</v>
      </c>
    </row>
    <row r="752" spans="1:18" x14ac:dyDescent="0.45">
      <c r="A752">
        <v>751</v>
      </c>
      <c r="B752">
        <v>1</v>
      </c>
      <c r="C752" t="str">
        <f t="shared" si="56"/>
        <v>Survived</v>
      </c>
      <c r="D752">
        <v>2</v>
      </c>
      <c r="E752" t="s">
        <v>1395</v>
      </c>
      <c r="F752" t="s">
        <v>724</v>
      </c>
      <c r="G752" t="s">
        <v>634</v>
      </c>
      <c r="H752" t="s">
        <v>10</v>
      </c>
      <c r="I752" t="str">
        <f t="shared" si="57"/>
        <v>Female</v>
      </c>
      <c r="J752">
        <v>4</v>
      </c>
      <c r="K752" t="str">
        <f t="shared" si="58"/>
        <v>Child</v>
      </c>
      <c r="L752" t="str" cm="1">
        <f t="array" ref="L752">_xlfn.IFS(J752&lt;13,"Child",J752&lt;18,"Teen",J752&lt;60,"Adult",J752&gt;60,"Old Age")</f>
        <v>Child</v>
      </c>
      <c r="M752">
        <v>1</v>
      </c>
      <c r="N752">
        <v>1</v>
      </c>
      <c r="O752">
        <f t="shared" si="59"/>
        <v>3</v>
      </c>
      <c r="P752">
        <v>23</v>
      </c>
      <c r="Q752" t="str">
        <f t="shared" si="55"/>
        <v>High</v>
      </c>
      <c r="R752" t="s">
        <v>1514</v>
      </c>
    </row>
    <row r="753" spans="1:18" x14ac:dyDescent="0.45">
      <c r="A753">
        <v>752</v>
      </c>
      <c r="B753">
        <v>1</v>
      </c>
      <c r="C753" t="str">
        <f t="shared" si="56"/>
        <v>Survived</v>
      </c>
      <c r="D753">
        <v>3</v>
      </c>
      <c r="E753" t="s">
        <v>1396</v>
      </c>
      <c r="F753" t="s">
        <v>725</v>
      </c>
      <c r="G753" t="s">
        <v>635</v>
      </c>
      <c r="H753" t="s">
        <v>9</v>
      </c>
      <c r="I753" t="str">
        <f t="shared" si="57"/>
        <v>Male</v>
      </c>
      <c r="J753">
        <v>6</v>
      </c>
      <c r="K753" t="str">
        <f t="shared" si="58"/>
        <v>Child</v>
      </c>
      <c r="L753" t="str" cm="1">
        <f t="array" ref="L753">_xlfn.IFS(J753&lt;13,"Child",J753&lt;18,"Teen",J753&lt;60,"Adult",J753&gt;60,"Old Age")</f>
        <v>Child</v>
      </c>
      <c r="M753">
        <v>0</v>
      </c>
      <c r="N753">
        <v>1</v>
      </c>
      <c r="O753">
        <f t="shared" si="59"/>
        <v>2</v>
      </c>
      <c r="P753">
        <v>12.475</v>
      </c>
      <c r="Q753" t="str">
        <f t="shared" si="55"/>
        <v>High</v>
      </c>
      <c r="R753" t="s">
        <v>1514</v>
      </c>
    </row>
    <row r="754" spans="1:18" x14ac:dyDescent="0.45">
      <c r="A754">
        <v>753</v>
      </c>
      <c r="B754">
        <v>0</v>
      </c>
      <c r="C754" t="str">
        <f t="shared" si="56"/>
        <v>Not Survived</v>
      </c>
      <c r="D754">
        <v>3</v>
      </c>
      <c r="E754" t="s">
        <v>1397</v>
      </c>
      <c r="F754" t="s">
        <v>722</v>
      </c>
      <c r="G754" t="s">
        <v>636</v>
      </c>
      <c r="H754" t="s">
        <v>9</v>
      </c>
      <c r="I754" t="str">
        <f t="shared" si="57"/>
        <v>Male</v>
      </c>
      <c r="J754">
        <v>33</v>
      </c>
      <c r="K754" t="str">
        <f t="shared" si="58"/>
        <v>Adult</v>
      </c>
      <c r="L754" t="str" cm="1">
        <f t="array" ref="L754">_xlfn.IFS(J754&lt;13,"Child",J754&lt;18,"Teen",J754&lt;60,"Adult",J754&gt;60,"Old Age")</f>
        <v>Adult</v>
      </c>
      <c r="M754">
        <v>0</v>
      </c>
      <c r="N754">
        <v>0</v>
      </c>
      <c r="O754">
        <f t="shared" si="59"/>
        <v>1</v>
      </c>
      <c r="P754">
        <v>9.5</v>
      </c>
      <c r="Q754" t="str">
        <f t="shared" si="55"/>
        <v>High</v>
      </c>
      <c r="R754" t="s">
        <v>1514</v>
      </c>
    </row>
    <row r="755" spans="1:18" x14ac:dyDescent="0.45">
      <c r="A755">
        <v>754</v>
      </c>
      <c r="B755">
        <v>0</v>
      </c>
      <c r="C755" t="str">
        <f t="shared" si="56"/>
        <v>Not Survived</v>
      </c>
      <c r="D755">
        <v>3</v>
      </c>
      <c r="E755" t="s">
        <v>767</v>
      </c>
      <c r="F755" t="s">
        <v>722</v>
      </c>
      <c r="G755" t="s">
        <v>637</v>
      </c>
      <c r="H755" t="s">
        <v>9</v>
      </c>
      <c r="I755" t="str">
        <f t="shared" si="57"/>
        <v>Male</v>
      </c>
      <c r="J755">
        <v>23</v>
      </c>
      <c r="K755" t="str">
        <f t="shared" si="58"/>
        <v>Adult</v>
      </c>
      <c r="L755" t="str" cm="1">
        <f t="array" ref="L755">_xlfn.IFS(J755&lt;13,"Child",J755&lt;18,"Teen",J755&lt;60,"Adult",J755&gt;60,"Old Age")</f>
        <v>Adult</v>
      </c>
      <c r="M755">
        <v>0</v>
      </c>
      <c r="N755">
        <v>0</v>
      </c>
      <c r="O755">
        <f t="shared" si="59"/>
        <v>1</v>
      </c>
      <c r="P755">
        <v>7.8958000000000004</v>
      </c>
      <c r="Q755" t="str">
        <f t="shared" si="55"/>
        <v>High</v>
      </c>
      <c r="R755" t="s">
        <v>1514</v>
      </c>
    </row>
    <row r="756" spans="1:18" x14ac:dyDescent="0.45">
      <c r="A756">
        <v>755</v>
      </c>
      <c r="B756">
        <v>1</v>
      </c>
      <c r="C756" t="str">
        <f t="shared" si="56"/>
        <v>Survived</v>
      </c>
      <c r="D756">
        <v>2</v>
      </c>
      <c r="E756" t="s">
        <v>1398</v>
      </c>
      <c r="F756" t="s">
        <v>723</v>
      </c>
      <c r="G756" t="s">
        <v>545</v>
      </c>
      <c r="H756" t="s">
        <v>10</v>
      </c>
      <c r="I756" t="str">
        <f t="shared" si="57"/>
        <v>Female</v>
      </c>
      <c r="J756">
        <v>48</v>
      </c>
      <c r="K756" t="str">
        <f t="shared" si="58"/>
        <v>Adult</v>
      </c>
      <c r="L756" t="str" cm="1">
        <f t="array" ref="L756">_xlfn.IFS(J756&lt;13,"Child",J756&lt;18,"Teen",J756&lt;60,"Adult",J756&gt;60,"Old Age")</f>
        <v>Adult</v>
      </c>
      <c r="M756">
        <v>1</v>
      </c>
      <c r="N756">
        <v>2</v>
      </c>
      <c r="O756">
        <f t="shared" si="59"/>
        <v>4</v>
      </c>
      <c r="P756">
        <v>65</v>
      </c>
      <c r="Q756" t="str">
        <f t="shared" si="55"/>
        <v>High</v>
      </c>
      <c r="R756" t="s">
        <v>1514</v>
      </c>
    </row>
    <row r="757" spans="1:18" x14ac:dyDescent="0.45">
      <c r="A757">
        <v>756</v>
      </c>
      <c r="B757">
        <v>1</v>
      </c>
      <c r="C757" t="str">
        <f t="shared" si="56"/>
        <v>Survived</v>
      </c>
      <c r="D757">
        <v>2</v>
      </c>
      <c r="E757" t="s">
        <v>1399</v>
      </c>
      <c r="F757" t="s">
        <v>725</v>
      </c>
      <c r="G757" t="s">
        <v>271</v>
      </c>
      <c r="H757" t="s">
        <v>9</v>
      </c>
      <c r="I757" t="str">
        <f t="shared" si="57"/>
        <v>Male</v>
      </c>
      <c r="J757">
        <v>0.67</v>
      </c>
      <c r="K757" t="str">
        <f t="shared" si="58"/>
        <v>Child</v>
      </c>
      <c r="L757" t="str" cm="1">
        <f t="array" ref="L757">_xlfn.IFS(J757&lt;13,"Child",J757&lt;18,"Teen",J757&lt;60,"Adult",J757&gt;60,"Old Age")</f>
        <v>Child</v>
      </c>
      <c r="M757">
        <v>1</v>
      </c>
      <c r="N757">
        <v>1</v>
      </c>
      <c r="O757">
        <f t="shared" si="59"/>
        <v>3</v>
      </c>
      <c r="P757">
        <v>14.5</v>
      </c>
      <c r="Q757" t="str">
        <f t="shared" si="55"/>
        <v>High</v>
      </c>
      <c r="R757" t="s">
        <v>1514</v>
      </c>
    </row>
    <row r="758" spans="1:18" x14ac:dyDescent="0.45">
      <c r="A758">
        <v>757</v>
      </c>
      <c r="B758">
        <v>0</v>
      </c>
      <c r="C758" t="str">
        <f t="shared" si="56"/>
        <v>Not Survived</v>
      </c>
      <c r="D758">
        <v>3</v>
      </c>
      <c r="E758" t="s">
        <v>1400</v>
      </c>
      <c r="F758" t="s">
        <v>722</v>
      </c>
      <c r="G758" t="s">
        <v>638</v>
      </c>
      <c r="H758" t="s">
        <v>9</v>
      </c>
      <c r="I758" t="str">
        <f t="shared" si="57"/>
        <v>Male</v>
      </c>
      <c r="J758">
        <v>28</v>
      </c>
      <c r="K758" t="str">
        <f t="shared" si="58"/>
        <v>Adult</v>
      </c>
      <c r="L758" t="str" cm="1">
        <f t="array" ref="L758">_xlfn.IFS(J758&lt;13,"Child",J758&lt;18,"Teen",J758&lt;60,"Adult",J758&gt;60,"Old Age")</f>
        <v>Adult</v>
      </c>
      <c r="M758">
        <v>0</v>
      </c>
      <c r="N758">
        <v>0</v>
      </c>
      <c r="O758">
        <f t="shared" si="59"/>
        <v>1</v>
      </c>
      <c r="P758">
        <v>7.7957999999999998</v>
      </c>
      <c r="Q758" t="str">
        <f t="shared" si="55"/>
        <v>High</v>
      </c>
      <c r="R758" t="s">
        <v>1514</v>
      </c>
    </row>
    <row r="759" spans="1:18" x14ac:dyDescent="0.45">
      <c r="A759">
        <v>758</v>
      </c>
      <c r="B759">
        <v>0</v>
      </c>
      <c r="C759" t="str">
        <f t="shared" si="56"/>
        <v>Not Survived</v>
      </c>
      <c r="D759">
        <v>2</v>
      </c>
      <c r="E759" t="s">
        <v>1401</v>
      </c>
      <c r="F759" t="s">
        <v>722</v>
      </c>
      <c r="G759" t="s">
        <v>639</v>
      </c>
      <c r="H759" t="s">
        <v>9</v>
      </c>
      <c r="I759" t="str">
        <f t="shared" si="57"/>
        <v>Male</v>
      </c>
      <c r="J759">
        <v>18</v>
      </c>
      <c r="K759" t="str">
        <f t="shared" si="58"/>
        <v>Adult</v>
      </c>
      <c r="L759" t="str" cm="1">
        <f t="array" ref="L759">_xlfn.IFS(J759&lt;13,"Child",J759&lt;18,"Teen",J759&lt;60,"Adult",J759&gt;60,"Old Age")</f>
        <v>Adult</v>
      </c>
      <c r="M759">
        <v>0</v>
      </c>
      <c r="N759">
        <v>0</v>
      </c>
      <c r="O759">
        <f t="shared" si="59"/>
        <v>1</v>
      </c>
      <c r="P759">
        <v>11.5</v>
      </c>
      <c r="Q759" t="str">
        <f t="shared" si="55"/>
        <v>High</v>
      </c>
      <c r="R759" t="s">
        <v>1514</v>
      </c>
    </row>
    <row r="760" spans="1:18" x14ac:dyDescent="0.45">
      <c r="A760">
        <v>759</v>
      </c>
      <c r="B760">
        <v>0</v>
      </c>
      <c r="C760" t="str">
        <f t="shared" si="56"/>
        <v>Not Survived</v>
      </c>
      <c r="D760">
        <v>3</v>
      </c>
      <c r="E760" t="s">
        <v>1402</v>
      </c>
      <c r="F760" t="s">
        <v>722</v>
      </c>
      <c r="G760" t="s">
        <v>640</v>
      </c>
      <c r="H760" t="s">
        <v>9</v>
      </c>
      <c r="I760" t="str">
        <f t="shared" si="57"/>
        <v>Male</v>
      </c>
      <c r="J760">
        <v>34</v>
      </c>
      <c r="K760" t="str">
        <f t="shared" si="58"/>
        <v>Adult</v>
      </c>
      <c r="L760" t="str" cm="1">
        <f t="array" ref="L760">_xlfn.IFS(J760&lt;13,"Child",J760&lt;18,"Teen",J760&lt;60,"Adult",J760&gt;60,"Old Age")</f>
        <v>Adult</v>
      </c>
      <c r="M760">
        <v>0</v>
      </c>
      <c r="N760">
        <v>0</v>
      </c>
      <c r="O760">
        <f t="shared" si="59"/>
        <v>1</v>
      </c>
      <c r="P760" t="s">
        <v>12</v>
      </c>
      <c r="Q760" t="str">
        <f t="shared" si="55"/>
        <v>High</v>
      </c>
      <c r="R760" t="s">
        <v>1514</v>
      </c>
    </row>
    <row r="761" spans="1:18" x14ac:dyDescent="0.45">
      <c r="A761">
        <v>760</v>
      </c>
      <c r="B761">
        <v>1</v>
      </c>
      <c r="C761" t="str">
        <f t="shared" si="56"/>
        <v>Survived</v>
      </c>
      <c r="D761">
        <v>1</v>
      </c>
      <c r="E761" t="s">
        <v>1403</v>
      </c>
      <c r="F761" t="s">
        <v>737</v>
      </c>
      <c r="G761" t="s">
        <v>641</v>
      </c>
      <c r="H761" t="s">
        <v>10</v>
      </c>
      <c r="I761" t="str">
        <f t="shared" si="57"/>
        <v>Female</v>
      </c>
      <c r="J761">
        <v>33</v>
      </c>
      <c r="K761" t="str">
        <f t="shared" si="58"/>
        <v>Adult</v>
      </c>
      <c r="L761" t="str" cm="1">
        <f t="array" ref="L761">_xlfn.IFS(J761&lt;13,"Child",J761&lt;18,"Teen",J761&lt;60,"Adult",J761&gt;60,"Old Age")</f>
        <v>Adult</v>
      </c>
      <c r="M761">
        <v>0</v>
      </c>
      <c r="N761">
        <v>0</v>
      </c>
      <c r="O761">
        <f t="shared" si="59"/>
        <v>1</v>
      </c>
      <c r="P761">
        <v>86.5</v>
      </c>
      <c r="Q761" t="str">
        <f t="shared" si="55"/>
        <v>High</v>
      </c>
      <c r="R761" t="s">
        <v>1514</v>
      </c>
    </row>
    <row r="762" spans="1:18" x14ac:dyDescent="0.45">
      <c r="A762">
        <v>761</v>
      </c>
      <c r="B762">
        <v>0</v>
      </c>
      <c r="C762" t="str">
        <f t="shared" si="56"/>
        <v>Not Survived</v>
      </c>
      <c r="D762">
        <v>3</v>
      </c>
      <c r="E762" t="s">
        <v>920</v>
      </c>
      <c r="F762" t="s">
        <v>722</v>
      </c>
      <c r="G762" t="s">
        <v>642</v>
      </c>
      <c r="H762" t="s">
        <v>9</v>
      </c>
      <c r="I762" t="str">
        <f t="shared" si="57"/>
        <v>Male</v>
      </c>
      <c r="J762">
        <v>28</v>
      </c>
      <c r="K762" t="str">
        <f t="shared" si="58"/>
        <v>Adult</v>
      </c>
      <c r="L762" t="str" cm="1">
        <f t="array" ref="L762">_xlfn.IFS(J762&lt;13,"Child",J762&lt;18,"Teen",J762&lt;60,"Adult",J762&gt;60,"Old Age")</f>
        <v>Adult</v>
      </c>
      <c r="M762">
        <v>0</v>
      </c>
      <c r="N762">
        <v>0</v>
      </c>
      <c r="O762">
        <f t="shared" si="59"/>
        <v>1</v>
      </c>
      <c r="P762">
        <v>14.5</v>
      </c>
      <c r="Q762" t="str">
        <f t="shared" si="55"/>
        <v>High</v>
      </c>
      <c r="R762" t="s">
        <v>1514</v>
      </c>
    </row>
    <row r="763" spans="1:18" x14ac:dyDescent="0.45">
      <c r="A763">
        <v>762</v>
      </c>
      <c r="B763">
        <v>0</v>
      </c>
      <c r="C763" t="str">
        <f t="shared" si="56"/>
        <v>Not Survived</v>
      </c>
      <c r="D763">
        <v>3</v>
      </c>
      <c r="E763" t="s">
        <v>1404</v>
      </c>
      <c r="F763" t="s">
        <v>722</v>
      </c>
      <c r="G763" t="s">
        <v>643</v>
      </c>
      <c r="H763" t="s">
        <v>9</v>
      </c>
      <c r="I763" t="str">
        <f t="shared" si="57"/>
        <v>Male</v>
      </c>
      <c r="J763">
        <v>41</v>
      </c>
      <c r="K763" t="str">
        <f t="shared" si="58"/>
        <v>Adult</v>
      </c>
      <c r="L763" t="str" cm="1">
        <f t="array" ref="L763">_xlfn.IFS(J763&lt;13,"Child",J763&lt;18,"Teen",J763&lt;60,"Adult",J763&gt;60,"Old Age")</f>
        <v>Adult</v>
      </c>
      <c r="M763">
        <v>0</v>
      </c>
      <c r="N763">
        <v>0</v>
      </c>
      <c r="O763">
        <f t="shared" si="59"/>
        <v>1</v>
      </c>
      <c r="P763">
        <v>7.125</v>
      </c>
      <c r="Q763" t="str">
        <f t="shared" si="55"/>
        <v>High</v>
      </c>
      <c r="R763" t="s">
        <v>1514</v>
      </c>
    </row>
    <row r="764" spans="1:18" x14ac:dyDescent="0.45">
      <c r="A764">
        <v>763</v>
      </c>
      <c r="B764">
        <v>1</v>
      </c>
      <c r="C764" t="str">
        <f t="shared" si="56"/>
        <v>Survived</v>
      </c>
      <c r="D764">
        <v>3</v>
      </c>
      <c r="E764" t="s">
        <v>1405</v>
      </c>
      <c r="F764" t="s">
        <v>722</v>
      </c>
      <c r="G764" t="s">
        <v>644</v>
      </c>
      <c r="H764" t="s">
        <v>9</v>
      </c>
      <c r="I764" t="str">
        <f t="shared" si="57"/>
        <v>Male</v>
      </c>
      <c r="J764">
        <v>20</v>
      </c>
      <c r="K764" t="str">
        <f t="shared" si="58"/>
        <v>Adult</v>
      </c>
      <c r="L764" t="str" cm="1">
        <f t="array" ref="L764">_xlfn.IFS(J764&lt;13,"Child",J764&lt;18,"Teen",J764&lt;60,"Adult",J764&gt;60,"Old Age")</f>
        <v>Adult</v>
      </c>
      <c r="M764">
        <v>0</v>
      </c>
      <c r="N764">
        <v>0</v>
      </c>
      <c r="O764">
        <f t="shared" si="59"/>
        <v>1</v>
      </c>
      <c r="P764">
        <v>7.2291999999999996</v>
      </c>
      <c r="Q764" t="str">
        <f t="shared" si="55"/>
        <v>High</v>
      </c>
      <c r="R764" t="s">
        <v>1515</v>
      </c>
    </row>
    <row r="765" spans="1:18" x14ac:dyDescent="0.45">
      <c r="A765">
        <v>764</v>
      </c>
      <c r="B765">
        <v>1</v>
      </c>
      <c r="C765" t="str">
        <f t="shared" si="56"/>
        <v>Survived</v>
      </c>
      <c r="D765">
        <v>1</v>
      </c>
      <c r="E765" t="s">
        <v>1406</v>
      </c>
      <c r="F765" t="s">
        <v>723</v>
      </c>
      <c r="G765" t="s">
        <v>273</v>
      </c>
      <c r="H765" t="s">
        <v>10</v>
      </c>
      <c r="I765" t="str">
        <f t="shared" si="57"/>
        <v>Female</v>
      </c>
      <c r="J765">
        <v>36</v>
      </c>
      <c r="K765" t="str">
        <f t="shared" si="58"/>
        <v>Adult</v>
      </c>
      <c r="L765" t="str" cm="1">
        <f t="array" ref="L765">_xlfn.IFS(J765&lt;13,"Child",J765&lt;18,"Teen",J765&lt;60,"Adult",J765&gt;60,"Old Age")</f>
        <v>Adult</v>
      </c>
      <c r="M765">
        <v>1</v>
      </c>
      <c r="N765">
        <v>2</v>
      </c>
      <c r="O765">
        <f t="shared" si="59"/>
        <v>4</v>
      </c>
      <c r="P765">
        <v>1214.4541999999999</v>
      </c>
      <c r="Q765" t="str">
        <f t="shared" si="55"/>
        <v>High</v>
      </c>
      <c r="R765" t="s">
        <v>1514</v>
      </c>
    </row>
    <row r="766" spans="1:18" x14ac:dyDescent="0.45">
      <c r="A766">
        <v>765</v>
      </c>
      <c r="B766">
        <v>0</v>
      </c>
      <c r="C766" t="str">
        <f t="shared" si="56"/>
        <v>Not Survived</v>
      </c>
      <c r="D766">
        <v>3</v>
      </c>
      <c r="E766" t="s">
        <v>1407</v>
      </c>
      <c r="F766" t="s">
        <v>722</v>
      </c>
      <c r="G766" t="s">
        <v>645</v>
      </c>
      <c r="H766" t="s">
        <v>9</v>
      </c>
      <c r="I766" t="str">
        <f t="shared" si="57"/>
        <v>Male</v>
      </c>
      <c r="J766">
        <v>16</v>
      </c>
      <c r="K766" t="str">
        <f t="shared" si="58"/>
        <v>Teen</v>
      </c>
      <c r="L766" t="str" cm="1">
        <f t="array" ref="L766">_xlfn.IFS(J766&lt;13,"Child",J766&lt;18,"Teen",J766&lt;60,"Adult",J766&gt;60,"Old Age")</f>
        <v>Teen</v>
      </c>
      <c r="M766">
        <v>0</v>
      </c>
      <c r="N766">
        <v>0</v>
      </c>
      <c r="O766">
        <f t="shared" si="59"/>
        <v>1</v>
      </c>
      <c r="P766">
        <v>7.7750000000000004</v>
      </c>
      <c r="Q766" t="str">
        <f t="shared" si="55"/>
        <v>High</v>
      </c>
      <c r="R766" t="s">
        <v>1514</v>
      </c>
    </row>
    <row r="767" spans="1:18" x14ac:dyDescent="0.45">
      <c r="A767">
        <v>766</v>
      </c>
      <c r="B767">
        <v>1</v>
      </c>
      <c r="C767" t="str">
        <f t="shared" si="56"/>
        <v>Survived</v>
      </c>
      <c r="D767">
        <v>1</v>
      </c>
      <c r="E767" t="s">
        <v>1408</v>
      </c>
      <c r="F767" t="s">
        <v>723</v>
      </c>
      <c r="G767" t="s">
        <v>646</v>
      </c>
      <c r="H767" t="s">
        <v>10</v>
      </c>
      <c r="I767" t="str">
        <f t="shared" si="57"/>
        <v>Female</v>
      </c>
      <c r="J767">
        <v>51</v>
      </c>
      <c r="K767" t="str">
        <f t="shared" si="58"/>
        <v>Adult</v>
      </c>
      <c r="L767" t="str" cm="1">
        <f t="array" ref="L767">_xlfn.IFS(J767&lt;13,"Child",J767&lt;18,"Teen",J767&lt;60,"Adult",J767&gt;60,"Old Age")</f>
        <v>Adult</v>
      </c>
      <c r="M767">
        <v>1</v>
      </c>
      <c r="N767">
        <v>0</v>
      </c>
      <c r="O767">
        <f t="shared" si="59"/>
        <v>2</v>
      </c>
      <c r="P767">
        <v>77.958299999999994</v>
      </c>
      <c r="Q767" t="str">
        <f t="shared" si="55"/>
        <v>High</v>
      </c>
      <c r="R767" t="s">
        <v>1514</v>
      </c>
    </row>
    <row r="768" spans="1:18" x14ac:dyDescent="0.45">
      <c r="A768">
        <v>767</v>
      </c>
      <c r="B768">
        <v>0</v>
      </c>
      <c r="C768" t="str">
        <f t="shared" si="56"/>
        <v>Not Survived</v>
      </c>
      <c r="D768">
        <v>1</v>
      </c>
      <c r="E768" t="s">
        <v>1409</v>
      </c>
      <c r="F768" t="s">
        <v>728</v>
      </c>
      <c r="G768" t="s">
        <v>647</v>
      </c>
      <c r="H768" t="s">
        <v>9</v>
      </c>
      <c r="I768" t="str">
        <f t="shared" si="57"/>
        <v>Male</v>
      </c>
      <c r="J768">
        <v>28</v>
      </c>
      <c r="K768" t="str">
        <f t="shared" si="58"/>
        <v>Adult</v>
      </c>
      <c r="L768" t="str" cm="1">
        <f t="array" ref="L768">_xlfn.IFS(J768&lt;13,"Child",J768&lt;18,"Teen",J768&lt;60,"Adult",J768&gt;60,"Old Age")</f>
        <v>Adult</v>
      </c>
      <c r="M768">
        <v>0</v>
      </c>
      <c r="N768">
        <v>0</v>
      </c>
      <c r="O768">
        <f t="shared" si="59"/>
        <v>1</v>
      </c>
      <c r="P768">
        <v>39.6</v>
      </c>
      <c r="Q768" t="str">
        <f t="shared" si="55"/>
        <v>High</v>
      </c>
      <c r="R768" t="s">
        <v>1515</v>
      </c>
    </row>
    <row r="769" spans="1:18" x14ac:dyDescent="0.45">
      <c r="A769">
        <v>768</v>
      </c>
      <c r="B769">
        <v>0</v>
      </c>
      <c r="C769" t="str">
        <f t="shared" si="56"/>
        <v>Not Survived</v>
      </c>
      <c r="D769">
        <v>3</v>
      </c>
      <c r="E769" t="s">
        <v>1073</v>
      </c>
      <c r="F769" t="s">
        <v>724</v>
      </c>
      <c r="G769" t="s">
        <v>648</v>
      </c>
      <c r="H769" t="s">
        <v>10</v>
      </c>
      <c r="I769" t="str">
        <f t="shared" si="57"/>
        <v>Female</v>
      </c>
      <c r="J769">
        <v>30.5</v>
      </c>
      <c r="K769" t="str">
        <f t="shared" si="58"/>
        <v>Adult</v>
      </c>
      <c r="L769" t="str" cm="1">
        <f t="array" ref="L769">_xlfn.IFS(J769&lt;13,"Child",J769&lt;18,"Teen",J769&lt;60,"Adult",J769&gt;60,"Old Age")</f>
        <v>Adult</v>
      </c>
      <c r="M769">
        <v>0</v>
      </c>
      <c r="N769">
        <v>0</v>
      </c>
      <c r="O769">
        <f t="shared" si="59"/>
        <v>1</v>
      </c>
      <c r="P769">
        <v>7.75</v>
      </c>
      <c r="Q769" t="str">
        <f t="shared" si="55"/>
        <v>High</v>
      </c>
      <c r="R769" t="s">
        <v>1516</v>
      </c>
    </row>
    <row r="770" spans="1:18" x14ac:dyDescent="0.45">
      <c r="A770">
        <v>769</v>
      </c>
      <c r="B770">
        <v>0</v>
      </c>
      <c r="C770" t="str">
        <f t="shared" si="56"/>
        <v>Not Survived</v>
      </c>
      <c r="D770">
        <v>3</v>
      </c>
      <c r="E770" t="s">
        <v>1410</v>
      </c>
      <c r="F770" t="s">
        <v>722</v>
      </c>
      <c r="G770" t="s">
        <v>60</v>
      </c>
      <c r="H770" t="s">
        <v>9</v>
      </c>
      <c r="I770" t="str">
        <f t="shared" si="57"/>
        <v>Male</v>
      </c>
      <c r="J770">
        <v>28</v>
      </c>
      <c r="K770" t="str">
        <f t="shared" si="58"/>
        <v>Adult</v>
      </c>
      <c r="L770" t="str" cm="1">
        <f t="array" ref="L770">_xlfn.IFS(J770&lt;13,"Child",J770&lt;18,"Teen",J770&lt;60,"Adult",J770&gt;60,"Old Age")</f>
        <v>Adult</v>
      </c>
      <c r="M770">
        <v>1</v>
      </c>
      <c r="N770">
        <v>0</v>
      </c>
      <c r="O770">
        <f t="shared" si="59"/>
        <v>2</v>
      </c>
      <c r="P770">
        <v>24.15</v>
      </c>
      <c r="Q770" t="str">
        <f t="shared" ref="Q770:Q833" si="60">IF(A770&lt;=10,"Low",IF(A770&lt;=50,"Medium","High"))</f>
        <v>High</v>
      </c>
      <c r="R770" t="s">
        <v>1516</v>
      </c>
    </row>
    <row r="771" spans="1:18" x14ac:dyDescent="0.45">
      <c r="A771">
        <v>770</v>
      </c>
      <c r="B771">
        <v>0</v>
      </c>
      <c r="C771" t="str">
        <f t="shared" ref="C771:C834" si="61">IF(B771 = 0, "Not Survived","Survived")</f>
        <v>Not Survived</v>
      </c>
      <c r="D771">
        <v>3</v>
      </c>
      <c r="E771" t="s">
        <v>1411</v>
      </c>
      <c r="F771" t="s">
        <v>722</v>
      </c>
      <c r="G771" t="s">
        <v>649</v>
      </c>
      <c r="H771" t="s">
        <v>9</v>
      </c>
      <c r="I771" t="str">
        <f t="shared" ref="I771:I834" si="62">PROPER(H771)</f>
        <v>Male</v>
      </c>
      <c r="J771">
        <v>32</v>
      </c>
      <c r="K771" t="str">
        <f t="shared" ref="K771:K834" si="63">IF(J771&lt;13,"Child",IF(J771&lt;18,"Teen",IF(J771&lt;60,"Adult","Old Age")))</f>
        <v>Adult</v>
      </c>
      <c r="L771" t="str" cm="1">
        <f t="array" ref="L771">_xlfn.IFS(J771&lt;13,"Child",J771&lt;18,"Teen",J771&lt;60,"Adult",J771&gt;60,"Old Age")</f>
        <v>Adult</v>
      </c>
      <c r="M771">
        <v>0</v>
      </c>
      <c r="N771">
        <v>0</v>
      </c>
      <c r="O771">
        <f t="shared" ref="O771:O834" si="64">M771+N771+1</f>
        <v>1</v>
      </c>
      <c r="P771">
        <v>8.3625000000000007</v>
      </c>
      <c r="Q771" t="str">
        <f t="shared" si="60"/>
        <v>High</v>
      </c>
      <c r="R771" t="s">
        <v>1514</v>
      </c>
    </row>
    <row r="772" spans="1:18" x14ac:dyDescent="0.45">
      <c r="A772">
        <v>771</v>
      </c>
      <c r="B772">
        <v>0</v>
      </c>
      <c r="C772" t="str">
        <f t="shared" si="61"/>
        <v>Not Survived</v>
      </c>
      <c r="D772">
        <v>3</v>
      </c>
      <c r="E772" t="s">
        <v>1412</v>
      </c>
      <c r="F772" t="s">
        <v>722</v>
      </c>
      <c r="G772" t="s">
        <v>650</v>
      </c>
      <c r="H772" t="s">
        <v>9</v>
      </c>
      <c r="I772" t="str">
        <f t="shared" si="62"/>
        <v>Male</v>
      </c>
      <c r="J772">
        <v>24</v>
      </c>
      <c r="K772" t="str">
        <f t="shared" si="63"/>
        <v>Adult</v>
      </c>
      <c r="L772" t="str" cm="1">
        <f t="array" ref="L772">_xlfn.IFS(J772&lt;13,"Child",J772&lt;18,"Teen",J772&lt;60,"Adult",J772&gt;60,"Old Age")</f>
        <v>Adult</v>
      </c>
      <c r="M772">
        <v>0</v>
      </c>
      <c r="N772">
        <v>0</v>
      </c>
      <c r="O772">
        <f t="shared" si="64"/>
        <v>1</v>
      </c>
      <c r="P772">
        <v>9.5</v>
      </c>
      <c r="Q772" t="str">
        <f t="shared" si="60"/>
        <v>High</v>
      </c>
      <c r="R772" t="s">
        <v>1514</v>
      </c>
    </row>
    <row r="773" spans="1:18" x14ac:dyDescent="0.45">
      <c r="A773">
        <v>772</v>
      </c>
      <c r="B773">
        <v>0</v>
      </c>
      <c r="C773" t="str">
        <f t="shared" si="61"/>
        <v>Not Survived</v>
      </c>
      <c r="D773">
        <v>3</v>
      </c>
      <c r="E773" t="s">
        <v>1413</v>
      </c>
      <c r="F773" t="s">
        <v>722</v>
      </c>
      <c r="G773" t="s">
        <v>562</v>
      </c>
      <c r="H773" t="s">
        <v>9</v>
      </c>
      <c r="I773" t="str">
        <f t="shared" si="62"/>
        <v>Male</v>
      </c>
      <c r="J773">
        <v>48</v>
      </c>
      <c r="K773" t="str">
        <f t="shared" si="63"/>
        <v>Adult</v>
      </c>
      <c r="L773" t="str" cm="1">
        <f t="array" ref="L773">_xlfn.IFS(J773&lt;13,"Child",J773&lt;18,"Teen",J773&lt;60,"Adult",J773&gt;60,"Old Age")</f>
        <v>Adult</v>
      </c>
      <c r="M773">
        <v>0</v>
      </c>
      <c r="N773">
        <v>0</v>
      </c>
      <c r="O773">
        <f t="shared" si="64"/>
        <v>1</v>
      </c>
      <c r="P773">
        <v>7.8541999999999996</v>
      </c>
      <c r="Q773" t="str">
        <f t="shared" si="60"/>
        <v>High</v>
      </c>
      <c r="R773" t="s">
        <v>1514</v>
      </c>
    </row>
    <row r="774" spans="1:18" x14ac:dyDescent="0.45">
      <c r="A774">
        <v>773</v>
      </c>
      <c r="B774">
        <v>0</v>
      </c>
      <c r="C774" t="str">
        <f t="shared" si="61"/>
        <v>Not Survived</v>
      </c>
      <c r="D774">
        <v>2</v>
      </c>
      <c r="E774" t="s">
        <v>753</v>
      </c>
      <c r="F774" t="s">
        <v>723</v>
      </c>
      <c r="G774" t="s">
        <v>651</v>
      </c>
      <c r="H774" t="s">
        <v>10</v>
      </c>
      <c r="I774" t="str">
        <f t="shared" si="62"/>
        <v>Female</v>
      </c>
      <c r="J774">
        <v>57</v>
      </c>
      <c r="K774" t="str">
        <f t="shared" si="63"/>
        <v>Adult</v>
      </c>
      <c r="L774" t="str" cm="1">
        <f t="array" ref="L774">_xlfn.IFS(J774&lt;13,"Child",J774&lt;18,"Teen",J774&lt;60,"Adult",J774&gt;60,"Old Age")</f>
        <v>Adult</v>
      </c>
      <c r="M774">
        <v>0</v>
      </c>
      <c r="N774">
        <v>0</v>
      </c>
      <c r="O774">
        <f t="shared" si="64"/>
        <v>1</v>
      </c>
      <c r="P774" t="s">
        <v>18</v>
      </c>
      <c r="Q774" t="str">
        <f t="shared" si="60"/>
        <v>High</v>
      </c>
      <c r="R774" t="s">
        <v>1514</v>
      </c>
    </row>
    <row r="775" spans="1:18" x14ac:dyDescent="0.45">
      <c r="A775">
        <v>774</v>
      </c>
      <c r="B775">
        <v>0</v>
      </c>
      <c r="C775" t="str">
        <f t="shared" si="61"/>
        <v>Not Survived</v>
      </c>
      <c r="D775">
        <v>3</v>
      </c>
      <c r="E775" t="s">
        <v>1414</v>
      </c>
      <c r="F775" t="s">
        <v>722</v>
      </c>
      <c r="G775" t="s">
        <v>354</v>
      </c>
      <c r="H775" t="s">
        <v>9</v>
      </c>
      <c r="I775" t="str">
        <f t="shared" si="62"/>
        <v>Male</v>
      </c>
      <c r="J775">
        <v>28</v>
      </c>
      <c r="K775" t="str">
        <f t="shared" si="63"/>
        <v>Adult</v>
      </c>
      <c r="L775" t="str" cm="1">
        <f t="array" ref="L775">_xlfn.IFS(J775&lt;13,"Child",J775&lt;18,"Teen",J775&lt;60,"Adult",J775&gt;60,"Old Age")</f>
        <v>Adult</v>
      </c>
      <c r="M775">
        <v>0</v>
      </c>
      <c r="N775">
        <v>0</v>
      </c>
      <c r="O775">
        <f t="shared" si="64"/>
        <v>1</v>
      </c>
      <c r="P775">
        <v>7.2249999999999996</v>
      </c>
      <c r="Q775" t="str">
        <f t="shared" si="60"/>
        <v>High</v>
      </c>
      <c r="R775" t="s">
        <v>1515</v>
      </c>
    </row>
    <row r="776" spans="1:18" x14ac:dyDescent="0.45">
      <c r="A776">
        <v>775</v>
      </c>
      <c r="B776">
        <v>1</v>
      </c>
      <c r="C776" t="str">
        <f t="shared" si="61"/>
        <v>Survived</v>
      </c>
      <c r="D776">
        <v>2</v>
      </c>
      <c r="E776" t="s">
        <v>1415</v>
      </c>
      <c r="F776" t="s">
        <v>723</v>
      </c>
      <c r="G776" t="s">
        <v>489</v>
      </c>
      <c r="H776" t="s">
        <v>10</v>
      </c>
      <c r="I776" t="str">
        <f t="shared" si="62"/>
        <v>Female</v>
      </c>
      <c r="J776">
        <v>54</v>
      </c>
      <c r="K776" t="str">
        <f t="shared" si="63"/>
        <v>Adult</v>
      </c>
      <c r="L776" t="str" cm="1">
        <f t="array" ref="L776">_xlfn.IFS(J776&lt;13,"Child",J776&lt;18,"Teen",J776&lt;60,"Adult",J776&gt;60,"Old Age")</f>
        <v>Adult</v>
      </c>
      <c r="M776">
        <v>1</v>
      </c>
      <c r="N776">
        <v>3</v>
      </c>
      <c r="O776">
        <f t="shared" si="64"/>
        <v>5</v>
      </c>
      <c r="P776">
        <v>23</v>
      </c>
      <c r="Q776" t="str">
        <f t="shared" si="60"/>
        <v>High</v>
      </c>
      <c r="R776" t="s">
        <v>1514</v>
      </c>
    </row>
    <row r="777" spans="1:18" x14ac:dyDescent="0.45">
      <c r="A777">
        <v>776</v>
      </c>
      <c r="B777">
        <v>0</v>
      </c>
      <c r="C777" t="str">
        <f t="shared" si="61"/>
        <v>Not Survived</v>
      </c>
      <c r="D777">
        <v>3</v>
      </c>
      <c r="E777" t="s">
        <v>1416</v>
      </c>
      <c r="F777" t="s">
        <v>722</v>
      </c>
      <c r="G777" t="s">
        <v>652</v>
      </c>
      <c r="H777" t="s">
        <v>9</v>
      </c>
      <c r="I777" t="str">
        <f t="shared" si="62"/>
        <v>Male</v>
      </c>
      <c r="J777">
        <v>18</v>
      </c>
      <c r="K777" t="str">
        <f t="shared" si="63"/>
        <v>Adult</v>
      </c>
      <c r="L777" t="str" cm="1">
        <f t="array" ref="L777">_xlfn.IFS(J777&lt;13,"Child",J777&lt;18,"Teen",J777&lt;60,"Adult",J777&gt;60,"Old Age")</f>
        <v>Adult</v>
      </c>
      <c r="M777">
        <v>0</v>
      </c>
      <c r="N777">
        <v>0</v>
      </c>
      <c r="O777">
        <f t="shared" si="64"/>
        <v>1</v>
      </c>
      <c r="P777">
        <v>7.75</v>
      </c>
      <c r="Q777" t="str">
        <f t="shared" si="60"/>
        <v>High</v>
      </c>
      <c r="R777" t="s">
        <v>1514</v>
      </c>
    </row>
    <row r="778" spans="1:18" x14ac:dyDescent="0.45">
      <c r="A778">
        <v>777</v>
      </c>
      <c r="B778">
        <v>0</v>
      </c>
      <c r="C778" t="str">
        <f t="shared" si="61"/>
        <v>Not Survived</v>
      </c>
      <c r="D778">
        <v>3</v>
      </c>
      <c r="E778" t="s">
        <v>1417</v>
      </c>
      <c r="F778" t="s">
        <v>722</v>
      </c>
      <c r="G778" t="s">
        <v>653</v>
      </c>
      <c r="H778" t="s">
        <v>9</v>
      </c>
      <c r="I778" t="str">
        <f t="shared" si="62"/>
        <v>Male</v>
      </c>
      <c r="J778">
        <v>28</v>
      </c>
      <c r="K778" t="str">
        <f t="shared" si="63"/>
        <v>Adult</v>
      </c>
      <c r="L778" t="str" cm="1">
        <f t="array" ref="L778">_xlfn.IFS(J778&lt;13,"Child",J778&lt;18,"Teen",J778&lt;60,"Adult",J778&gt;60,"Old Age")</f>
        <v>Adult</v>
      </c>
      <c r="M778">
        <v>0</v>
      </c>
      <c r="N778">
        <v>0</v>
      </c>
      <c r="O778">
        <f t="shared" si="64"/>
        <v>1</v>
      </c>
      <c r="P778">
        <v>7.75</v>
      </c>
      <c r="Q778" t="str">
        <f t="shared" si="60"/>
        <v>High</v>
      </c>
      <c r="R778" t="s">
        <v>1516</v>
      </c>
    </row>
    <row r="779" spans="1:18" x14ac:dyDescent="0.45">
      <c r="A779">
        <v>778</v>
      </c>
      <c r="B779">
        <v>1</v>
      </c>
      <c r="C779" t="str">
        <f t="shared" si="61"/>
        <v>Survived</v>
      </c>
      <c r="D779">
        <v>3</v>
      </c>
      <c r="E779" t="s">
        <v>1418</v>
      </c>
      <c r="F779" t="s">
        <v>724</v>
      </c>
      <c r="G779" t="s">
        <v>654</v>
      </c>
      <c r="H779" t="s">
        <v>10</v>
      </c>
      <c r="I779" t="str">
        <f t="shared" si="62"/>
        <v>Female</v>
      </c>
      <c r="J779">
        <v>5</v>
      </c>
      <c r="K779" t="str">
        <f t="shared" si="63"/>
        <v>Child</v>
      </c>
      <c r="L779" t="str" cm="1">
        <f t="array" ref="L779">_xlfn.IFS(J779&lt;13,"Child",J779&lt;18,"Teen",J779&lt;60,"Adult",J779&gt;60,"Old Age")</f>
        <v>Child</v>
      </c>
      <c r="M779">
        <v>0</v>
      </c>
      <c r="N779">
        <v>0</v>
      </c>
      <c r="O779">
        <f t="shared" si="64"/>
        <v>1</v>
      </c>
      <c r="P779">
        <v>12.475</v>
      </c>
      <c r="Q779" t="str">
        <f t="shared" si="60"/>
        <v>High</v>
      </c>
      <c r="R779" t="s">
        <v>1514</v>
      </c>
    </row>
    <row r="780" spans="1:18" x14ac:dyDescent="0.45">
      <c r="A780">
        <v>779</v>
      </c>
      <c r="B780">
        <v>0</v>
      </c>
      <c r="C780" t="str">
        <f t="shared" si="61"/>
        <v>Not Survived</v>
      </c>
      <c r="D780">
        <v>3</v>
      </c>
      <c r="E780" t="s">
        <v>1419</v>
      </c>
      <c r="F780" t="s">
        <v>722</v>
      </c>
      <c r="G780" t="s">
        <v>655</v>
      </c>
      <c r="H780" t="s">
        <v>9</v>
      </c>
      <c r="I780" t="str">
        <f t="shared" si="62"/>
        <v>Male</v>
      </c>
      <c r="J780">
        <v>28</v>
      </c>
      <c r="K780" t="str">
        <f t="shared" si="63"/>
        <v>Adult</v>
      </c>
      <c r="L780" t="str" cm="1">
        <f t="array" ref="L780">_xlfn.IFS(J780&lt;13,"Child",J780&lt;18,"Teen",J780&lt;60,"Adult",J780&gt;60,"Old Age")</f>
        <v>Adult</v>
      </c>
      <c r="M780">
        <v>0</v>
      </c>
      <c r="N780">
        <v>0</v>
      </c>
      <c r="O780">
        <f t="shared" si="64"/>
        <v>1</v>
      </c>
      <c r="P780">
        <v>7.7374999999999998</v>
      </c>
      <c r="Q780" t="str">
        <f t="shared" si="60"/>
        <v>High</v>
      </c>
      <c r="R780" t="s">
        <v>1516</v>
      </c>
    </row>
    <row r="781" spans="1:18" x14ac:dyDescent="0.45">
      <c r="A781">
        <v>780</v>
      </c>
      <c r="B781">
        <v>1</v>
      </c>
      <c r="C781" t="str">
        <f t="shared" si="61"/>
        <v>Survived</v>
      </c>
      <c r="D781">
        <v>1</v>
      </c>
      <c r="E781" t="s">
        <v>1420</v>
      </c>
      <c r="F781" t="s">
        <v>723</v>
      </c>
      <c r="G781" t="s">
        <v>656</v>
      </c>
      <c r="H781" t="s">
        <v>10</v>
      </c>
      <c r="I781" t="str">
        <f t="shared" si="62"/>
        <v>Female</v>
      </c>
      <c r="J781">
        <v>43</v>
      </c>
      <c r="K781" t="str">
        <f t="shared" si="63"/>
        <v>Adult</v>
      </c>
      <c r="L781" t="str" cm="1">
        <f t="array" ref="L781">_xlfn.IFS(J781&lt;13,"Child",J781&lt;18,"Teen",J781&lt;60,"Adult",J781&gt;60,"Old Age")</f>
        <v>Adult</v>
      </c>
      <c r="M781">
        <v>0</v>
      </c>
      <c r="N781">
        <v>1</v>
      </c>
      <c r="O781">
        <f t="shared" si="64"/>
        <v>2</v>
      </c>
      <c r="P781">
        <v>211.33750000000001</v>
      </c>
      <c r="Q781" t="str">
        <f t="shared" si="60"/>
        <v>High</v>
      </c>
      <c r="R781" t="s">
        <v>1514</v>
      </c>
    </row>
    <row r="782" spans="1:18" x14ac:dyDescent="0.45">
      <c r="A782">
        <v>781</v>
      </c>
      <c r="B782">
        <v>1</v>
      </c>
      <c r="C782" t="str">
        <f t="shared" si="61"/>
        <v>Survived</v>
      </c>
      <c r="D782">
        <v>3</v>
      </c>
      <c r="E782" t="s">
        <v>1421</v>
      </c>
      <c r="F782" t="s">
        <v>724</v>
      </c>
      <c r="G782" t="s">
        <v>657</v>
      </c>
      <c r="H782" t="s">
        <v>10</v>
      </c>
      <c r="I782" t="str">
        <f t="shared" si="62"/>
        <v>Female</v>
      </c>
      <c r="J782">
        <v>13</v>
      </c>
      <c r="K782" t="str">
        <f t="shared" si="63"/>
        <v>Teen</v>
      </c>
      <c r="L782" t="str" cm="1">
        <f t="array" ref="L782">_xlfn.IFS(J782&lt;13,"Child",J782&lt;18,"Teen",J782&lt;60,"Adult",J782&gt;60,"Old Age")</f>
        <v>Teen</v>
      </c>
      <c r="M782">
        <v>0</v>
      </c>
      <c r="N782">
        <v>0</v>
      </c>
      <c r="O782">
        <f t="shared" si="64"/>
        <v>1</v>
      </c>
      <c r="P782">
        <v>7.2291999999999996</v>
      </c>
      <c r="Q782" t="str">
        <f t="shared" si="60"/>
        <v>High</v>
      </c>
      <c r="R782" t="s">
        <v>1515</v>
      </c>
    </row>
    <row r="783" spans="1:18" x14ac:dyDescent="0.45">
      <c r="A783">
        <v>782</v>
      </c>
      <c r="B783">
        <v>1</v>
      </c>
      <c r="C783" t="str">
        <f t="shared" si="61"/>
        <v>Survived</v>
      </c>
      <c r="D783">
        <v>1</v>
      </c>
      <c r="E783" t="s">
        <v>1422</v>
      </c>
      <c r="F783" t="s">
        <v>723</v>
      </c>
      <c r="G783" t="s">
        <v>595</v>
      </c>
      <c r="H783" t="s">
        <v>10</v>
      </c>
      <c r="I783" t="str">
        <f t="shared" si="62"/>
        <v>Female</v>
      </c>
      <c r="J783">
        <v>17</v>
      </c>
      <c r="K783" t="str">
        <f t="shared" si="63"/>
        <v>Teen</v>
      </c>
      <c r="L783" t="str" cm="1">
        <f t="array" ref="L783">_xlfn.IFS(J783&lt;13,"Child",J783&lt;18,"Teen",J783&lt;60,"Adult",J783&gt;60,"Old Age")</f>
        <v>Teen</v>
      </c>
      <c r="M783">
        <v>1</v>
      </c>
      <c r="N783">
        <v>0</v>
      </c>
      <c r="O783">
        <f t="shared" si="64"/>
        <v>2</v>
      </c>
      <c r="P783">
        <v>57</v>
      </c>
      <c r="Q783" t="str">
        <f t="shared" si="60"/>
        <v>High</v>
      </c>
      <c r="R783" t="s">
        <v>1514</v>
      </c>
    </row>
    <row r="784" spans="1:18" x14ac:dyDescent="0.45">
      <c r="A784">
        <v>783</v>
      </c>
      <c r="B784">
        <v>0</v>
      </c>
      <c r="C784" t="str">
        <f t="shared" si="61"/>
        <v>Not Survived</v>
      </c>
      <c r="D784">
        <v>1</v>
      </c>
      <c r="E784" t="s">
        <v>1423</v>
      </c>
      <c r="F784" t="s">
        <v>722</v>
      </c>
      <c r="G784" t="s">
        <v>658</v>
      </c>
      <c r="H784" t="s">
        <v>9</v>
      </c>
      <c r="I784" t="str">
        <f t="shared" si="62"/>
        <v>Male</v>
      </c>
      <c r="J784">
        <v>29</v>
      </c>
      <c r="K784" t="str">
        <f t="shared" si="63"/>
        <v>Adult</v>
      </c>
      <c r="L784" t="str" cm="1">
        <f t="array" ref="L784">_xlfn.IFS(J784&lt;13,"Child",J784&lt;18,"Teen",J784&lt;60,"Adult",J784&gt;60,"Old Age")</f>
        <v>Adult</v>
      </c>
      <c r="M784">
        <v>0</v>
      </c>
      <c r="N784">
        <v>0</v>
      </c>
      <c r="O784">
        <f t="shared" si="64"/>
        <v>1</v>
      </c>
      <c r="P784">
        <v>314.45420000000001</v>
      </c>
      <c r="Q784" t="str">
        <f t="shared" si="60"/>
        <v>High</v>
      </c>
      <c r="R784" t="s">
        <v>1514</v>
      </c>
    </row>
    <row r="785" spans="1:18" x14ac:dyDescent="0.45">
      <c r="A785">
        <v>784</v>
      </c>
      <c r="B785">
        <v>0</v>
      </c>
      <c r="C785" t="str">
        <f t="shared" si="61"/>
        <v>Not Survived</v>
      </c>
      <c r="D785">
        <v>3</v>
      </c>
      <c r="E785" t="s">
        <v>1424</v>
      </c>
      <c r="F785" t="s">
        <v>722</v>
      </c>
      <c r="G785" t="s">
        <v>659</v>
      </c>
      <c r="H785" t="s">
        <v>9</v>
      </c>
      <c r="I785" t="str">
        <f t="shared" si="62"/>
        <v>Male</v>
      </c>
      <c r="J785">
        <v>28</v>
      </c>
      <c r="K785" t="str">
        <f t="shared" si="63"/>
        <v>Adult</v>
      </c>
      <c r="L785" t="str" cm="1">
        <f t="array" ref="L785">_xlfn.IFS(J785&lt;13,"Child",J785&lt;18,"Teen",J785&lt;60,"Adult",J785&gt;60,"Old Age")</f>
        <v>Adult</v>
      </c>
      <c r="M785">
        <v>1</v>
      </c>
      <c r="N785">
        <v>2</v>
      </c>
      <c r="O785">
        <f t="shared" si="64"/>
        <v>4</v>
      </c>
      <c r="P785">
        <v>23.45</v>
      </c>
      <c r="Q785" t="str">
        <f t="shared" si="60"/>
        <v>High</v>
      </c>
      <c r="R785" t="s">
        <v>1514</v>
      </c>
    </row>
    <row r="786" spans="1:18" x14ac:dyDescent="0.45">
      <c r="A786">
        <v>785</v>
      </c>
      <c r="B786">
        <v>0</v>
      </c>
      <c r="C786" t="str">
        <f t="shared" si="61"/>
        <v>Not Survived</v>
      </c>
      <c r="D786">
        <v>3</v>
      </c>
      <c r="E786" t="s">
        <v>922</v>
      </c>
      <c r="F786" t="s">
        <v>722</v>
      </c>
      <c r="G786" t="s">
        <v>240</v>
      </c>
      <c r="H786" t="s">
        <v>9</v>
      </c>
      <c r="I786" t="str">
        <f t="shared" si="62"/>
        <v>Male</v>
      </c>
      <c r="J786">
        <v>25</v>
      </c>
      <c r="K786" t="str">
        <f t="shared" si="63"/>
        <v>Adult</v>
      </c>
      <c r="L786" t="str" cm="1">
        <f t="array" ref="L786">_xlfn.IFS(J786&lt;13,"Child",J786&lt;18,"Teen",J786&lt;60,"Adult",J786&gt;60,"Old Age")</f>
        <v>Adult</v>
      </c>
      <c r="M786">
        <v>0</v>
      </c>
      <c r="N786">
        <v>0</v>
      </c>
      <c r="O786">
        <f t="shared" si="64"/>
        <v>1</v>
      </c>
      <c r="P786" t="s">
        <v>22</v>
      </c>
      <c r="Q786" t="str">
        <f t="shared" si="60"/>
        <v>High</v>
      </c>
      <c r="R786" t="s">
        <v>1514</v>
      </c>
    </row>
    <row r="787" spans="1:18" x14ac:dyDescent="0.45">
      <c r="A787">
        <v>786</v>
      </c>
      <c r="B787">
        <v>0</v>
      </c>
      <c r="C787" t="str">
        <f t="shared" si="61"/>
        <v>Not Survived</v>
      </c>
      <c r="D787">
        <v>3</v>
      </c>
      <c r="E787" t="s">
        <v>1425</v>
      </c>
      <c r="F787" t="s">
        <v>722</v>
      </c>
      <c r="G787" t="s">
        <v>660</v>
      </c>
      <c r="H787" t="s">
        <v>9</v>
      </c>
      <c r="I787" t="str">
        <f t="shared" si="62"/>
        <v>Male</v>
      </c>
      <c r="J787">
        <v>25</v>
      </c>
      <c r="K787" t="str">
        <f t="shared" si="63"/>
        <v>Adult</v>
      </c>
      <c r="L787" t="str" cm="1">
        <f t="array" ref="L787">_xlfn.IFS(J787&lt;13,"Child",J787&lt;18,"Teen",J787&lt;60,"Adult",J787&gt;60,"Old Age")</f>
        <v>Adult</v>
      </c>
      <c r="M787">
        <v>0</v>
      </c>
      <c r="N787">
        <v>0</v>
      </c>
      <c r="O787">
        <f t="shared" si="64"/>
        <v>1</v>
      </c>
      <c r="P787">
        <v>7.25</v>
      </c>
      <c r="Q787" t="str">
        <f t="shared" si="60"/>
        <v>High</v>
      </c>
      <c r="R787" t="s">
        <v>1514</v>
      </c>
    </row>
    <row r="788" spans="1:18" x14ac:dyDescent="0.45">
      <c r="A788">
        <v>787</v>
      </c>
      <c r="B788">
        <v>1</v>
      </c>
      <c r="C788" t="str">
        <f t="shared" si="61"/>
        <v>Survived</v>
      </c>
      <c r="D788">
        <v>3</v>
      </c>
      <c r="E788" t="s">
        <v>876</v>
      </c>
      <c r="F788" t="s">
        <v>724</v>
      </c>
      <c r="G788" t="s">
        <v>661</v>
      </c>
      <c r="H788" t="s">
        <v>10</v>
      </c>
      <c r="I788" t="str">
        <f t="shared" si="62"/>
        <v>Female</v>
      </c>
      <c r="J788">
        <v>18</v>
      </c>
      <c r="K788" t="str">
        <f t="shared" si="63"/>
        <v>Adult</v>
      </c>
      <c r="L788" t="str" cm="1">
        <f t="array" ref="L788">_xlfn.IFS(J788&lt;13,"Child",J788&lt;18,"Teen",J788&lt;60,"Adult",J788&gt;60,"Old Age")</f>
        <v>Adult</v>
      </c>
      <c r="M788">
        <v>0</v>
      </c>
      <c r="N788">
        <v>0</v>
      </c>
      <c r="O788">
        <f t="shared" si="64"/>
        <v>1</v>
      </c>
      <c r="P788">
        <v>7.4958</v>
      </c>
      <c r="Q788" t="str">
        <f t="shared" si="60"/>
        <v>High</v>
      </c>
      <c r="R788" t="s">
        <v>1514</v>
      </c>
    </row>
    <row r="789" spans="1:18" x14ac:dyDescent="0.45">
      <c r="A789">
        <v>788</v>
      </c>
      <c r="B789">
        <v>0</v>
      </c>
      <c r="C789" t="str">
        <f t="shared" si="61"/>
        <v>Not Survived</v>
      </c>
      <c r="D789">
        <v>3</v>
      </c>
      <c r="E789" t="s">
        <v>1426</v>
      </c>
      <c r="F789" t="s">
        <v>725</v>
      </c>
      <c r="G789" t="s">
        <v>71</v>
      </c>
      <c r="H789" t="s">
        <v>9</v>
      </c>
      <c r="I789" t="str">
        <f t="shared" si="62"/>
        <v>Male</v>
      </c>
      <c r="J789">
        <v>8</v>
      </c>
      <c r="K789" t="str">
        <f t="shared" si="63"/>
        <v>Child</v>
      </c>
      <c r="L789" t="str" cm="1">
        <f t="array" ref="L789">_xlfn.IFS(J789&lt;13,"Child",J789&lt;18,"Teen",J789&lt;60,"Adult",J789&gt;60,"Old Age")</f>
        <v>Child</v>
      </c>
      <c r="M789">
        <v>4</v>
      </c>
      <c r="N789">
        <v>1</v>
      </c>
      <c r="O789">
        <f t="shared" si="64"/>
        <v>6</v>
      </c>
      <c r="P789">
        <v>29.125</v>
      </c>
      <c r="Q789" t="str">
        <f t="shared" si="60"/>
        <v>High</v>
      </c>
      <c r="R789" t="s">
        <v>1516</v>
      </c>
    </row>
    <row r="790" spans="1:18" x14ac:dyDescent="0.45">
      <c r="A790">
        <v>789</v>
      </c>
      <c r="B790">
        <v>1</v>
      </c>
      <c r="C790" t="str">
        <f t="shared" si="61"/>
        <v>Survived</v>
      </c>
      <c r="D790">
        <v>3</v>
      </c>
      <c r="E790" t="s">
        <v>1427</v>
      </c>
      <c r="F790" t="s">
        <v>725</v>
      </c>
      <c r="G790" t="s">
        <v>143</v>
      </c>
      <c r="H790" t="s">
        <v>9</v>
      </c>
      <c r="I790" t="str">
        <f t="shared" si="62"/>
        <v>Male</v>
      </c>
      <c r="J790">
        <v>1</v>
      </c>
      <c r="K790" t="str">
        <f t="shared" si="63"/>
        <v>Child</v>
      </c>
      <c r="L790" t="str" cm="1">
        <f t="array" ref="L790">_xlfn.IFS(J790&lt;13,"Child",J790&lt;18,"Teen",J790&lt;60,"Adult",J790&gt;60,"Old Age")</f>
        <v>Child</v>
      </c>
      <c r="M790">
        <v>1</v>
      </c>
      <c r="N790">
        <v>2</v>
      </c>
      <c r="O790">
        <f t="shared" si="64"/>
        <v>4</v>
      </c>
      <c r="P790" t="s">
        <v>20</v>
      </c>
      <c r="Q790" t="str">
        <f t="shared" si="60"/>
        <v>High</v>
      </c>
      <c r="R790" t="s">
        <v>1514</v>
      </c>
    </row>
    <row r="791" spans="1:18" x14ac:dyDescent="0.45">
      <c r="A791">
        <v>790</v>
      </c>
      <c r="B791">
        <v>0</v>
      </c>
      <c r="C791" t="str">
        <f t="shared" si="61"/>
        <v>Not Survived</v>
      </c>
      <c r="D791">
        <v>1</v>
      </c>
      <c r="E791" t="s">
        <v>1031</v>
      </c>
      <c r="F791" t="s">
        <v>722</v>
      </c>
      <c r="G791" t="s">
        <v>662</v>
      </c>
      <c r="H791" t="s">
        <v>9</v>
      </c>
      <c r="I791" t="str">
        <f t="shared" si="62"/>
        <v>Male</v>
      </c>
      <c r="J791">
        <v>46</v>
      </c>
      <c r="K791" t="str">
        <f t="shared" si="63"/>
        <v>Adult</v>
      </c>
      <c r="L791" t="str" cm="1">
        <f t="array" ref="L791">_xlfn.IFS(J791&lt;13,"Child",J791&lt;18,"Teen",J791&lt;60,"Adult",J791&gt;60,"Old Age")</f>
        <v>Adult</v>
      </c>
      <c r="M791">
        <v>0</v>
      </c>
      <c r="N791">
        <v>0</v>
      </c>
      <c r="O791">
        <f t="shared" si="64"/>
        <v>1</v>
      </c>
      <c r="P791">
        <v>79.2</v>
      </c>
      <c r="Q791" t="str">
        <f t="shared" si="60"/>
        <v>High</v>
      </c>
      <c r="R791" t="s">
        <v>1515</v>
      </c>
    </row>
    <row r="792" spans="1:18" x14ac:dyDescent="0.45">
      <c r="A792">
        <v>791</v>
      </c>
      <c r="B792">
        <v>0</v>
      </c>
      <c r="C792" t="str">
        <f t="shared" si="61"/>
        <v>Not Survived</v>
      </c>
      <c r="D792">
        <v>3</v>
      </c>
      <c r="E792" t="s">
        <v>1428</v>
      </c>
      <c r="F792" t="s">
        <v>722</v>
      </c>
      <c r="G792" t="s">
        <v>319</v>
      </c>
      <c r="H792" t="s">
        <v>9</v>
      </c>
      <c r="I792" t="str">
        <f t="shared" si="62"/>
        <v>Male</v>
      </c>
      <c r="J792">
        <v>28</v>
      </c>
      <c r="K792" t="str">
        <f t="shared" si="63"/>
        <v>Adult</v>
      </c>
      <c r="L792" t="str" cm="1">
        <f t="array" ref="L792">_xlfn.IFS(J792&lt;13,"Child",J792&lt;18,"Teen",J792&lt;60,"Adult",J792&gt;60,"Old Age")</f>
        <v>Adult</v>
      </c>
      <c r="M792">
        <v>0</v>
      </c>
      <c r="N792">
        <v>0</v>
      </c>
      <c r="O792">
        <f t="shared" si="64"/>
        <v>1</v>
      </c>
      <c r="P792">
        <v>7.75</v>
      </c>
      <c r="Q792" t="str">
        <f t="shared" si="60"/>
        <v>High</v>
      </c>
      <c r="R792" t="s">
        <v>1516</v>
      </c>
    </row>
    <row r="793" spans="1:18" x14ac:dyDescent="0.45">
      <c r="A793">
        <v>792</v>
      </c>
      <c r="B793">
        <v>0</v>
      </c>
      <c r="C793" t="str">
        <f t="shared" si="61"/>
        <v>Not Survived</v>
      </c>
      <c r="D793">
        <v>2</v>
      </c>
      <c r="E793" t="s">
        <v>1105</v>
      </c>
      <c r="F793" t="s">
        <v>722</v>
      </c>
      <c r="G793" t="s">
        <v>663</v>
      </c>
      <c r="H793" t="s">
        <v>9</v>
      </c>
      <c r="I793" t="str">
        <f t="shared" si="62"/>
        <v>Male</v>
      </c>
      <c r="J793">
        <v>16</v>
      </c>
      <c r="K793" t="str">
        <f t="shared" si="63"/>
        <v>Teen</v>
      </c>
      <c r="L793" t="str" cm="1">
        <f t="array" ref="L793">_xlfn.IFS(J793&lt;13,"Child",J793&lt;18,"Teen",J793&lt;60,"Adult",J793&gt;60,"Old Age")</f>
        <v>Teen</v>
      </c>
      <c r="M793">
        <v>0</v>
      </c>
      <c r="N793">
        <v>0</v>
      </c>
      <c r="O793">
        <f t="shared" si="64"/>
        <v>1</v>
      </c>
      <c r="P793">
        <v>26</v>
      </c>
      <c r="Q793" t="str">
        <f t="shared" si="60"/>
        <v>High</v>
      </c>
      <c r="R793" t="s">
        <v>1514</v>
      </c>
    </row>
    <row r="794" spans="1:18" x14ac:dyDescent="0.45">
      <c r="A794">
        <v>793</v>
      </c>
      <c r="B794">
        <v>0</v>
      </c>
      <c r="C794" t="str">
        <f t="shared" si="61"/>
        <v>Not Survived</v>
      </c>
      <c r="D794">
        <v>3</v>
      </c>
      <c r="E794" t="s">
        <v>1429</v>
      </c>
      <c r="F794" t="s">
        <v>724</v>
      </c>
      <c r="G794" t="s">
        <v>199</v>
      </c>
      <c r="H794" t="s">
        <v>10</v>
      </c>
      <c r="I794" t="str">
        <f t="shared" si="62"/>
        <v>Female</v>
      </c>
      <c r="J794">
        <v>28</v>
      </c>
      <c r="K794" t="str">
        <f t="shared" si="63"/>
        <v>Adult</v>
      </c>
      <c r="L794" t="str" cm="1">
        <f t="array" ref="L794">_xlfn.IFS(J794&lt;13,"Child",J794&lt;18,"Teen",J794&lt;60,"Adult",J794&gt;60,"Old Age")</f>
        <v>Adult</v>
      </c>
      <c r="M794">
        <v>8</v>
      </c>
      <c r="N794">
        <v>2</v>
      </c>
      <c r="O794">
        <f t="shared" si="64"/>
        <v>11</v>
      </c>
      <c r="P794">
        <v>69.55</v>
      </c>
      <c r="Q794" t="str">
        <f t="shared" si="60"/>
        <v>High</v>
      </c>
      <c r="R794" t="s">
        <v>1514</v>
      </c>
    </row>
    <row r="795" spans="1:18" x14ac:dyDescent="0.45">
      <c r="A795">
        <v>794</v>
      </c>
      <c r="B795">
        <v>0</v>
      </c>
      <c r="C795" t="str">
        <f t="shared" si="61"/>
        <v>Not Survived</v>
      </c>
      <c r="D795">
        <v>1</v>
      </c>
      <c r="E795" t="s">
        <v>1430</v>
      </c>
      <c r="F795" t="s">
        <v>722</v>
      </c>
      <c r="G795" t="s">
        <v>253</v>
      </c>
      <c r="H795" t="s">
        <v>9</v>
      </c>
      <c r="I795" t="str">
        <f t="shared" si="62"/>
        <v>Male</v>
      </c>
      <c r="J795">
        <v>28</v>
      </c>
      <c r="K795" t="str">
        <f t="shared" si="63"/>
        <v>Adult</v>
      </c>
      <c r="L795" t="str" cm="1">
        <f t="array" ref="L795">_xlfn.IFS(J795&lt;13,"Child",J795&lt;18,"Teen",J795&lt;60,"Adult",J795&gt;60,"Old Age")</f>
        <v>Adult</v>
      </c>
      <c r="M795">
        <v>0</v>
      </c>
      <c r="N795">
        <v>0</v>
      </c>
      <c r="O795">
        <f t="shared" si="64"/>
        <v>1</v>
      </c>
      <c r="P795" t="s">
        <v>25</v>
      </c>
      <c r="Q795" t="str">
        <f t="shared" si="60"/>
        <v>High</v>
      </c>
      <c r="R795" t="s">
        <v>1515</v>
      </c>
    </row>
    <row r="796" spans="1:18" x14ac:dyDescent="0.45">
      <c r="A796">
        <v>795</v>
      </c>
      <c r="B796">
        <v>0</v>
      </c>
      <c r="C796" t="str">
        <f t="shared" si="61"/>
        <v>Not Survived</v>
      </c>
      <c r="D796">
        <v>3</v>
      </c>
      <c r="E796" t="s">
        <v>1431</v>
      </c>
      <c r="F796" t="s">
        <v>722</v>
      </c>
      <c r="G796" t="s">
        <v>664</v>
      </c>
      <c r="H796" t="s">
        <v>9</v>
      </c>
      <c r="I796" t="str">
        <f t="shared" si="62"/>
        <v>Male</v>
      </c>
      <c r="J796">
        <v>25</v>
      </c>
      <c r="K796" t="str">
        <f t="shared" si="63"/>
        <v>Adult</v>
      </c>
      <c r="L796" t="str" cm="1">
        <f t="array" ref="L796">_xlfn.IFS(J796&lt;13,"Child",J796&lt;18,"Teen",J796&lt;60,"Adult",J796&gt;60,"Old Age")</f>
        <v>Adult</v>
      </c>
      <c r="M796">
        <v>0</v>
      </c>
      <c r="N796">
        <v>0</v>
      </c>
      <c r="O796">
        <f t="shared" si="64"/>
        <v>1</v>
      </c>
      <c r="P796">
        <v>7.8958000000000004</v>
      </c>
      <c r="Q796" t="str">
        <f t="shared" si="60"/>
        <v>High</v>
      </c>
      <c r="R796" t="s">
        <v>1514</v>
      </c>
    </row>
    <row r="797" spans="1:18" x14ac:dyDescent="0.45">
      <c r="A797">
        <v>796</v>
      </c>
      <c r="B797">
        <v>0</v>
      </c>
      <c r="C797" t="str">
        <f t="shared" si="61"/>
        <v>Not Survived</v>
      </c>
      <c r="D797">
        <v>2</v>
      </c>
      <c r="E797" t="s">
        <v>1432</v>
      </c>
      <c r="F797" t="s">
        <v>722</v>
      </c>
      <c r="G797" t="s">
        <v>665</v>
      </c>
      <c r="H797" t="s">
        <v>9</v>
      </c>
      <c r="I797" t="str">
        <f t="shared" si="62"/>
        <v>Male</v>
      </c>
      <c r="J797">
        <v>39</v>
      </c>
      <c r="K797" t="str">
        <f t="shared" si="63"/>
        <v>Adult</v>
      </c>
      <c r="L797" t="str" cm="1">
        <f t="array" ref="L797">_xlfn.IFS(J797&lt;13,"Child",J797&lt;18,"Teen",J797&lt;60,"Adult",J797&gt;60,"Old Age")</f>
        <v>Adult</v>
      </c>
      <c r="M797">
        <v>0</v>
      </c>
      <c r="N797">
        <v>0</v>
      </c>
      <c r="O797">
        <f t="shared" si="64"/>
        <v>1</v>
      </c>
      <c r="P797">
        <v>13</v>
      </c>
      <c r="Q797" t="str">
        <f t="shared" si="60"/>
        <v>High</v>
      </c>
      <c r="R797" t="s">
        <v>1514</v>
      </c>
    </row>
    <row r="798" spans="1:18" x14ac:dyDescent="0.45">
      <c r="A798">
        <v>797</v>
      </c>
      <c r="B798">
        <v>1</v>
      </c>
      <c r="C798" t="str">
        <f t="shared" si="61"/>
        <v>Survived</v>
      </c>
      <c r="D798">
        <v>1</v>
      </c>
      <c r="E798" t="s">
        <v>1433</v>
      </c>
      <c r="F798" t="s">
        <v>728</v>
      </c>
      <c r="G798" t="s">
        <v>666</v>
      </c>
      <c r="H798" t="s">
        <v>10</v>
      </c>
      <c r="I798" t="str">
        <f t="shared" si="62"/>
        <v>Female</v>
      </c>
      <c r="J798">
        <v>49</v>
      </c>
      <c r="K798" t="str">
        <f t="shared" si="63"/>
        <v>Adult</v>
      </c>
      <c r="L798" t="str" cm="1">
        <f t="array" ref="L798">_xlfn.IFS(J798&lt;13,"Child",J798&lt;18,"Teen",J798&lt;60,"Adult",J798&gt;60,"Old Age")</f>
        <v>Adult</v>
      </c>
      <c r="M798">
        <v>0</v>
      </c>
      <c r="N798">
        <v>0</v>
      </c>
      <c r="O798">
        <f t="shared" si="64"/>
        <v>1</v>
      </c>
      <c r="P798">
        <v>25.929200000000002</v>
      </c>
      <c r="Q798" t="str">
        <f t="shared" si="60"/>
        <v>High</v>
      </c>
      <c r="R798" t="s">
        <v>1514</v>
      </c>
    </row>
    <row r="799" spans="1:18" x14ac:dyDescent="0.45">
      <c r="A799">
        <v>798</v>
      </c>
      <c r="B799">
        <v>1</v>
      </c>
      <c r="C799" t="str">
        <f t="shared" si="61"/>
        <v>Survived</v>
      </c>
      <c r="D799">
        <v>3</v>
      </c>
      <c r="E799" t="s">
        <v>1434</v>
      </c>
      <c r="F799" t="s">
        <v>723</v>
      </c>
      <c r="G799" t="s">
        <v>667</v>
      </c>
      <c r="H799" t="s">
        <v>10</v>
      </c>
      <c r="I799" t="str">
        <f t="shared" si="62"/>
        <v>Female</v>
      </c>
      <c r="J799">
        <v>31</v>
      </c>
      <c r="K799" t="str">
        <f t="shared" si="63"/>
        <v>Adult</v>
      </c>
      <c r="L799" t="str" cm="1">
        <f t="array" ref="L799">_xlfn.IFS(J799&lt;13,"Child",J799&lt;18,"Teen",J799&lt;60,"Adult",J799&gt;60,"Old Age")</f>
        <v>Adult</v>
      </c>
      <c r="M799">
        <v>0</v>
      </c>
      <c r="N799">
        <v>0</v>
      </c>
      <c r="O799">
        <f t="shared" si="64"/>
        <v>1</v>
      </c>
      <c r="P799">
        <v>8.6832999999999991</v>
      </c>
      <c r="Q799" t="str">
        <f t="shared" si="60"/>
        <v>High</v>
      </c>
      <c r="R799" t="s">
        <v>1514</v>
      </c>
    </row>
    <row r="800" spans="1:18" x14ac:dyDescent="0.45">
      <c r="A800">
        <v>799</v>
      </c>
      <c r="B800">
        <v>0</v>
      </c>
      <c r="C800" t="str">
        <f t="shared" si="61"/>
        <v>Not Survived</v>
      </c>
      <c r="D800">
        <v>3</v>
      </c>
      <c r="E800" t="s">
        <v>1435</v>
      </c>
      <c r="F800" t="s">
        <v>722</v>
      </c>
      <c r="G800" t="s">
        <v>668</v>
      </c>
      <c r="H800" t="s">
        <v>9</v>
      </c>
      <c r="I800" t="str">
        <f t="shared" si="62"/>
        <v>Male</v>
      </c>
      <c r="J800">
        <v>30</v>
      </c>
      <c r="K800" t="str">
        <f t="shared" si="63"/>
        <v>Adult</v>
      </c>
      <c r="L800" t="str" cm="1">
        <f t="array" ref="L800">_xlfn.IFS(J800&lt;13,"Child",J800&lt;18,"Teen",J800&lt;60,"Adult",J800&gt;60,"Old Age")</f>
        <v>Adult</v>
      </c>
      <c r="M800">
        <v>0</v>
      </c>
      <c r="N800">
        <v>0</v>
      </c>
      <c r="O800">
        <f t="shared" si="64"/>
        <v>1</v>
      </c>
      <c r="P800">
        <v>7.2291999999999996</v>
      </c>
      <c r="Q800" t="str">
        <f t="shared" si="60"/>
        <v>High</v>
      </c>
      <c r="R800" t="s">
        <v>1515</v>
      </c>
    </row>
    <row r="801" spans="1:18" x14ac:dyDescent="0.45">
      <c r="A801">
        <v>800</v>
      </c>
      <c r="B801">
        <v>0</v>
      </c>
      <c r="C801" t="str">
        <f t="shared" si="61"/>
        <v>Not Survived</v>
      </c>
      <c r="D801">
        <v>3</v>
      </c>
      <c r="E801" t="s">
        <v>1436</v>
      </c>
      <c r="F801" t="s">
        <v>723</v>
      </c>
      <c r="G801" t="s">
        <v>402</v>
      </c>
      <c r="H801" t="s">
        <v>10</v>
      </c>
      <c r="I801" t="str">
        <f t="shared" si="62"/>
        <v>Female</v>
      </c>
      <c r="J801">
        <v>30</v>
      </c>
      <c r="K801" t="str">
        <f t="shared" si="63"/>
        <v>Adult</v>
      </c>
      <c r="L801" t="str" cm="1">
        <f t="array" ref="L801">_xlfn.IFS(J801&lt;13,"Child",J801&lt;18,"Teen",J801&lt;60,"Adult",J801&gt;60,"Old Age")</f>
        <v>Adult</v>
      </c>
      <c r="M801">
        <v>1</v>
      </c>
      <c r="N801">
        <v>1</v>
      </c>
      <c r="O801">
        <f t="shared" si="64"/>
        <v>3</v>
      </c>
      <c r="P801">
        <v>24.15</v>
      </c>
      <c r="Q801" t="str">
        <f t="shared" si="60"/>
        <v>High</v>
      </c>
      <c r="R801" t="s">
        <v>1514</v>
      </c>
    </row>
    <row r="802" spans="1:18" x14ac:dyDescent="0.45">
      <c r="A802">
        <v>801</v>
      </c>
      <c r="B802">
        <v>0</v>
      </c>
      <c r="C802" t="str">
        <f t="shared" si="61"/>
        <v>Not Survived</v>
      </c>
      <c r="D802">
        <v>2</v>
      </c>
      <c r="E802" t="s">
        <v>861</v>
      </c>
      <c r="F802" t="s">
        <v>722</v>
      </c>
      <c r="G802" t="s">
        <v>669</v>
      </c>
      <c r="H802" t="s">
        <v>9</v>
      </c>
      <c r="I802" t="str">
        <f t="shared" si="62"/>
        <v>Male</v>
      </c>
      <c r="J802">
        <v>34</v>
      </c>
      <c r="K802" t="str">
        <f t="shared" si="63"/>
        <v>Adult</v>
      </c>
      <c r="L802" t="str" cm="1">
        <f t="array" ref="L802">_xlfn.IFS(J802&lt;13,"Child",J802&lt;18,"Teen",J802&lt;60,"Adult",J802&gt;60,"Old Age")</f>
        <v>Adult</v>
      </c>
      <c r="M802">
        <v>0</v>
      </c>
      <c r="N802">
        <v>0</v>
      </c>
      <c r="O802">
        <f t="shared" si="64"/>
        <v>1</v>
      </c>
      <c r="P802">
        <v>13</v>
      </c>
      <c r="Q802" t="str">
        <f t="shared" si="60"/>
        <v>High</v>
      </c>
      <c r="R802" t="s">
        <v>1514</v>
      </c>
    </row>
    <row r="803" spans="1:18" x14ac:dyDescent="0.45">
      <c r="A803">
        <v>802</v>
      </c>
      <c r="B803">
        <v>1</v>
      </c>
      <c r="C803" t="str">
        <f t="shared" si="61"/>
        <v>Survived</v>
      </c>
      <c r="D803">
        <v>2</v>
      </c>
      <c r="E803" t="s">
        <v>1437</v>
      </c>
      <c r="F803" t="s">
        <v>723</v>
      </c>
      <c r="G803" t="s">
        <v>263</v>
      </c>
      <c r="H803" t="s">
        <v>10</v>
      </c>
      <c r="I803" t="str">
        <f t="shared" si="62"/>
        <v>Female</v>
      </c>
      <c r="J803">
        <v>31</v>
      </c>
      <c r="K803" t="str">
        <f t="shared" si="63"/>
        <v>Adult</v>
      </c>
      <c r="L803" t="str" cm="1">
        <f t="array" ref="L803">_xlfn.IFS(J803&lt;13,"Child",J803&lt;18,"Teen",J803&lt;60,"Adult",J803&gt;60,"Old Age")</f>
        <v>Adult</v>
      </c>
      <c r="M803">
        <v>1</v>
      </c>
      <c r="N803">
        <v>1</v>
      </c>
      <c r="O803">
        <f t="shared" si="64"/>
        <v>3</v>
      </c>
      <c r="P803">
        <v>26.25</v>
      </c>
      <c r="Q803" t="str">
        <f t="shared" si="60"/>
        <v>High</v>
      </c>
      <c r="R803" t="s">
        <v>1514</v>
      </c>
    </row>
    <row r="804" spans="1:18" x14ac:dyDescent="0.45">
      <c r="A804">
        <v>803</v>
      </c>
      <c r="B804">
        <v>1</v>
      </c>
      <c r="C804" t="str">
        <f t="shared" si="61"/>
        <v>Survived</v>
      </c>
      <c r="D804">
        <v>1</v>
      </c>
      <c r="E804" t="s">
        <v>1438</v>
      </c>
      <c r="F804" t="s">
        <v>725</v>
      </c>
      <c r="G804" t="s">
        <v>273</v>
      </c>
      <c r="H804" t="s">
        <v>9</v>
      </c>
      <c r="I804" t="str">
        <f t="shared" si="62"/>
        <v>Male</v>
      </c>
      <c r="J804">
        <v>11</v>
      </c>
      <c r="K804" t="str">
        <f t="shared" si="63"/>
        <v>Child</v>
      </c>
      <c r="L804" t="str" cm="1">
        <f t="array" ref="L804">_xlfn.IFS(J804&lt;13,"Child",J804&lt;18,"Teen",J804&lt;60,"Adult",J804&gt;60,"Old Age")</f>
        <v>Child</v>
      </c>
      <c r="M804">
        <v>1</v>
      </c>
      <c r="N804">
        <v>2</v>
      </c>
      <c r="O804">
        <f t="shared" si="64"/>
        <v>4</v>
      </c>
      <c r="P804">
        <v>1214.4541999999999</v>
      </c>
      <c r="Q804" t="str">
        <f t="shared" si="60"/>
        <v>High</v>
      </c>
      <c r="R804" t="s">
        <v>1514</v>
      </c>
    </row>
    <row r="805" spans="1:18" x14ac:dyDescent="0.45">
      <c r="A805">
        <v>804</v>
      </c>
      <c r="B805">
        <v>1</v>
      </c>
      <c r="C805" t="str">
        <f t="shared" si="61"/>
        <v>Survived</v>
      </c>
      <c r="D805">
        <v>3</v>
      </c>
      <c r="E805" t="s">
        <v>1439</v>
      </c>
      <c r="F805" t="s">
        <v>725</v>
      </c>
      <c r="G805" t="s">
        <v>670</v>
      </c>
      <c r="H805" t="s">
        <v>9</v>
      </c>
      <c r="I805" t="str">
        <f t="shared" si="62"/>
        <v>Male</v>
      </c>
      <c r="J805">
        <v>0.42</v>
      </c>
      <c r="K805" t="str">
        <f t="shared" si="63"/>
        <v>Child</v>
      </c>
      <c r="L805" t="str" cm="1">
        <f t="array" ref="L805">_xlfn.IFS(J805&lt;13,"Child",J805&lt;18,"Teen",J805&lt;60,"Adult",J805&gt;60,"Old Age")</f>
        <v>Child</v>
      </c>
      <c r="M805">
        <v>0</v>
      </c>
      <c r="N805">
        <v>1</v>
      </c>
      <c r="O805">
        <f t="shared" si="64"/>
        <v>2</v>
      </c>
      <c r="P805">
        <v>8.5167000000000002</v>
      </c>
      <c r="Q805" t="str">
        <f t="shared" si="60"/>
        <v>High</v>
      </c>
      <c r="R805" t="s">
        <v>1515</v>
      </c>
    </row>
    <row r="806" spans="1:18" x14ac:dyDescent="0.45">
      <c r="A806">
        <v>805</v>
      </c>
      <c r="B806">
        <v>1</v>
      </c>
      <c r="C806" t="str">
        <f t="shared" si="61"/>
        <v>Survived</v>
      </c>
      <c r="D806">
        <v>3</v>
      </c>
      <c r="E806" t="s">
        <v>1440</v>
      </c>
      <c r="F806" t="s">
        <v>722</v>
      </c>
      <c r="G806" t="s">
        <v>671</v>
      </c>
      <c r="H806" t="s">
        <v>9</v>
      </c>
      <c r="I806" t="str">
        <f t="shared" si="62"/>
        <v>Male</v>
      </c>
      <c r="J806">
        <v>27</v>
      </c>
      <c r="K806" t="str">
        <f t="shared" si="63"/>
        <v>Adult</v>
      </c>
      <c r="L806" t="str" cm="1">
        <f t="array" ref="L806">_xlfn.IFS(J806&lt;13,"Child",J806&lt;18,"Teen",J806&lt;60,"Adult",J806&gt;60,"Old Age")</f>
        <v>Adult</v>
      </c>
      <c r="M806">
        <v>0</v>
      </c>
      <c r="N806">
        <v>0</v>
      </c>
      <c r="O806">
        <f t="shared" si="64"/>
        <v>1</v>
      </c>
      <c r="P806">
        <v>6.9749999999999996</v>
      </c>
      <c r="Q806" t="str">
        <f t="shared" si="60"/>
        <v>High</v>
      </c>
      <c r="R806" t="s">
        <v>1514</v>
      </c>
    </row>
    <row r="807" spans="1:18" x14ac:dyDescent="0.45">
      <c r="A807">
        <v>806</v>
      </c>
      <c r="B807">
        <v>0</v>
      </c>
      <c r="C807" t="str">
        <f t="shared" si="61"/>
        <v>Not Survived</v>
      </c>
      <c r="D807">
        <v>3</v>
      </c>
      <c r="E807" t="s">
        <v>1441</v>
      </c>
      <c r="F807" t="s">
        <v>722</v>
      </c>
      <c r="G807" t="s">
        <v>153</v>
      </c>
      <c r="H807" t="s">
        <v>9</v>
      </c>
      <c r="I807" t="str">
        <f t="shared" si="62"/>
        <v>Male</v>
      </c>
      <c r="J807">
        <v>31</v>
      </c>
      <c r="K807" t="str">
        <f t="shared" si="63"/>
        <v>Adult</v>
      </c>
      <c r="L807" t="str" cm="1">
        <f t="array" ref="L807">_xlfn.IFS(J807&lt;13,"Child",J807&lt;18,"Teen",J807&lt;60,"Adult",J807&gt;60,"Old Age")</f>
        <v>Adult</v>
      </c>
      <c r="M807">
        <v>0</v>
      </c>
      <c r="N807">
        <v>0</v>
      </c>
      <c r="O807">
        <f t="shared" si="64"/>
        <v>1</v>
      </c>
      <c r="P807">
        <v>7.7750000000000004</v>
      </c>
      <c r="Q807" t="str">
        <f t="shared" si="60"/>
        <v>High</v>
      </c>
      <c r="R807" t="s">
        <v>1514</v>
      </c>
    </row>
    <row r="808" spans="1:18" x14ac:dyDescent="0.45">
      <c r="A808">
        <v>807</v>
      </c>
      <c r="B808">
        <v>0</v>
      </c>
      <c r="C808" t="str">
        <f t="shared" si="61"/>
        <v>Not Survived</v>
      </c>
      <c r="D808">
        <v>1</v>
      </c>
      <c r="E808" t="s">
        <v>1442</v>
      </c>
      <c r="F808" t="s">
        <v>722</v>
      </c>
      <c r="G808" t="s">
        <v>295</v>
      </c>
      <c r="H808" t="s">
        <v>9</v>
      </c>
      <c r="I808" t="str">
        <f t="shared" si="62"/>
        <v>Male</v>
      </c>
      <c r="J808">
        <v>39</v>
      </c>
      <c r="K808" t="str">
        <f t="shared" si="63"/>
        <v>Adult</v>
      </c>
      <c r="L808" t="str" cm="1">
        <f t="array" ref="L808">_xlfn.IFS(J808&lt;13,"Child",J808&lt;18,"Teen",J808&lt;60,"Adult",J808&gt;60,"Old Age")</f>
        <v>Adult</v>
      </c>
      <c r="M808">
        <v>0</v>
      </c>
      <c r="N808">
        <v>0</v>
      </c>
      <c r="O808">
        <f t="shared" si="64"/>
        <v>1</v>
      </c>
      <c r="P808">
        <v>14.4542</v>
      </c>
      <c r="Q808" t="str">
        <f t="shared" si="60"/>
        <v>High</v>
      </c>
      <c r="R808" t="s">
        <v>1514</v>
      </c>
    </row>
    <row r="809" spans="1:18" x14ac:dyDescent="0.45">
      <c r="A809">
        <v>808</v>
      </c>
      <c r="B809">
        <v>0</v>
      </c>
      <c r="C809" t="str">
        <f t="shared" si="61"/>
        <v>Not Survived</v>
      </c>
      <c r="D809">
        <v>3</v>
      </c>
      <c r="E809" t="s">
        <v>1443</v>
      </c>
      <c r="F809" t="s">
        <v>724</v>
      </c>
      <c r="G809" t="s">
        <v>672</v>
      </c>
      <c r="H809" t="s">
        <v>10</v>
      </c>
      <c r="I809" t="str">
        <f t="shared" si="62"/>
        <v>Female</v>
      </c>
      <c r="J809">
        <v>18</v>
      </c>
      <c r="K809" t="str">
        <f t="shared" si="63"/>
        <v>Adult</v>
      </c>
      <c r="L809" t="str" cm="1">
        <f t="array" ref="L809">_xlfn.IFS(J809&lt;13,"Child",J809&lt;18,"Teen",J809&lt;60,"Adult",J809&gt;60,"Old Age")</f>
        <v>Adult</v>
      </c>
      <c r="M809">
        <v>0</v>
      </c>
      <c r="N809">
        <v>0</v>
      </c>
      <c r="O809">
        <f t="shared" si="64"/>
        <v>1</v>
      </c>
      <c r="P809">
        <v>7.7750000000000004</v>
      </c>
      <c r="Q809" t="str">
        <f t="shared" si="60"/>
        <v>High</v>
      </c>
      <c r="R809" t="s">
        <v>1514</v>
      </c>
    </row>
    <row r="810" spans="1:18" x14ac:dyDescent="0.45">
      <c r="A810">
        <v>809</v>
      </c>
      <c r="B810">
        <v>0</v>
      </c>
      <c r="C810" t="str">
        <f t="shared" si="61"/>
        <v>Not Survived</v>
      </c>
      <c r="D810">
        <v>2</v>
      </c>
      <c r="E810" t="s">
        <v>1444</v>
      </c>
      <c r="F810" t="s">
        <v>722</v>
      </c>
      <c r="G810" t="s">
        <v>88</v>
      </c>
      <c r="H810" t="s">
        <v>9</v>
      </c>
      <c r="I810" t="str">
        <f t="shared" si="62"/>
        <v>Male</v>
      </c>
      <c r="J810">
        <v>39</v>
      </c>
      <c r="K810" t="str">
        <f t="shared" si="63"/>
        <v>Adult</v>
      </c>
      <c r="L810" t="str" cm="1">
        <f t="array" ref="L810">_xlfn.IFS(J810&lt;13,"Child",J810&lt;18,"Teen",J810&lt;60,"Adult",J810&gt;60,"Old Age")</f>
        <v>Adult</v>
      </c>
      <c r="M810">
        <v>0</v>
      </c>
      <c r="N810">
        <v>0</v>
      </c>
      <c r="O810">
        <f t="shared" si="64"/>
        <v>1</v>
      </c>
      <c r="P810">
        <v>13</v>
      </c>
      <c r="Q810" t="str">
        <f t="shared" si="60"/>
        <v>High</v>
      </c>
      <c r="R810" t="s">
        <v>1514</v>
      </c>
    </row>
    <row r="811" spans="1:18" x14ac:dyDescent="0.45">
      <c r="A811">
        <v>810</v>
      </c>
      <c r="B811">
        <v>1</v>
      </c>
      <c r="C811" t="str">
        <f t="shared" si="61"/>
        <v>Survived</v>
      </c>
      <c r="D811">
        <v>1</v>
      </c>
      <c r="E811" t="s">
        <v>1445</v>
      </c>
      <c r="F811" t="s">
        <v>723</v>
      </c>
      <c r="G811" t="s">
        <v>616</v>
      </c>
      <c r="H811" t="s">
        <v>10</v>
      </c>
      <c r="I811" t="str">
        <f t="shared" si="62"/>
        <v>Female</v>
      </c>
      <c r="J811">
        <v>33</v>
      </c>
      <c r="K811" t="str">
        <f t="shared" si="63"/>
        <v>Adult</v>
      </c>
      <c r="L811" t="str" cm="1">
        <f t="array" ref="L811">_xlfn.IFS(J811&lt;13,"Child",J811&lt;18,"Teen",J811&lt;60,"Adult",J811&gt;60,"Old Age")</f>
        <v>Adult</v>
      </c>
      <c r="M811">
        <v>1</v>
      </c>
      <c r="N811">
        <v>0</v>
      </c>
      <c r="O811">
        <f t="shared" si="64"/>
        <v>2</v>
      </c>
      <c r="P811">
        <v>53.1</v>
      </c>
      <c r="Q811" t="str">
        <f t="shared" si="60"/>
        <v>High</v>
      </c>
      <c r="R811" t="s">
        <v>1514</v>
      </c>
    </row>
    <row r="812" spans="1:18" x14ac:dyDescent="0.45">
      <c r="A812">
        <v>811</v>
      </c>
      <c r="B812">
        <v>0</v>
      </c>
      <c r="C812" t="str">
        <f t="shared" si="61"/>
        <v>Not Survived</v>
      </c>
      <c r="D812">
        <v>3</v>
      </c>
      <c r="E812" t="s">
        <v>922</v>
      </c>
      <c r="F812" t="s">
        <v>722</v>
      </c>
      <c r="G812" t="s">
        <v>673</v>
      </c>
      <c r="H812" t="s">
        <v>9</v>
      </c>
      <c r="I812" t="str">
        <f t="shared" si="62"/>
        <v>Male</v>
      </c>
      <c r="J812">
        <v>26</v>
      </c>
      <c r="K812" t="str">
        <f t="shared" si="63"/>
        <v>Adult</v>
      </c>
      <c r="L812" t="str" cm="1">
        <f t="array" ref="L812">_xlfn.IFS(J812&lt;13,"Child",J812&lt;18,"Teen",J812&lt;60,"Adult",J812&gt;60,"Old Age")</f>
        <v>Adult</v>
      </c>
      <c r="M812">
        <v>0</v>
      </c>
      <c r="N812">
        <v>0</v>
      </c>
      <c r="O812">
        <f t="shared" si="64"/>
        <v>1</v>
      </c>
      <c r="P812">
        <v>7.8875000000000002</v>
      </c>
      <c r="Q812" t="str">
        <f t="shared" si="60"/>
        <v>High</v>
      </c>
      <c r="R812" t="s">
        <v>1514</v>
      </c>
    </row>
    <row r="813" spans="1:18" x14ac:dyDescent="0.45">
      <c r="A813">
        <v>812</v>
      </c>
      <c r="B813">
        <v>0</v>
      </c>
      <c r="C813" t="str">
        <f t="shared" si="61"/>
        <v>Not Survived</v>
      </c>
      <c r="D813">
        <v>3</v>
      </c>
      <c r="E813" t="s">
        <v>744</v>
      </c>
      <c r="F813" t="s">
        <v>722</v>
      </c>
      <c r="G813" t="s">
        <v>674</v>
      </c>
      <c r="H813" t="s">
        <v>9</v>
      </c>
      <c r="I813" t="str">
        <f t="shared" si="62"/>
        <v>Male</v>
      </c>
      <c r="J813">
        <v>39</v>
      </c>
      <c r="K813" t="str">
        <f t="shared" si="63"/>
        <v>Adult</v>
      </c>
      <c r="L813" t="str" cm="1">
        <f t="array" ref="L813">_xlfn.IFS(J813&lt;13,"Child",J813&lt;18,"Teen",J813&lt;60,"Adult",J813&gt;60,"Old Age")</f>
        <v>Adult</v>
      </c>
      <c r="M813">
        <v>0</v>
      </c>
      <c r="N813">
        <v>0</v>
      </c>
      <c r="O813">
        <f t="shared" si="64"/>
        <v>1</v>
      </c>
      <c r="P813">
        <v>24.15</v>
      </c>
      <c r="Q813" t="str">
        <f t="shared" si="60"/>
        <v>High</v>
      </c>
      <c r="R813" t="s">
        <v>1514</v>
      </c>
    </row>
    <row r="814" spans="1:18" x14ac:dyDescent="0.45">
      <c r="A814">
        <v>813</v>
      </c>
      <c r="B814">
        <v>0</v>
      </c>
      <c r="C814" t="str">
        <f t="shared" si="61"/>
        <v>Not Survived</v>
      </c>
      <c r="D814">
        <v>2</v>
      </c>
      <c r="E814" t="s">
        <v>1446</v>
      </c>
      <c r="F814" t="s">
        <v>722</v>
      </c>
      <c r="G814" t="s">
        <v>675</v>
      </c>
      <c r="H814" t="s">
        <v>9</v>
      </c>
      <c r="I814" t="str">
        <f t="shared" si="62"/>
        <v>Male</v>
      </c>
      <c r="J814">
        <v>35</v>
      </c>
      <c r="K814" t="str">
        <f t="shared" si="63"/>
        <v>Adult</v>
      </c>
      <c r="L814" t="str" cm="1">
        <f t="array" ref="L814">_xlfn.IFS(J814&lt;13,"Child",J814&lt;18,"Teen",J814&lt;60,"Adult",J814&gt;60,"Old Age")</f>
        <v>Adult</v>
      </c>
      <c r="M814">
        <v>0</v>
      </c>
      <c r="N814">
        <v>0</v>
      </c>
      <c r="O814">
        <f t="shared" si="64"/>
        <v>1</v>
      </c>
      <c r="P814" t="s">
        <v>18</v>
      </c>
      <c r="Q814" t="str">
        <f t="shared" si="60"/>
        <v>High</v>
      </c>
      <c r="R814" t="s">
        <v>1514</v>
      </c>
    </row>
    <row r="815" spans="1:18" x14ac:dyDescent="0.45">
      <c r="A815">
        <v>814</v>
      </c>
      <c r="B815">
        <v>0</v>
      </c>
      <c r="C815" t="str">
        <f t="shared" si="61"/>
        <v>Not Survived</v>
      </c>
      <c r="D815">
        <v>3</v>
      </c>
      <c r="E815" t="s">
        <v>1447</v>
      </c>
      <c r="F815" t="s">
        <v>724</v>
      </c>
      <c r="G815" t="s">
        <v>68</v>
      </c>
      <c r="H815" t="s">
        <v>10</v>
      </c>
      <c r="I815" t="str">
        <f t="shared" si="62"/>
        <v>Female</v>
      </c>
      <c r="J815">
        <v>6</v>
      </c>
      <c r="K815" t="str">
        <f t="shared" si="63"/>
        <v>Child</v>
      </c>
      <c r="L815" t="str" cm="1">
        <f t="array" ref="L815">_xlfn.IFS(J815&lt;13,"Child",J815&lt;18,"Teen",J815&lt;60,"Adult",J815&gt;60,"Old Age")</f>
        <v>Child</v>
      </c>
      <c r="M815">
        <v>4</v>
      </c>
      <c r="N815">
        <v>2</v>
      </c>
      <c r="O815">
        <f t="shared" si="64"/>
        <v>7</v>
      </c>
      <c r="P815">
        <v>31.274999999999999</v>
      </c>
      <c r="Q815" t="str">
        <f t="shared" si="60"/>
        <v>High</v>
      </c>
      <c r="R815" t="s">
        <v>1514</v>
      </c>
    </row>
    <row r="816" spans="1:18" x14ac:dyDescent="0.45">
      <c r="A816">
        <v>815</v>
      </c>
      <c r="B816">
        <v>0</v>
      </c>
      <c r="C816" t="str">
        <f t="shared" si="61"/>
        <v>Not Survived</v>
      </c>
      <c r="D816">
        <v>3</v>
      </c>
      <c r="E816" t="s">
        <v>1448</v>
      </c>
      <c r="F816" t="s">
        <v>722</v>
      </c>
      <c r="G816" t="s">
        <v>676</v>
      </c>
      <c r="H816" t="s">
        <v>9</v>
      </c>
      <c r="I816" t="str">
        <f t="shared" si="62"/>
        <v>Male</v>
      </c>
      <c r="J816">
        <v>30.5</v>
      </c>
      <c r="K816" t="str">
        <f t="shared" si="63"/>
        <v>Adult</v>
      </c>
      <c r="L816" t="str" cm="1">
        <f t="array" ref="L816">_xlfn.IFS(J816&lt;13,"Child",J816&lt;18,"Teen",J816&lt;60,"Adult",J816&gt;60,"Old Age")</f>
        <v>Adult</v>
      </c>
      <c r="M816">
        <v>0</v>
      </c>
      <c r="N816">
        <v>0</v>
      </c>
      <c r="O816">
        <f t="shared" si="64"/>
        <v>1</v>
      </c>
      <c r="P816" t="s">
        <v>12</v>
      </c>
      <c r="Q816" t="str">
        <f t="shared" si="60"/>
        <v>High</v>
      </c>
      <c r="R816" t="s">
        <v>1514</v>
      </c>
    </row>
    <row r="817" spans="1:18" x14ac:dyDescent="0.45">
      <c r="A817">
        <v>816</v>
      </c>
      <c r="B817">
        <v>0</v>
      </c>
      <c r="C817" t="str">
        <f t="shared" si="61"/>
        <v>Not Survived</v>
      </c>
      <c r="D817">
        <v>1</v>
      </c>
      <c r="E817" t="s">
        <v>1432</v>
      </c>
      <c r="F817" t="s">
        <v>722</v>
      </c>
      <c r="G817" t="s">
        <v>677</v>
      </c>
      <c r="H817" t="s">
        <v>9</v>
      </c>
      <c r="I817" t="str">
        <f t="shared" si="62"/>
        <v>Male</v>
      </c>
      <c r="J817">
        <v>28</v>
      </c>
      <c r="K817" t="str">
        <f t="shared" si="63"/>
        <v>Adult</v>
      </c>
      <c r="L817" t="str" cm="1">
        <f t="array" ref="L817">_xlfn.IFS(J817&lt;13,"Child",J817&lt;18,"Teen",J817&lt;60,"Adult",J817&gt;60,"Old Age")</f>
        <v>Adult</v>
      </c>
      <c r="M817">
        <v>0</v>
      </c>
      <c r="N817">
        <v>0</v>
      </c>
      <c r="O817">
        <f t="shared" si="64"/>
        <v>1</v>
      </c>
      <c r="P817">
        <v>14.4542</v>
      </c>
      <c r="Q817" t="str">
        <f t="shared" si="60"/>
        <v>High</v>
      </c>
      <c r="R817" t="s">
        <v>1514</v>
      </c>
    </row>
    <row r="818" spans="1:18" x14ac:dyDescent="0.45">
      <c r="A818">
        <v>817</v>
      </c>
      <c r="B818">
        <v>0</v>
      </c>
      <c r="C818" t="str">
        <f t="shared" si="61"/>
        <v>Not Survived</v>
      </c>
      <c r="D818">
        <v>3</v>
      </c>
      <c r="E818" t="s">
        <v>1449</v>
      </c>
      <c r="F818" t="s">
        <v>724</v>
      </c>
      <c r="G818" t="s">
        <v>678</v>
      </c>
      <c r="H818" t="s">
        <v>10</v>
      </c>
      <c r="I818" t="str">
        <f t="shared" si="62"/>
        <v>Female</v>
      </c>
      <c r="J818">
        <v>23</v>
      </c>
      <c r="K818" t="str">
        <f t="shared" si="63"/>
        <v>Adult</v>
      </c>
      <c r="L818" t="str" cm="1">
        <f t="array" ref="L818">_xlfn.IFS(J818&lt;13,"Child",J818&lt;18,"Teen",J818&lt;60,"Adult",J818&gt;60,"Old Age")</f>
        <v>Adult</v>
      </c>
      <c r="M818">
        <v>0</v>
      </c>
      <c r="N818">
        <v>0</v>
      </c>
      <c r="O818">
        <f t="shared" si="64"/>
        <v>1</v>
      </c>
      <c r="P818">
        <v>7.9249999999999998</v>
      </c>
      <c r="Q818" t="str">
        <f t="shared" si="60"/>
        <v>High</v>
      </c>
      <c r="R818" t="s">
        <v>1514</v>
      </c>
    </row>
    <row r="819" spans="1:18" x14ac:dyDescent="0.45">
      <c r="A819">
        <v>818</v>
      </c>
      <c r="B819">
        <v>0</v>
      </c>
      <c r="C819" t="str">
        <f t="shared" si="61"/>
        <v>Not Survived</v>
      </c>
      <c r="D819">
        <v>2</v>
      </c>
      <c r="E819" t="s">
        <v>1450</v>
      </c>
      <c r="F819" t="s">
        <v>722</v>
      </c>
      <c r="G819" t="s">
        <v>679</v>
      </c>
      <c r="H819" t="s">
        <v>9</v>
      </c>
      <c r="I819" t="str">
        <f t="shared" si="62"/>
        <v>Male</v>
      </c>
      <c r="J819">
        <v>31</v>
      </c>
      <c r="K819" t="str">
        <f t="shared" si="63"/>
        <v>Adult</v>
      </c>
      <c r="L819" t="str" cm="1">
        <f t="array" ref="L819">_xlfn.IFS(J819&lt;13,"Child",J819&lt;18,"Teen",J819&lt;60,"Adult",J819&gt;60,"Old Age")</f>
        <v>Adult</v>
      </c>
      <c r="M819">
        <v>1</v>
      </c>
      <c r="N819">
        <v>1</v>
      </c>
      <c r="O819">
        <f t="shared" si="64"/>
        <v>3</v>
      </c>
      <c r="P819" t="s">
        <v>47</v>
      </c>
      <c r="Q819" t="str">
        <f t="shared" si="60"/>
        <v>High</v>
      </c>
      <c r="R819" t="s">
        <v>1515</v>
      </c>
    </row>
    <row r="820" spans="1:18" x14ac:dyDescent="0.45">
      <c r="A820">
        <v>819</v>
      </c>
      <c r="B820">
        <v>0</v>
      </c>
      <c r="C820" t="str">
        <f t="shared" si="61"/>
        <v>Not Survived</v>
      </c>
      <c r="D820">
        <v>3</v>
      </c>
      <c r="E820" t="s">
        <v>1451</v>
      </c>
      <c r="F820" t="s">
        <v>722</v>
      </c>
      <c r="G820" t="s">
        <v>680</v>
      </c>
      <c r="H820" t="s">
        <v>9</v>
      </c>
      <c r="I820" t="str">
        <f t="shared" si="62"/>
        <v>Male</v>
      </c>
      <c r="J820">
        <v>43</v>
      </c>
      <c r="K820" t="str">
        <f t="shared" si="63"/>
        <v>Adult</v>
      </c>
      <c r="L820" t="str" cm="1">
        <f t="array" ref="L820">_xlfn.IFS(J820&lt;13,"Child",J820&lt;18,"Teen",J820&lt;60,"Adult",J820&gt;60,"Old Age")</f>
        <v>Adult</v>
      </c>
      <c r="M820">
        <v>0</v>
      </c>
      <c r="N820">
        <v>0</v>
      </c>
      <c r="O820">
        <f t="shared" si="64"/>
        <v>1</v>
      </c>
      <c r="P820">
        <v>6.45</v>
      </c>
      <c r="Q820" t="str">
        <f t="shared" si="60"/>
        <v>High</v>
      </c>
      <c r="R820" t="s">
        <v>1514</v>
      </c>
    </row>
    <row r="821" spans="1:18" x14ac:dyDescent="0.45">
      <c r="A821">
        <v>820</v>
      </c>
      <c r="B821">
        <v>0</v>
      </c>
      <c r="C821" t="str">
        <f t="shared" si="61"/>
        <v>Not Survived</v>
      </c>
      <c r="D821">
        <v>3</v>
      </c>
      <c r="E821" t="s">
        <v>1452</v>
      </c>
      <c r="F821" t="s">
        <v>725</v>
      </c>
      <c r="G821" t="s">
        <v>116</v>
      </c>
      <c r="H821" t="s">
        <v>9</v>
      </c>
      <c r="I821" t="str">
        <f t="shared" si="62"/>
        <v>Male</v>
      </c>
      <c r="J821">
        <v>10</v>
      </c>
      <c r="K821" t="str">
        <f t="shared" si="63"/>
        <v>Child</v>
      </c>
      <c r="L821" t="str" cm="1">
        <f t="array" ref="L821">_xlfn.IFS(J821&lt;13,"Child",J821&lt;18,"Teen",J821&lt;60,"Adult",J821&gt;60,"Old Age")</f>
        <v>Child</v>
      </c>
      <c r="M821">
        <v>3</v>
      </c>
      <c r="N821">
        <v>2</v>
      </c>
      <c r="O821">
        <f t="shared" si="64"/>
        <v>6</v>
      </c>
      <c r="P821">
        <v>27.9</v>
      </c>
      <c r="Q821" t="str">
        <f t="shared" si="60"/>
        <v>High</v>
      </c>
      <c r="R821" t="s">
        <v>1514</v>
      </c>
    </row>
    <row r="822" spans="1:18" x14ac:dyDescent="0.45">
      <c r="A822">
        <v>821</v>
      </c>
      <c r="B822">
        <v>1</v>
      </c>
      <c r="C822" t="str">
        <f t="shared" si="61"/>
        <v>Survived</v>
      </c>
      <c r="D822">
        <v>1</v>
      </c>
      <c r="E822" t="s">
        <v>1453</v>
      </c>
      <c r="F822" t="s">
        <v>723</v>
      </c>
      <c r="G822" t="s">
        <v>324</v>
      </c>
      <c r="H822" t="s">
        <v>10</v>
      </c>
      <c r="I822" t="str">
        <f t="shared" si="62"/>
        <v>Female</v>
      </c>
      <c r="J822">
        <v>52</v>
      </c>
      <c r="K822" t="str">
        <f t="shared" si="63"/>
        <v>Adult</v>
      </c>
      <c r="L822" t="str" cm="1">
        <f t="array" ref="L822">_xlfn.IFS(J822&lt;13,"Child",J822&lt;18,"Teen",J822&lt;60,"Adult",J822&gt;60,"Old Age")</f>
        <v>Adult</v>
      </c>
      <c r="M822">
        <v>1</v>
      </c>
      <c r="N822">
        <v>1</v>
      </c>
      <c r="O822">
        <f t="shared" si="64"/>
        <v>3</v>
      </c>
      <c r="P822">
        <v>93.5</v>
      </c>
      <c r="Q822" t="str">
        <f t="shared" si="60"/>
        <v>High</v>
      </c>
      <c r="R822" t="s">
        <v>1514</v>
      </c>
    </row>
    <row r="823" spans="1:18" x14ac:dyDescent="0.45">
      <c r="A823">
        <v>822</v>
      </c>
      <c r="B823">
        <v>1</v>
      </c>
      <c r="C823" t="str">
        <f t="shared" si="61"/>
        <v>Survived</v>
      </c>
      <c r="D823">
        <v>3</v>
      </c>
      <c r="E823" t="s">
        <v>1454</v>
      </c>
      <c r="F823" t="s">
        <v>722</v>
      </c>
      <c r="G823" t="s">
        <v>681</v>
      </c>
      <c r="H823" t="s">
        <v>9</v>
      </c>
      <c r="I823" t="str">
        <f t="shared" si="62"/>
        <v>Male</v>
      </c>
      <c r="J823">
        <v>27</v>
      </c>
      <c r="K823" t="str">
        <f t="shared" si="63"/>
        <v>Adult</v>
      </c>
      <c r="L823" t="str" cm="1">
        <f t="array" ref="L823">_xlfn.IFS(J823&lt;13,"Child",J823&lt;18,"Teen",J823&lt;60,"Adult",J823&gt;60,"Old Age")</f>
        <v>Adult</v>
      </c>
      <c r="M823">
        <v>0</v>
      </c>
      <c r="N823">
        <v>0</v>
      </c>
      <c r="O823">
        <f t="shared" si="64"/>
        <v>1</v>
      </c>
      <c r="P823">
        <v>8.6624999999999996</v>
      </c>
      <c r="Q823" t="str">
        <f t="shared" si="60"/>
        <v>High</v>
      </c>
      <c r="R823" t="s">
        <v>1514</v>
      </c>
    </row>
    <row r="824" spans="1:18" x14ac:dyDescent="0.45">
      <c r="A824">
        <v>823</v>
      </c>
      <c r="B824">
        <v>0</v>
      </c>
      <c r="C824" t="str">
        <f t="shared" si="61"/>
        <v>Not Survived</v>
      </c>
      <c r="D824">
        <v>1</v>
      </c>
      <c r="E824" t="s">
        <v>1455</v>
      </c>
      <c r="F824" t="s">
        <v>738</v>
      </c>
      <c r="G824" t="s">
        <v>682</v>
      </c>
      <c r="H824" t="s">
        <v>9</v>
      </c>
      <c r="I824" t="str">
        <f t="shared" si="62"/>
        <v>Male</v>
      </c>
      <c r="J824">
        <v>38</v>
      </c>
      <c r="K824" t="str">
        <f t="shared" si="63"/>
        <v>Adult</v>
      </c>
      <c r="L824" t="str" cm="1">
        <f t="array" ref="L824">_xlfn.IFS(J824&lt;13,"Child",J824&lt;18,"Teen",J824&lt;60,"Adult",J824&gt;60,"Old Age")</f>
        <v>Adult</v>
      </c>
      <c r="M824">
        <v>0</v>
      </c>
      <c r="N824">
        <v>0</v>
      </c>
      <c r="O824">
        <f t="shared" si="64"/>
        <v>1</v>
      </c>
      <c r="P824">
        <v>14.4542</v>
      </c>
      <c r="Q824" t="str">
        <f t="shared" si="60"/>
        <v>High</v>
      </c>
      <c r="R824" t="s">
        <v>1514</v>
      </c>
    </row>
    <row r="825" spans="1:18" x14ac:dyDescent="0.45">
      <c r="A825">
        <v>824</v>
      </c>
      <c r="B825">
        <v>1</v>
      </c>
      <c r="C825" t="str">
        <f t="shared" si="61"/>
        <v>Survived</v>
      </c>
      <c r="D825">
        <v>3</v>
      </c>
      <c r="E825" t="s">
        <v>753</v>
      </c>
      <c r="F825" t="s">
        <v>723</v>
      </c>
      <c r="G825" t="s">
        <v>635</v>
      </c>
      <c r="H825" t="s">
        <v>10</v>
      </c>
      <c r="I825" t="str">
        <f t="shared" si="62"/>
        <v>Female</v>
      </c>
      <c r="J825">
        <v>27</v>
      </c>
      <c r="K825" t="str">
        <f t="shared" si="63"/>
        <v>Adult</v>
      </c>
      <c r="L825" t="str" cm="1">
        <f t="array" ref="L825">_xlfn.IFS(J825&lt;13,"Child",J825&lt;18,"Teen",J825&lt;60,"Adult",J825&gt;60,"Old Age")</f>
        <v>Adult</v>
      </c>
      <c r="M825">
        <v>0</v>
      </c>
      <c r="N825">
        <v>1</v>
      </c>
      <c r="O825">
        <f t="shared" si="64"/>
        <v>2</v>
      </c>
      <c r="P825">
        <v>12.475</v>
      </c>
      <c r="Q825" t="str">
        <f t="shared" si="60"/>
        <v>High</v>
      </c>
      <c r="R825" t="s">
        <v>1514</v>
      </c>
    </row>
    <row r="826" spans="1:18" x14ac:dyDescent="0.45">
      <c r="A826">
        <v>825</v>
      </c>
      <c r="B826">
        <v>0</v>
      </c>
      <c r="C826" t="str">
        <f t="shared" si="61"/>
        <v>Not Survived</v>
      </c>
      <c r="D826">
        <v>3</v>
      </c>
      <c r="E826" t="s">
        <v>1456</v>
      </c>
      <c r="F826" t="s">
        <v>725</v>
      </c>
      <c r="G826" t="s">
        <v>103</v>
      </c>
      <c r="H826" t="s">
        <v>9</v>
      </c>
      <c r="I826" t="str">
        <f t="shared" si="62"/>
        <v>Male</v>
      </c>
      <c r="J826">
        <v>2</v>
      </c>
      <c r="K826" t="str">
        <f t="shared" si="63"/>
        <v>Child</v>
      </c>
      <c r="L826" t="str" cm="1">
        <f t="array" ref="L826">_xlfn.IFS(J826&lt;13,"Child",J826&lt;18,"Teen",J826&lt;60,"Adult",J826&gt;60,"Old Age")</f>
        <v>Child</v>
      </c>
      <c r="M826">
        <v>4</v>
      </c>
      <c r="N826">
        <v>1</v>
      </c>
      <c r="O826">
        <f t="shared" si="64"/>
        <v>6</v>
      </c>
      <c r="P826">
        <v>39.6875</v>
      </c>
      <c r="Q826" t="str">
        <f t="shared" si="60"/>
        <v>High</v>
      </c>
      <c r="R826" t="s">
        <v>1514</v>
      </c>
    </row>
    <row r="827" spans="1:18" x14ac:dyDescent="0.45">
      <c r="A827">
        <v>826</v>
      </c>
      <c r="B827">
        <v>0</v>
      </c>
      <c r="C827" t="str">
        <f t="shared" si="61"/>
        <v>Not Survived</v>
      </c>
      <c r="D827">
        <v>3</v>
      </c>
      <c r="E827" t="s">
        <v>920</v>
      </c>
      <c r="F827" t="s">
        <v>722</v>
      </c>
      <c r="G827" t="s">
        <v>410</v>
      </c>
      <c r="H827" t="s">
        <v>9</v>
      </c>
      <c r="I827" t="str">
        <f t="shared" si="62"/>
        <v>Male</v>
      </c>
      <c r="J827">
        <v>28</v>
      </c>
      <c r="K827" t="str">
        <f t="shared" si="63"/>
        <v>Adult</v>
      </c>
      <c r="L827" t="str" cm="1">
        <f t="array" ref="L827">_xlfn.IFS(J827&lt;13,"Child",J827&lt;18,"Teen",J827&lt;60,"Adult",J827&gt;60,"Old Age")</f>
        <v>Adult</v>
      </c>
      <c r="M827">
        <v>0</v>
      </c>
      <c r="N827">
        <v>0</v>
      </c>
      <c r="O827">
        <f t="shared" si="64"/>
        <v>1</v>
      </c>
      <c r="P827">
        <v>6.95</v>
      </c>
      <c r="Q827" t="str">
        <f t="shared" si="60"/>
        <v>High</v>
      </c>
      <c r="R827" t="s">
        <v>1516</v>
      </c>
    </row>
    <row r="828" spans="1:18" x14ac:dyDescent="0.45">
      <c r="A828">
        <v>827</v>
      </c>
      <c r="B828">
        <v>0</v>
      </c>
      <c r="C828" t="str">
        <f t="shared" si="61"/>
        <v>Not Survived</v>
      </c>
      <c r="D828">
        <v>3</v>
      </c>
      <c r="E828" t="s">
        <v>1457</v>
      </c>
      <c r="F828" t="s">
        <v>722</v>
      </c>
      <c r="G828" t="s">
        <v>597</v>
      </c>
      <c r="H828" t="s">
        <v>9</v>
      </c>
      <c r="I828" t="str">
        <f t="shared" si="62"/>
        <v>Male</v>
      </c>
      <c r="J828">
        <v>28</v>
      </c>
      <c r="K828" t="str">
        <f t="shared" si="63"/>
        <v>Adult</v>
      </c>
      <c r="L828" t="str" cm="1">
        <f t="array" ref="L828">_xlfn.IFS(J828&lt;13,"Child",J828&lt;18,"Teen",J828&lt;60,"Adult",J828&gt;60,"Old Age")</f>
        <v>Adult</v>
      </c>
      <c r="M828">
        <v>0</v>
      </c>
      <c r="N828">
        <v>0</v>
      </c>
      <c r="O828">
        <f t="shared" si="64"/>
        <v>1</v>
      </c>
      <c r="P828">
        <v>56.495800000000003</v>
      </c>
      <c r="Q828" t="str">
        <f t="shared" si="60"/>
        <v>High</v>
      </c>
      <c r="R828" t="s">
        <v>1514</v>
      </c>
    </row>
    <row r="829" spans="1:18" x14ac:dyDescent="0.45">
      <c r="A829">
        <v>828</v>
      </c>
      <c r="B829">
        <v>1</v>
      </c>
      <c r="C829" t="str">
        <f t="shared" si="61"/>
        <v>Survived</v>
      </c>
      <c r="D829">
        <v>2</v>
      </c>
      <c r="E829" t="s">
        <v>1458</v>
      </c>
      <c r="F829" t="s">
        <v>725</v>
      </c>
      <c r="G829" t="s">
        <v>679</v>
      </c>
      <c r="H829" t="s">
        <v>9</v>
      </c>
      <c r="I829" t="str">
        <f t="shared" si="62"/>
        <v>Male</v>
      </c>
      <c r="J829">
        <v>1</v>
      </c>
      <c r="K829" t="str">
        <f t="shared" si="63"/>
        <v>Child</v>
      </c>
      <c r="L829" t="str" cm="1">
        <f t="array" ref="L829">_xlfn.IFS(J829&lt;13,"Child",J829&lt;18,"Teen",J829&lt;60,"Adult",J829&gt;60,"Old Age")</f>
        <v>Child</v>
      </c>
      <c r="M829">
        <v>0</v>
      </c>
      <c r="N829">
        <v>2</v>
      </c>
      <c r="O829">
        <f t="shared" si="64"/>
        <v>3</v>
      </c>
      <c r="P829" t="s">
        <v>47</v>
      </c>
      <c r="Q829" t="str">
        <f t="shared" si="60"/>
        <v>High</v>
      </c>
      <c r="R829" t="s">
        <v>1515</v>
      </c>
    </row>
    <row r="830" spans="1:18" x14ac:dyDescent="0.45">
      <c r="A830">
        <v>829</v>
      </c>
      <c r="B830">
        <v>1</v>
      </c>
      <c r="C830" t="str">
        <f t="shared" si="61"/>
        <v>Survived</v>
      </c>
      <c r="D830">
        <v>3</v>
      </c>
      <c r="E830" t="s">
        <v>1459</v>
      </c>
      <c r="F830" t="s">
        <v>722</v>
      </c>
      <c r="G830" t="s">
        <v>683</v>
      </c>
      <c r="H830" t="s">
        <v>9</v>
      </c>
      <c r="I830" t="str">
        <f t="shared" si="62"/>
        <v>Male</v>
      </c>
      <c r="J830">
        <v>28</v>
      </c>
      <c r="K830" t="str">
        <f t="shared" si="63"/>
        <v>Adult</v>
      </c>
      <c r="L830" t="str" cm="1">
        <f t="array" ref="L830">_xlfn.IFS(J830&lt;13,"Child",J830&lt;18,"Teen",J830&lt;60,"Adult",J830&gt;60,"Old Age")</f>
        <v>Adult</v>
      </c>
      <c r="M830">
        <v>0</v>
      </c>
      <c r="N830">
        <v>0</v>
      </c>
      <c r="O830">
        <f t="shared" si="64"/>
        <v>1</v>
      </c>
      <c r="P830">
        <v>7.75</v>
      </c>
      <c r="Q830" t="str">
        <f t="shared" si="60"/>
        <v>High</v>
      </c>
      <c r="R830" t="s">
        <v>1516</v>
      </c>
    </row>
    <row r="831" spans="1:18" x14ac:dyDescent="0.45">
      <c r="A831">
        <v>830</v>
      </c>
      <c r="B831">
        <v>1</v>
      </c>
      <c r="C831" t="str">
        <f t="shared" si="61"/>
        <v>Survived</v>
      </c>
      <c r="D831">
        <v>1</v>
      </c>
      <c r="E831" t="s">
        <v>1460</v>
      </c>
      <c r="F831" t="s">
        <v>723</v>
      </c>
      <c r="G831" t="s">
        <v>684</v>
      </c>
      <c r="H831" t="s">
        <v>10</v>
      </c>
      <c r="I831" t="str">
        <f t="shared" si="62"/>
        <v>Female</v>
      </c>
      <c r="J831">
        <v>62</v>
      </c>
      <c r="K831" t="str">
        <f t="shared" si="63"/>
        <v>Old Age</v>
      </c>
      <c r="L831" t="str" cm="1">
        <f t="array" ref="L831">_xlfn.IFS(J831&lt;13,"Child",J831&lt;18,"Teen",J831&lt;60,"Adult",J831&gt;60,"Old Age")</f>
        <v>Old Age</v>
      </c>
      <c r="M831">
        <v>0</v>
      </c>
      <c r="N831">
        <v>0</v>
      </c>
      <c r="O831">
        <f t="shared" si="64"/>
        <v>1</v>
      </c>
      <c r="P831">
        <v>814.45420000000001</v>
      </c>
      <c r="Q831" t="str">
        <f t="shared" si="60"/>
        <v>High</v>
      </c>
      <c r="R831" t="s">
        <v>1514</v>
      </c>
    </row>
    <row r="832" spans="1:18" x14ac:dyDescent="0.45">
      <c r="A832">
        <v>831</v>
      </c>
      <c r="B832">
        <v>1</v>
      </c>
      <c r="C832" t="str">
        <f t="shared" si="61"/>
        <v>Survived</v>
      </c>
      <c r="D832">
        <v>3</v>
      </c>
      <c r="E832" t="s">
        <v>1461</v>
      </c>
      <c r="F832" t="s">
        <v>723</v>
      </c>
      <c r="G832" t="s">
        <v>547</v>
      </c>
      <c r="H832" t="s">
        <v>10</v>
      </c>
      <c r="I832" t="str">
        <f t="shared" si="62"/>
        <v>Female</v>
      </c>
      <c r="J832">
        <v>15</v>
      </c>
      <c r="K832" t="str">
        <f t="shared" si="63"/>
        <v>Teen</v>
      </c>
      <c r="L832" t="str" cm="1">
        <f t="array" ref="L832">_xlfn.IFS(J832&lt;13,"Child",J832&lt;18,"Teen",J832&lt;60,"Adult",J832&gt;60,"Old Age")</f>
        <v>Teen</v>
      </c>
      <c r="M832">
        <v>1</v>
      </c>
      <c r="N832">
        <v>0</v>
      </c>
      <c r="O832">
        <f t="shared" si="64"/>
        <v>2</v>
      </c>
      <c r="P832">
        <v>14.4542</v>
      </c>
      <c r="Q832" t="str">
        <f t="shared" si="60"/>
        <v>High</v>
      </c>
      <c r="R832" t="s">
        <v>1515</v>
      </c>
    </row>
    <row r="833" spans="1:18" x14ac:dyDescent="0.45">
      <c r="A833">
        <v>832</v>
      </c>
      <c r="B833">
        <v>1</v>
      </c>
      <c r="C833" t="str">
        <f t="shared" si="61"/>
        <v>Survived</v>
      </c>
      <c r="D833">
        <v>2</v>
      </c>
      <c r="E833" t="s">
        <v>1462</v>
      </c>
      <c r="F833" t="s">
        <v>725</v>
      </c>
      <c r="G833" t="s">
        <v>393</v>
      </c>
      <c r="H833" t="s">
        <v>9</v>
      </c>
      <c r="I833" t="str">
        <f t="shared" si="62"/>
        <v>Male</v>
      </c>
      <c r="J833">
        <v>0.83</v>
      </c>
      <c r="K833" t="str">
        <f t="shared" si="63"/>
        <v>Child</v>
      </c>
      <c r="L833" t="str" cm="1">
        <f t="array" ref="L833">_xlfn.IFS(J833&lt;13,"Child",J833&lt;18,"Teen",J833&lt;60,"Adult",J833&gt;60,"Old Age")</f>
        <v>Child</v>
      </c>
      <c r="M833">
        <v>1</v>
      </c>
      <c r="N833">
        <v>1</v>
      </c>
      <c r="O833">
        <f t="shared" si="64"/>
        <v>3</v>
      </c>
      <c r="P833">
        <v>18.75</v>
      </c>
      <c r="Q833" t="str">
        <f t="shared" si="60"/>
        <v>High</v>
      </c>
      <c r="R833" t="s">
        <v>1514</v>
      </c>
    </row>
    <row r="834" spans="1:18" x14ac:dyDescent="0.45">
      <c r="A834">
        <v>833</v>
      </c>
      <c r="B834">
        <v>0</v>
      </c>
      <c r="C834" t="str">
        <f t="shared" si="61"/>
        <v>Not Survived</v>
      </c>
      <c r="D834">
        <v>3</v>
      </c>
      <c r="E834" t="s">
        <v>1463</v>
      </c>
      <c r="F834" t="s">
        <v>722</v>
      </c>
      <c r="G834" t="s">
        <v>598</v>
      </c>
      <c r="H834" t="s">
        <v>9</v>
      </c>
      <c r="I834" t="str">
        <f t="shared" si="62"/>
        <v>Male</v>
      </c>
      <c r="J834">
        <v>28</v>
      </c>
      <c r="K834" t="str">
        <f t="shared" si="63"/>
        <v>Adult</v>
      </c>
      <c r="L834" t="str" cm="1">
        <f t="array" ref="L834">_xlfn.IFS(J834&lt;13,"Child",J834&lt;18,"Teen",J834&lt;60,"Adult",J834&gt;60,"Old Age")</f>
        <v>Adult</v>
      </c>
      <c r="M834">
        <v>0</v>
      </c>
      <c r="N834">
        <v>0</v>
      </c>
      <c r="O834">
        <f t="shared" si="64"/>
        <v>1</v>
      </c>
      <c r="P834">
        <v>7.2291999999999996</v>
      </c>
      <c r="Q834" t="str">
        <f t="shared" ref="Q834:Q892" si="65">IF(A834&lt;=10,"Low",IF(A834&lt;=50,"Medium","High"))</f>
        <v>High</v>
      </c>
      <c r="R834" t="s">
        <v>1515</v>
      </c>
    </row>
    <row r="835" spans="1:18" x14ac:dyDescent="0.45">
      <c r="A835">
        <v>834</v>
      </c>
      <c r="B835">
        <v>0</v>
      </c>
      <c r="C835" t="str">
        <f t="shared" ref="C835:C892" si="66">IF(B835 = 0, "Not Survived","Survived")</f>
        <v>Not Survived</v>
      </c>
      <c r="D835">
        <v>3</v>
      </c>
      <c r="E835" t="s">
        <v>1450</v>
      </c>
      <c r="F835" t="s">
        <v>722</v>
      </c>
      <c r="G835" t="s">
        <v>685</v>
      </c>
      <c r="H835" t="s">
        <v>9</v>
      </c>
      <c r="I835" t="str">
        <f t="shared" ref="I835:I892" si="67">PROPER(H835)</f>
        <v>Male</v>
      </c>
      <c r="J835">
        <v>23</v>
      </c>
      <c r="K835" t="str">
        <f t="shared" ref="K835:K892" si="68">IF(J835&lt;13,"Child",IF(J835&lt;18,"Teen",IF(J835&lt;60,"Adult","Old Age")))</f>
        <v>Adult</v>
      </c>
      <c r="L835" t="str" cm="1">
        <f t="array" ref="L835">_xlfn.IFS(J835&lt;13,"Child",J835&lt;18,"Teen",J835&lt;60,"Adult",J835&gt;60,"Old Age")</f>
        <v>Adult</v>
      </c>
      <c r="M835">
        <v>0</v>
      </c>
      <c r="N835">
        <v>0</v>
      </c>
      <c r="O835">
        <f t="shared" ref="O835:O892" si="69">M835+N835+1</f>
        <v>1</v>
      </c>
      <c r="P835">
        <v>7.8541999999999996</v>
      </c>
      <c r="Q835" t="str">
        <f t="shared" si="65"/>
        <v>High</v>
      </c>
      <c r="R835" t="s">
        <v>1514</v>
      </c>
    </row>
    <row r="836" spans="1:18" x14ac:dyDescent="0.45">
      <c r="A836">
        <v>835</v>
      </c>
      <c r="B836">
        <v>0</v>
      </c>
      <c r="C836" t="str">
        <f t="shared" si="66"/>
        <v>Not Survived</v>
      </c>
      <c r="D836">
        <v>3</v>
      </c>
      <c r="E836" t="s">
        <v>1464</v>
      </c>
      <c r="F836" t="s">
        <v>722</v>
      </c>
      <c r="G836" t="s">
        <v>686</v>
      </c>
      <c r="H836" t="s">
        <v>9</v>
      </c>
      <c r="I836" t="str">
        <f t="shared" si="67"/>
        <v>Male</v>
      </c>
      <c r="J836">
        <v>18</v>
      </c>
      <c r="K836" t="str">
        <f t="shared" si="68"/>
        <v>Adult</v>
      </c>
      <c r="L836" t="str" cm="1">
        <f t="array" ref="L836">_xlfn.IFS(J836&lt;13,"Child",J836&lt;18,"Teen",J836&lt;60,"Adult",J836&gt;60,"Old Age")</f>
        <v>Adult</v>
      </c>
      <c r="M836">
        <v>0</v>
      </c>
      <c r="N836">
        <v>0</v>
      </c>
      <c r="O836">
        <f t="shared" si="69"/>
        <v>1</v>
      </c>
      <c r="P836">
        <v>8.3000000000000007</v>
      </c>
      <c r="Q836" t="str">
        <f t="shared" si="65"/>
        <v>High</v>
      </c>
      <c r="R836" t="s">
        <v>1514</v>
      </c>
    </row>
    <row r="837" spans="1:18" x14ac:dyDescent="0.45">
      <c r="A837">
        <v>836</v>
      </c>
      <c r="B837">
        <v>1</v>
      </c>
      <c r="C837" t="str">
        <f t="shared" si="66"/>
        <v>Survived</v>
      </c>
      <c r="D837">
        <v>1</v>
      </c>
      <c r="E837" t="s">
        <v>1465</v>
      </c>
      <c r="F837" t="s">
        <v>724</v>
      </c>
      <c r="G837" t="s">
        <v>687</v>
      </c>
      <c r="H837" t="s">
        <v>10</v>
      </c>
      <c r="I837" t="str">
        <f t="shared" si="67"/>
        <v>Female</v>
      </c>
      <c r="J837">
        <v>39</v>
      </c>
      <c r="K837" t="str">
        <f t="shared" si="68"/>
        <v>Adult</v>
      </c>
      <c r="L837" t="str" cm="1">
        <f t="array" ref="L837">_xlfn.IFS(J837&lt;13,"Child",J837&lt;18,"Teen",J837&lt;60,"Adult",J837&gt;60,"Old Age")</f>
        <v>Adult</v>
      </c>
      <c r="M837">
        <v>1</v>
      </c>
      <c r="N837">
        <v>1</v>
      </c>
      <c r="O837">
        <f t="shared" si="69"/>
        <v>3</v>
      </c>
      <c r="P837">
        <v>83.158299999999997</v>
      </c>
      <c r="Q837" t="str">
        <f t="shared" si="65"/>
        <v>High</v>
      </c>
      <c r="R837" t="s">
        <v>1515</v>
      </c>
    </row>
    <row r="838" spans="1:18" x14ac:dyDescent="0.45">
      <c r="A838">
        <v>837</v>
      </c>
      <c r="B838">
        <v>0</v>
      </c>
      <c r="C838" t="str">
        <f t="shared" si="66"/>
        <v>Not Survived</v>
      </c>
      <c r="D838">
        <v>3</v>
      </c>
      <c r="E838" t="s">
        <v>1466</v>
      </c>
      <c r="F838" t="s">
        <v>722</v>
      </c>
      <c r="G838" t="s">
        <v>688</v>
      </c>
      <c r="H838" t="s">
        <v>9</v>
      </c>
      <c r="I838" t="str">
        <f t="shared" si="67"/>
        <v>Male</v>
      </c>
      <c r="J838">
        <v>21</v>
      </c>
      <c r="K838" t="str">
        <f t="shared" si="68"/>
        <v>Adult</v>
      </c>
      <c r="L838" t="str" cm="1">
        <f t="array" ref="L838">_xlfn.IFS(J838&lt;13,"Child",J838&lt;18,"Teen",J838&lt;60,"Adult",J838&gt;60,"Old Age")</f>
        <v>Adult</v>
      </c>
      <c r="M838">
        <v>0</v>
      </c>
      <c r="N838">
        <v>0</v>
      </c>
      <c r="O838">
        <f t="shared" si="69"/>
        <v>1</v>
      </c>
      <c r="P838">
        <v>8.6624999999999996</v>
      </c>
      <c r="Q838" t="str">
        <f t="shared" si="65"/>
        <v>High</v>
      </c>
      <c r="R838" t="s">
        <v>1514</v>
      </c>
    </row>
    <row r="839" spans="1:18" x14ac:dyDescent="0.45">
      <c r="A839">
        <v>838</v>
      </c>
      <c r="B839">
        <v>0</v>
      </c>
      <c r="C839" t="str">
        <f t="shared" si="66"/>
        <v>Not Survived</v>
      </c>
      <c r="D839">
        <v>3</v>
      </c>
      <c r="E839" t="s">
        <v>1159</v>
      </c>
      <c r="F839" t="s">
        <v>722</v>
      </c>
      <c r="G839" t="s">
        <v>689</v>
      </c>
      <c r="H839" t="s">
        <v>9</v>
      </c>
      <c r="I839" t="str">
        <f t="shared" si="67"/>
        <v>Male</v>
      </c>
      <c r="J839">
        <v>28</v>
      </c>
      <c r="K839" t="str">
        <f t="shared" si="68"/>
        <v>Adult</v>
      </c>
      <c r="L839" t="str" cm="1">
        <f t="array" ref="L839">_xlfn.IFS(J839&lt;13,"Child",J839&lt;18,"Teen",J839&lt;60,"Adult",J839&gt;60,"Old Age")</f>
        <v>Adult</v>
      </c>
      <c r="M839">
        <v>0</v>
      </c>
      <c r="N839">
        <v>0</v>
      </c>
      <c r="O839">
        <f t="shared" si="69"/>
        <v>1</v>
      </c>
      <c r="P839" t="s">
        <v>12</v>
      </c>
      <c r="Q839" t="str">
        <f t="shared" si="65"/>
        <v>High</v>
      </c>
      <c r="R839" t="s">
        <v>1514</v>
      </c>
    </row>
    <row r="840" spans="1:18" x14ac:dyDescent="0.45">
      <c r="A840">
        <v>839</v>
      </c>
      <c r="B840">
        <v>1</v>
      </c>
      <c r="C840" t="str">
        <f t="shared" si="66"/>
        <v>Survived</v>
      </c>
      <c r="D840">
        <v>3</v>
      </c>
      <c r="E840" t="s">
        <v>1467</v>
      </c>
      <c r="F840" t="s">
        <v>722</v>
      </c>
      <c r="G840" t="s">
        <v>690</v>
      </c>
      <c r="H840" t="s">
        <v>9</v>
      </c>
      <c r="I840" t="str">
        <f t="shared" si="67"/>
        <v>Male</v>
      </c>
      <c r="J840">
        <v>32</v>
      </c>
      <c r="K840" t="str">
        <f t="shared" si="68"/>
        <v>Adult</v>
      </c>
      <c r="L840" t="str" cm="1">
        <f t="array" ref="L840">_xlfn.IFS(J840&lt;13,"Child",J840&lt;18,"Teen",J840&lt;60,"Adult",J840&gt;60,"Old Age")</f>
        <v>Adult</v>
      </c>
      <c r="M840">
        <v>0</v>
      </c>
      <c r="N840">
        <v>0</v>
      </c>
      <c r="O840">
        <f t="shared" si="69"/>
        <v>1</v>
      </c>
      <c r="P840">
        <v>56.495800000000003</v>
      </c>
      <c r="Q840" t="str">
        <f t="shared" si="65"/>
        <v>High</v>
      </c>
      <c r="R840" t="s">
        <v>1514</v>
      </c>
    </row>
    <row r="841" spans="1:18" x14ac:dyDescent="0.45">
      <c r="A841">
        <v>840</v>
      </c>
      <c r="B841">
        <v>1</v>
      </c>
      <c r="C841" t="str">
        <f t="shared" si="66"/>
        <v>Survived</v>
      </c>
      <c r="D841">
        <v>1</v>
      </c>
      <c r="E841" t="s">
        <v>1468</v>
      </c>
      <c r="F841" t="s">
        <v>722</v>
      </c>
      <c r="G841" t="s">
        <v>691</v>
      </c>
      <c r="H841" t="s">
        <v>9</v>
      </c>
      <c r="I841" t="str">
        <f t="shared" si="67"/>
        <v>Male</v>
      </c>
      <c r="J841">
        <v>28</v>
      </c>
      <c r="K841" t="str">
        <f t="shared" si="68"/>
        <v>Adult</v>
      </c>
      <c r="L841" t="str" cm="1">
        <f t="array" ref="L841">_xlfn.IFS(J841&lt;13,"Child",J841&lt;18,"Teen",J841&lt;60,"Adult",J841&gt;60,"Old Age")</f>
        <v>Adult</v>
      </c>
      <c r="M841">
        <v>0</v>
      </c>
      <c r="N841">
        <v>0</v>
      </c>
      <c r="O841">
        <f t="shared" si="69"/>
        <v>1</v>
      </c>
      <c r="P841">
        <v>29.7</v>
      </c>
      <c r="Q841" t="str">
        <f t="shared" si="65"/>
        <v>High</v>
      </c>
      <c r="R841" t="s">
        <v>1515</v>
      </c>
    </row>
    <row r="842" spans="1:18" x14ac:dyDescent="0.45">
      <c r="A842">
        <v>841</v>
      </c>
      <c r="B842">
        <v>0</v>
      </c>
      <c r="C842" t="str">
        <f t="shared" si="66"/>
        <v>Not Survived</v>
      </c>
      <c r="D842">
        <v>3</v>
      </c>
      <c r="E842" t="s">
        <v>1469</v>
      </c>
      <c r="F842" t="s">
        <v>722</v>
      </c>
      <c r="G842" t="s">
        <v>692</v>
      </c>
      <c r="H842" t="s">
        <v>9</v>
      </c>
      <c r="I842" t="str">
        <f t="shared" si="67"/>
        <v>Male</v>
      </c>
      <c r="J842">
        <v>20</v>
      </c>
      <c r="K842" t="str">
        <f t="shared" si="68"/>
        <v>Adult</v>
      </c>
      <c r="L842" t="str" cm="1">
        <f t="array" ref="L842">_xlfn.IFS(J842&lt;13,"Child",J842&lt;18,"Teen",J842&lt;60,"Adult",J842&gt;60,"Old Age")</f>
        <v>Adult</v>
      </c>
      <c r="M842">
        <v>0</v>
      </c>
      <c r="N842">
        <v>0</v>
      </c>
      <c r="O842">
        <f t="shared" si="69"/>
        <v>1</v>
      </c>
      <c r="P842">
        <v>7.9249999999999998</v>
      </c>
      <c r="Q842" t="str">
        <f t="shared" si="65"/>
        <v>High</v>
      </c>
      <c r="R842" t="s">
        <v>1514</v>
      </c>
    </row>
    <row r="843" spans="1:18" x14ac:dyDescent="0.45">
      <c r="A843">
        <v>842</v>
      </c>
      <c r="B843">
        <v>0</v>
      </c>
      <c r="C843" t="str">
        <f t="shared" si="66"/>
        <v>Not Survived</v>
      </c>
      <c r="D843">
        <v>2</v>
      </c>
      <c r="E843" t="s">
        <v>1470</v>
      </c>
      <c r="F843" t="s">
        <v>722</v>
      </c>
      <c r="G843" t="s">
        <v>693</v>
      </c>
      <c r="H843" t="s">
        <v>9</v>
      </c>
      <c r="I843" t="str">
        <f t="shared" si="67"/>
        <v>Male</v>
      </c>
      <c r="J843">
        <v>16</v>
      </c>
      <c r="K843" t="str">
        <f t="shared" si="68"/>
        <v>Teen</v>
      </c>
      <c r="L843" t="str" cm="1">
        <f t="array" ref="L843">_xlfn.IFS(J843&lt;13,"Child",J843&lt;18,"Teen",J843&lt;60,"Adult",J843&gt;60,"Old Age")</f>
        <v>Teen</v>
      </c>
      <c r="M843">
        <v>0</v>
      </c>
      <c r="N843">
        <v>0</v>
      </c>
      <c r="O843">
        <f t="shared" si="69"/>
        <v>1</v>
      </c>
      <c r="P843" t="s">
        <v>18</v>
      </c>
      <c r="Q843" t="str">
        <f t="shared" si="65"/>
        <v>High</v>
      </c>
      <c r="R843" t="s">
        <v>1514</v>
      </c>
    </row>
    <row r="844" spans="1:18" x14ac:dyDescent="0.45">
      <c r="A844">
        <v>843</v>
      </c>
      <c r="B844">
        <v>1</v>
      </c>
      <c r="C844" t="str">
        <f t="shared" si="66"/>
        <v>Survived</v>
      </c>
      <c r="D844">
        <v>1</v>
      </c>
      <c r="E844" t="s">
        <v>1471</v>
      </c>
      <c r="F844" t="s">
        <v>724</v>
      </c>
      <c r="G844" t="s">
        <v>694</v>
      </c>
      <c r="H844" t="s">
        <v>10</v>
      </c>
      <c r="I844" t="str">
        <f t="shared" si="67"/>
        <v>Female</v>
      </c>
      <c r="J844">
        <v>30</v>
      </c>
      <c r="K844" t="str">
        <f t="shared" si="68"/>
        <v>Adult</v>
      </c>
      <c r="L844" t="str" cm="1">
        <f t="array" ref="L844">_xlfn.IFS(J844&lt;13,"Child",J844&lt;18,"Teen",J844&lt;60,"Adult",J844&gt;60,"Old Age")</f>
        <v>Adult</v>
      </c>
      <c r="M844">
        <v>0</v>
      </c>
      <c r="N844">
        <v>0</v>
      </c>
      <c r="O844">
        <f t="shared" si="69"/>
        <v>1</v>
      </c>
      <c r="P844">
        <v>31</v>
      </c>
      <c r="Q844" t="str">
        <f t="shared" si="65"/>
        <v>High</v>
      </c>
      <c r="R844" t="s">
        <v>1515</v>
      </c>
    </row>
    <row r="845" spans="1:18" x14ac:dyDescent="0.45">
      <c r="A845">
        <v>844</v>
      </c>
      <c r="B845">
        <v>0</v>
      </c>
      <c r="C845" t="str">
        <f t="shared" si="66"/>
        <v>Not Survived</v>
      </c>
      <c r="D845">
        <v>3</v>
      </c>
      <c r="E845" t="s">
        <v>1472</v>
      </c>
      <c r="F845" t="s">
        <v>722</v>
      </c>
      <c r="G845" t="s">
        <v>695</v>
      </c>
      <c r="H845" t="s">
        <v>9</v>
      </c>
      <c r="I845" t="str">
        <f t="shared" si="67"/>
        <v>Male</v>
      </c>
      <c r="J845">
        <v>34.5</v>
      </c>
      <c r="K845" t="str">
        <f t="shared" si="68"/>
        <v>Adult</v>
      </c>
      <c r="L845" t="str" cm="1">
        <f t="array" ref="L845">_xlfn.IFS(J845&lt;13,"Child",J845&lt;18,"Teen",J845&lt;60,"Adult",J845&gt;60,"Old Age")</f>
        <v>Adult</v>
      </c>
      <c r="M845">
        <v>0</v>
      </c>
      <c r="N845">
        <v>0</v>
      </c>
      <c r="O845">
        <f t="shared" si="69"/>
        <v>1</v>
      </c>
      <c r="P845">
        <v>6.4375</v>
      </c>
      <c r="Q845" t="str">
        <f t="shared" si="65"/>
        <v>High</v>
      </c>
      <c r="R845" t="s">
        <v>1515</v>
      </c>
    </row>
    <row r="846" spans="1:18" x14ac:dyDescent="0.45">
      <c r="A846">
        <v>845</v>
      </c>
      <c r="B846">
        <v>0</v>
      </c>
      <c r="C846" t="str">
        <f t="shared" si="66"/>
        <v>Not Survived</v>
      </c>
      <c r="D846">
        <v>3</v>
      </c>
      <c r="E846" t="s">
        <v>1473</v>
      </c>
      <c r="F846" t="s">
        <v>722</v>
      </c>
      <c r="G846" t="s">
        <v>696</v>
      </c>
      <c r="H846" t="s">
        <v>9</v>
      </c>
      <c r="I846" t="str">
        <f t="shared" si="67"/>
        <v>Male</v>
      </c>
      <c r="J846">
        <v>17</v>
      </c>
      <c r="K846" t="str">
        <f t="shared" si="68"/>
        <v>Teen</v>
      </c>
      <c r="L846" t="str" cm="1">
        <f t="array" ref="L846">_xlfn.IFS(J846&lt;13,"Child",J846&lt;18,"Teen",J846&lt;60,"Adult",J846&gt;60,"Old Age")</f>
        <v>Teen</v>
      </c>
      <c r="M846">
        <v>0</v>
      </c>
      <c r="N846">
        <v>0</v>
      </c>
      <c r="O846">
        <f t="shared" si="69"/>
        <v>1</v>
      </c>
      <c r="P846">
        <v>8.6624999999999996</v>
      </c>
      <c r="Q846" t="str">
        <f t="shared" si="65"/>
        <v>High</v>
      </c>
      <c r="R846" t="s">
        <v>1514</v>
      </c>
    </row>
    <row r="847" spans="1:18" x14ac:dyDescent="0.45">
      <c r="A847">
        <v>846</v>
      </c>
      <c r="B847">
        <v>0</v>
      </c>
      <c r="C847" t="str">
        <f t="shared" si="66"/>
        <v>Not Survived</v>
      </c>
      <c r="D847">
        <v>3</v>
      </c>
      <c r="E847" t="s">
        <v>1474</v>
      </c>
      <c r="F847" t="s">
        <v>722</v>
      </c>
      <c r="G847" t="s">
        <v>697</v>
      </c>
      <c r="H847" t="s">
        <v>9</v>
      </c>
      <c r="I847" t="str">
        <f t="shared" si="67"/>
        <v>Male</v>
      </c>
      <c r="J847">
        <v>42</v>
      </c>
      <c r="K847" t="str">
        <f t="shared" si="68"/>
        <v>Adult</v>
      </c>
      <c r="L847" t="str" cm="1">
        <f t="array" ref="L847">_xlfn.IFS(J847&lt;13,"Child",J847&lt;18,"Teen",J847&lt;60,"Adult",J847&gt;60,"Old Age")</f>
        <v>Adult</v>
      </c>
      <c r="M847">
        <v>0</v>
      </c>
      <c r="N847">
        <v>0</v>
      </c>
      <c r="O847">
        <f t="shared" si="69"/>
        <v>1</v>
      </c>
      <c r="P847">
        <v>7.55</v>
      </c>
      <c r="Q847" t="str">
        <f t="shared" si="65"/>
        <v>High</v>
      </c>
      <c r="R847" t="s">
        <v>1514</v>
      </c>
    </row>
    <row r="848" spans="1:18" x14ac:dyDescent="0.45">
      <c r="A848">
        <v>847</v>
      </c>
      <c r="B848">
        <v>0</v>
      </c>
      <c r="C848" t="str">
        <f t="shared" si="66"/>
        <v>Not Survived</v>
      </c>
      <c r="D848">
        <v>3</v>
      </c>
      <c r="E848" t="s">
        <v>1475</v>
      </c>
      <c r="F848" t="s">
        <v>722</v>
      </c>
      <c r="G848" t="s">
        <v>199</v>
      </c>
      <c r="H848" t="s">
        <v>9</v>
      </c>
      <c r="I848" t="str">
        <f t="shared" si="67"/>
        <v>Male</v>
      </c>
      <c r="J848">
        <v>28</v>
      </c>
      <c r="K848" t="str">
        <f t="shared" si="68"/>
        <v>Adult</v>
      </c>
      <c r="L848" t="str" cm="1">
        <f t="array" ref="L848">_xlfn.IFS(J848&lt;13,"Child",J848&lt;18,"Teen",J848&lt;60,"Adult",J848&gt;60,"Old Age")</f>
        <v>Adult</v>
      </c>
      <c r="M848">
        <v>8</v>
      </c>
      <c r="N848">
        <v>2</v>
      </c>
      <c r="O848">
        <f t="shared" si="69"/>
        <v>11</v>
      </c>
      <c r="P848">
        <v>69.55</v>
      </c>
      <c r="Q848" t="str">
        <f t="shared" si="65"/>
        <v>High</v>
      </c>
      <c r="R848" t="s">
        <v>1514</v>
      </c>
    </row>
    <row r="849" spans="1:18" x14ac:dyDescent="0.45">
      <c r="A849">
        <v>848</v>
      </c>
      <c r="B849">
        <v>0</v>
      </c>
      <c r="C849" t="str">
        <f t="shared" si="66"/>
        <v>Not Survived</v>
      </c>
      <c r="D849">
        <v>3</v>
      </c>
      <c r="E849" t="s">
        <v>1476</v>
      </c>
      <c r="F849" t="s">
        <v>722</v>
      </c>
      <c r="G849" t="s">
        <v>698</v>
      </c>
      <c r="H849" t="s">
        <v>9</v>
      </c>
      <c r="I849" t="str">
        <f t="shared" si="67"/>
        <v>Male</v>
      </c>
      <c r="J849">
        <v>35</v>
      </c>
      <c r="K849" t="str">
        <f t="shared" si="68"/>
        <v>Adult</v>
      </c>
      <c r="L849" t="str" cm="1">
        <f t="array" ref="L849">_xlfn.IFS(J849&lt;13,"Child",J849&lt;18,"Teen",J849&lt;60,"Adult",J849&gt;60,"Old Age")</f>
        <v>Adult</v>
      </c>
      <c r="M849">
        <v>0</v>
      </c>
      <c r="N849">
        <v>0</v>
      </c>
      <c r="O849">
        <f t="shared" si="69"/>
        <v>1</v>
      </c>
      <c r="P849">
        <v>7.8958000000000004</v>
      </c>
      <c r="Q849" t="str">
        <f t="shared" si="65"/>
        <v>High</v>
      </c>
      <c r="R849" t="s">
        <v>1515</v>
      </c>
    </row>
    <row r="850" spans="1:18" x14ac:dyDescent="0.45">
      <c r="A850">
        <v>849</v>
      </c>
      <c r="B850">
        <v>0</v>
      </c>
      <c r="C850" t="str">
        <f t="shared" si="66"/>
        <v>Not Survived</v>
      </c>
      <c r="D850">
        <v>2</v>
      </c>
      <c r="E850" t="s">
        <v>920</v>
      </c>
      <c r="F850" t="s">
        <v>727</v>
      </c>
      <c r="G850" t="s">
        <v>105</v>
      </c>
      <c r="H850" t="s">
        <v>9</v>
      </c>
      <c r="I850" t="str">
        <f t="shared" si="67"/>
        <v>Male</v>
      </c>
      <c r="J850">
        <v>28</v>
      </c>
      <c r="K850" t="str">
        <f t="shared" si="68"/>
        <v>Adult</v>
      </c>
      <c r="L850" t="str" cm="1">
        <f t="array" ref="L850">_xlfn.IFS(J850&lt;13,"Child",J850&lt;18,"Teen",J850&lt;60,"Adult",J850&gt;60,"Old Age")</f>
        <v>Adult</v>
      </c>
      <c r="M850">
        <v>0</v>
      </c>
      <c r="N850">
        <v>1</v>
      </c>
      <c r="O850">
        <f t="shared" si="69"/>
        <v>2</v>
      </c>
      <c r="P850">
        <v>33</v>
      </c>
      <c r="Q850" t="str">
        <f t="shared" si="65"/>
        <v>High</v>
      </c>
      <c r="R850" t="s">
        <v>1514</v>
      </c>
    </row>
    <row r="851" spans="1:18" x14ac:dyDescent="0.45">
      <c r="A851">
        <v>850</v>
      </c>
      <c r="B851">
        <v>1</v>
      </c>
      <c r="C851" t="str">
        <f t="shared" si="66"/>
        <v>Survived</v>
      </c>
      <c r="D851">
        <v>1</v>
      </c>
      <c r="E851" t="s">
        <v>1477</v>
      </c>
      <c r="F851" t="s">
        <v>723</v>
      </c>
      <c r="G851" t="s">
        <v>428</v>
      </c>
      <c r="H851" t="s">
        <v>10</v>
      </c>
      <c r="I851" t="str">
        <f t="shared" si="67"/>
        <v>Female</v>
      </c>
      <c r="J851">
        <v>28</v>
      </c>
      <c r="K851" t="str">
        <f t="shared" si="68"/>
        <v>Adult</v>
      </c>
      <c r="L851" t="str" cm="1">
        <f t="array" ref="L851">_xlfn.IFS(J851&lt;13,"Child",J851&lt;18,"Teen",J851&lt;60,"Adult",J851&gt;60,"Old Age")</f>
        <v>Adult</v>
      </c>
      <c r="M851">
        <v>1</v>
      </c>
      <c r="N851">
        <v>0</v>
      </c>
      <c r="O851">
        <f t="shared" si="69"/>
        <v>2</v>
      </c>
      <c r="P851" t="s">
        <v>37</v>
      </c>
      <c r="Q851" t="str">
        <f t="shared" si="65"/>
        <v>High</v>
      </c>
      <c r="R851" t="s">
        <v>1515</v>
      </c>
    </row>
    <row r="852" spans="1:18" x14ac:dyDescent="0.45">
      <c r="A852">
        <v>851</v>
      </c>
      <c r="B852">
        <v>0</v>
      </c>
      <c r="C852" t="str">
        <f t="shared" si="66"/>
        <v>Not Survived</v>
      </c>
      <c r="D852">
        <v>3</v>
      </c>
      <c r="E852" t="s">
        <v>1478</v>
      </c>
      <c r="F852" t="s">
        <v>725</v>
      </c>
      <c r="G852" t="s">
        <v>68</v>
      </c>
      <c r="H852" t="s">
        <v>9</v>
      </c>
      <c r="I852" t="str">
        <f t="shared" si="67"/>
        <v>Male</v>
      </c>
      <c r="J852">
        <v>4</v>
      </c>
      <c r="K852" t="str">
        <f t="shared" si="68"/>
        <v>Child</v>
      </c>
      <c r="L852" t="str" cm="1">
        <f t="array" ref="L852">_xlfn.IFS(J852&lt;13,"Child",J852&lt;18,"Teen",J852&lt;60,"Adult",J852&gt;60,"Old Age")</f>
        <v>Child</v>
      </c>
      <c r="M852">
        <v>4</v>
      </c>
      <c r="N852">
        <v>2</v>
      </c>
      <c r="O852">
        <f t="shared" si="69"/>
        <v>7</v>
      </c>
      <c r="P852">
        <v>31.274999999999999</v>
      </c>
      <c r="Q852" t="str">
        <f t="shared" si="65"/>
        <v>High</v>
      </c>
      <c r="R852" t="s">
        <v>1514</v>
      </c>
    </row>
    <row r="853" spans="1:18" x14ac:dyDescent="0.45">
      <c r="A853">
        <v>852</v>
      </c>
      <c r="B853">
        <v>0</v>
      </c>
      <c r="C853" t="str">
        <f t="shared" si="66"/>
        <v>Not Survived</v>
      </c>
      <c r="D853">
        <v>3</v>
      </c>
      <c r="E853" t="s">
        <v>864</v>
      </c>
      <c r="F853" t="s">
        <v>722</v>
      </c>
      <c r="G853" t="s">
        <v>464</v>
      </c>
      <c r="H853" t="s">
        <v>9</v>
      </c>
      <c r="I853" t="str">
        <f t="shared" si="67"/>
        <v>Male</v>
      </c>
      <c r="J853">
        <v>74</v>
      </c>
      <c r="K853" t="str">
        <f t="shared" si="68"/>
        <v>Old Age</v>
      </c>
      <c r="L853" t="str" cm="1">
        <f t="array" ref="L853">_xlfn.IFS(J853&lt;13,"Child",J853&lt;18,"Teen",J853&lt;60,"Adult",J853&gt;60,"Old Age")</f>
        <v>Old Age</v>
      </c>
      <c r="M853">
        <v>0</v>
      </c>
      <c r="N853">
        <v>0</v>
      </c>
      <c r="O853">
        <f t="shared" si="69"/>
        <v>1</v>
      </c>
      <c r="P853">
        <v>7.7750000000000004</v>
      </c>
      <c r="Q853" t="str">
        <f t="shared" si="65"/>
        <v>High</v>
      </c>
      <c r="R853" t="s">
        <v>1514</v>
      </c>
    </row>
    <row r="854" spans="1:18" x14ac:dyDescent="0.45">
      <c r="A854">
        <v>853</v>
      </c>
      <c r="B854">
        <v>0</v>
      </c>
      <c r="C854" t="str">
        <f t="shared" si="66"/>
        <v>Not Survived</v>
      </c>
      <c r="D854">
        <v>3</v>
      </c>
      <c r="E854" t="s">
        <v>1479</v>
      </c>
      <c r="F854" t="s">
        <v>724</v>
      </c>
      <c r="G854" t="s">
        <v>183</v>
      </c>
      <c r="H854" t="s">
        <v>10</v>
      </c>
      <c r="I854" t="str">
        <f t="shared" si="67"/>
        <v>Female</v>
      </c>
      <c r="J854">
        <v>9</v>
      </c>
      <c r="K854" t="str">
        <f t="shared" si="68"/>
        <v>Child</v>
      </c>
      <c r="L854" t="str" cm="1">
        <f t="array" ref="L854">_xlfn.IFS(J854&lt;13,"Child",J854&lt;18,"Teen",J854&lt;60,"Adult",J854&gt;60,"Old Age")</f>
        <v>Child</v>
      </c>
      <c r="M854">
        <v>1</v>
      </c>
      <c r="N854">
        <v>1</v>
      </c>
      <c r="O854">
        <f t="shared" si="69"/>
        <v>3</v>
      </c>
      <c r="P854">
        <v>15.245799999999999</v>
      </c>
      <c r="Q854" t="str">
        <f t="shared" si="65"/>
        <v>High</v>
      </c>
      <c r="R854" t="s">
        <v>1515</v>
      </c>
    </row>
    <row r="855" spans="1:18" x14ac:dyDescent="0.45">
      <c r="A855">
        <v>854</v>
      </c>
      <c r="B855">
        <v>1</v>
      </c>
      <c r="C855" t="str">
        <f t="shared" si="66"/>
        <v>Survived</v>
      </c>
      <c r="D855">
        <v>1</v>
      </c>
      <c r="E855" t="s">
        <v>1480</v>
      </c>
      <c r="F855" t="s">
        <v>724</v>
      </c>
      <c r="G855" t="s">
        <v>699</v>
      </c>
      <c r="H855" t="s">
        <v>10</v>
      </c>
      <c r="I855" t="str">
        <f t="shared" si="67"/>
        <v>Female</v>
      </c>
      <c r="J855">
        <v>16</v>
      </c>
      <c r="K855" t="str">
        <f t="shared" si="68"/>
        <v>Teen</v>
      </c>
      <c r="L855" t="str" cm="1">
        <f t="array" ref="L855">_xlfn.IFS(J855&lt;13,"Child",J855&lt;18,"Teen",J855&lt;60,"Adult",J855&gt;60,"Old Age")</f>
        <v>Teen</v>
      </c>
      <c r="M855">
        <v>0</v>
      </c>
      <c r="N855">
        <v>1</v>
      </c>
      <c r="O855">
        <f t="shared" si="69"/>
        <v>2</v>
      </c>
      <c r="P855">
        <v>39.4</v>
      </c>
      <c r="Q855" t="str">
        <f t="shared" si="65"/>
        <v>High</v>
      </c>
      <c r="R855" t="s">
        <v>1514</v>
      </c>
    </row>
    <row r="856" spans="1:18" x14ac:dyDescent="0.45">
      <c r="A856">
        <v>855</v>
      </c>
      <c r="B856">
        <v>0</v>
      </c>
      <c r="C856" t="str">
        <f t="shared" si="66"/>
        <v>Not Survived</v>
      </c>
      <c r="D856">
        <v>2</v>
      </c>
      <c r="E856" t="s">
        <v>1481</v>
      </c>
      <c r="F856" t="s">
        <v>723</v>
      </c>
      <c r="G856" t="s">
        <v>273</v>
      </c>
      <c r="H856" t="s">
        <v>10</v>
      </c>
      <c r="I856" t="str">
        <f t="shared" si="67"/>
        <v>Female</v>
      </c>
      <c r="J856">
        <v>44</v>
      </c>
      <c r="K856" t="str">
        <f t="shared" si="68"/>
        <v>Adult</v>
      </c>
      <c r="L856" t="str" cm="1">
        <f t="array" ref="L856">_xlfn.IFS(J856&lt;13,"Child",J856&lt;18,"Teen",J856&lt;60,"Adult",J856&gt;60,"Old Age")</f>
        <v>Adult</v>
      </c>
      <c r="M856">
        <v>1</v>
      </c>
      <c r="N856">
        <v>0</v>
      </c>
      <c r="O856">
        <f t="shared" si="69"/>
        <v>2</v>
      </c>
      <c r="P856">
        <v>26</v>
      </c>
      <c r="Q856" t="str">
        <f t="shared" si="65"/>
        <v>High</v>
      </c>
      <c r="R856" t="s">
        <v>1514</v>
      </c>
    </row>
    <row r="857" spans="1:18" x14ac:dyDescent="0.45">
      <c r="A857">
        <v>856</v>
      </c>
      <c r="B857">
        <v>1</v>
      </c>
      <c r="C857" t="str">
        <f t="shared" si="66"/>
        <v>Survived</v>
      </c>
      <c r="D857">
        <v>3</v>
      </c>
      <c r="E857" t="s">
        <v>1482</v>
      </c>
      <c r="F857" t="s">
        <v>723</v>
      </c>
      <c r="G857" t="s">
        <v>700</v>
      </c>
      <c r="H857" t="s">
        <v>10</v>
      </c>
      <c r="I857" t="str">
        <f t="shared" si="67"/>
        <v>Female</v>
      </c>
      <c r="J857">
        <v>18</v>
      </c>
      <c r="K857" t="str">
        <f t="shared" si="68"/>
        <v>Adult</v>
      </c>
      <c r="L857" t="str" cm="1">
        <f t="array" ref="L857">_xlfn.IFS(J857&lt;13,"Child",J857&lt;18,"Teen",J857&lt;60,"Adult",J857&gt;60,"Old Age")</f>
        <v>Adult</v>
      </c>
      <c r="M857">
        <v>0</v>
      </c>
      <c r="N857">
        <v>1</v>
      </c>
      <c r="O857">
        <f t="shared" si="69"/>
        <v>2</v>
      </c>
      <c r="P857">
        <v>9.35</v>
      </c>
      <c r="Q857" t="str">
        <f t="shared" si="65"/>
        <v>High</v>
      </c>
      <c r="R857" t="s">
        <v>1514</v>
      </c>
    </row>
    <row r="858" spans="1:18" x14ac:dyDescent="0.45">
      <c r="A858">
        <v>857</v>
      </c>
      <c r="B858">
        <v>1</v>
      </c>
      <c r="C858" t="str">
        <f t="shared" si="66"/>
        <v>Survived</v>
      </c>
      <c r="D858">
        <v>1</v>
      </c>
      <c r="E858" t="s">
        <v>1483</v>
      </c>
      <c r="F858" t="s">
        <v>723</v>
      </c>
      <c r="G858" t="s">
        <v>331</v>
      </c>
      <c r="H858" t="s">
        <v>10</v>
      </c>
      <c r="I858" t="str">
        <f t="shared" si="67"/>
        <v>Female</v>
      </c>
      <c r="J858">
        <v>45</v>
      </c>
      <c r="K858" t="str">
        <f t="shared" si="68"/>
        <v>Adult</v>
      </c>
      <c r="L858" t="str" cm="1">
        <f t="array" ref="L858">_xlfn.IFS(J858&lt;13,"Child",J858&lt;18,"Teen",J858&lt;60,"Adult",J858&gt;60,"Old Age")</f>
        <v>Adult</v>
      </c>
      <c r="M858">
        <v>1</v>
      </c>
      <c r="N858">
        <v>1</v>
      </c>
      <c r="O858">
        <f t="shared" si="69"/>
        <v>3</v>
      </c>
      <c r="P858">
        <v>164.86670000000001</v>
      </c>
      <c r="Q858" t="str">
        <f t="shared" si="65"/>
        <v>High</v>
      </c>
      <c r="R858" t="s">
        <v>1514</v>
      </c>
    </row>
    <row r="859" spans="1:18" x14ac:dyDescent="0.45">
      <c r="A859">
        <v>858</v>
      </c>
      <c r="B859">
        <v>1</v>
      </c>
      <c r="C859" t="str">
        <f t="shared" si="66"/>
        <v>Survived</v>
      </c>
      <c r="D859">
        <v>1</v>
      </c>
      <c r="E859" t="s">
        <v>1484</v>
      </c>
      <c r="F859" t="s">
        <v>722</v>
      </c>
      <c r="G859" t="s">
        <v>472</v>
      </c>
      <c r="H859" t="s">
        <v>9</v>
      </c>
      <c r="I859" t="str">
        <f t="shared" si="67"/>
        <v>Male</v>
      </c>
      <c r="J859">
        <v>51</v>
      </c>
      <c r="K859" t="str">
        <f t="shared" si="68"/>
        <v>Adult</v>
      </c>
      <c r="L859" t="str" cm="1">
        <f t="array" ref="L859">_xlfn.IFS(J859&lt;13,"Child",J859&lt;18,"Teen",J859&lt;60,"Adult",J859&gt;60,"Old Age")</f>
        <v>Adult</v>
      </c>
      <c r="M859">
        <v>0</v>
      </c>
      <c r="N859">
        <v>0</v>
      </c>
      <c r="O859">
        <f t="shared" si="69"/>
        <v>1</v>
      </c>
      <c r="P859">
        <v>26.55</v>
      </c>
      <c r="Q859" t="str">
        <f t="shared" si="65"/>
        <v>High</v>
      </c>
      <c r="R859" t="s">
        <v>1514</v>
      </c>
    </row>
    <row r="860" spans="1:18" x14ac:dyDescent="0.45">
      <c r="A860">
        <v>859</v>
      </c>
      <c r="B860">
        <v>1</v>
      </c>
      <c r="C860" t="str">
        <f t="shared" si="66"/>
        <v>Survived</v>
      </c>
      <c r="D860">
        <v>3</v>
      </c>
      <c r="E860" t="s">
        <v>1485</v>
      </c>
      <c r="F860" t="s">
        <v>723</v>
      </c>
      <c r="G860" t="s">
        <v>424</v>
      </c>
      <c r="H860" t="s">
        <v>10</v>
      </c>
      <c r="I860" t="str">
        <f t="shared" si="67"/>
        <v>Female</v>
      </c>
      <c r="J860">
        <v>24</v>
      </c>
      <c r="K860" t="str">
        <f t="shared" si="68"/>
        <v>Adult</v>
      </c>
      <c r="L860" t="str" cm="1">
        <f t="array" ref="L860">_xlfn.IFS(J860&lt;13,"Child",J860&lt;18,"Teen",J860&lt;60,"Adult",J860&gt;60,"Old Age")</f>
        <v>Adult</v>
      </c>
      <c r="M860">
        <v>0</v>
      </c>
      <c r="N860">
        <v>3</v>
      </c>
      <c r="O860">
        <f t="shared" si="69"/>
        <v>4</v>
      </c>
      <c r="P860">
        <v>19.258299999999998</v>
      </c>
      <c r="Q860" t="str">
        <f t="shared" si="65"/>
        <v>High</v>
      </c>
      <c r="R860" t="s">
        <v>1515</v>
      </c>
    </row>
    <row r="861" spans="1:18" x14ac:dyDescent="0.45">
      <c r="A861">
        <v>860</v>
      </c>
      <c r="B861">
        <v>0</v>
      </c>
      <c r="C861" t="str">
        <f t="shared" si="66"/>
        <v>Not Survived</v>
      </c>
      <c r="D861">
        <v>3</v>
      </c>
      <c r="E861" t="s">
        <v>1486</v>
      </c>
      <c r="F861" t="s">
        <v>722</v>
      </c>
      <c r="G861" t="s">
        <v>701</v>
      </c>
      <c r="H861" t="s">
        <v>9</v>
      </c>
      <c r="I861" t="str">
        <f t="shared" si="67"/>
        <v>Male</v>
      </c>
      <c r="J861">
        <v>28</v>
      </c>
      <c r="K861" t="str">
        <f t="shared" si="68"/>
        <v>Adult</v>
      </c>
      <c r="L861" t="str" cm="1">
        <f t="array" ref="L861">_xlfn.IFS(J861&lt;13,"Child",J861&lt;18,"Teen",J861&lt;60,"Adult",J861&gt;60,"Old Age")</f>
        <v>Adult</v>
      </c>
      <c r="M861">
        <v>0</v>
      </c>
      <c r="N861">
        <v>0</v>
      </c>
      <c r="O861">
        <f t="shared" si="69"/>
        <v>1</v>
      </c>
      <c r="P861">
        <v>7.2291999999999996</v>
      </c>
      <c r="Q861" t="str">
        <f t="shared" si="65"/>
        <v>High</v>
      </c>
      <c r="R861" t="s">
        <v>1515</v>
      </c>
    </row>
    <row r="862" spans="1:18" x14ac:dyDescent="0.45">
      <c r="A862">
        <v>861</v>
      </c>
      <c r="B862">
        <v>0</v>
      </c>
      <c r="C862" t="str">
        <f t="shared" si="66"/>
        <v>Not Survived</v>
      </c>
      <c r="D862">
        <v>3</v>
      </c>
      <c r="E862" t="s">
        <v>1487</v>
      </c>
      <c r="F862" t="s">
        <v>722</v>
      </c>
      <c r="G862" t="s">
        <v>549</v>
      </c>
      <c r="H862" t="s">
        <v>9</v>
      </c>
      <c r="I862" t="str">
        <f t="shared" si="67"/>
        <v>Male</v>
      </c>
      <c r="J862">
        <v>41</v>
      </c>
      <c r="K862" t="str">
        <f t="shared" si="68"/>
        <v>Adult</v>
      </c>
      <c r="L862" t="str" cm="1">
        <f t="array" ref="L862">_xlfn.IFS(J862&lt;13,"Child",J862&lt;18,"Teen",J862&lt;60,"Adult",J862&gt;60,"Old Age")</f>
        <v>Adult</v>
      </c>
      <c r="M862">
        <v>2</v>
      </c>
      <c r="N862">
        <v>0</v>
      </c>
      <c r="O862">
        <f t="shared" si="69"/>
        <v>3</v>
      </c>
      <c r="P862" t="s">
        <v>48</v>
      </c>
      <c r="Q862" t="str">
        <f t="shared" si="65"/>
        <v>High</v>
      </c>
      <c r="R862" t="s">
        <v>1514</v>
      </c>
    </row>
    <row r="863" spans="1:18" x14ac:dyDescent="0.45">
      <c r="A863">
        <v>862</v>
      </c>
      <c r="B863">
        <v>0</v>
      </c>
      <c r="C863" t="str">
        <f t="shared" si="66"/>
        <v>Not Survived</v>
      </c>
      <c r="D863">
        <v>2</v>
      </c>
      <c r="E863" t="s">
        <v>1488</v>
      </c>
      <c r="F863" t="s">
        <v>722</v>
      </c>
      <c r="G863" t="s">
        <v>702</v>
      </c>
      <c r="H863" t="s">
        <v>9</v>
      </c>
      <c r="I863" t="str">
        <f t="shared" si="67"/>
        <v>Male</v>
      </c>
      <c r="J863">
        <v>21</v>
      </c>
      <c r="K863" t="str">
        <f t="shared" si="68"/>
        <v>Adult</v>
      </c>
      <c r="L863" t="str" cm="1">
        <f t="array" ref="L863">_xlfn.IFS(J863&lt;13,"Child",J863&lt;18,"Teen",J863&lt;60,"Adult",J863&gt;60,"Old Age")</f>
        <v>Adult</v>
      </c>
      <c r="M863">
        <v>1</v>
      </c>
      <c r="N863">
        <v>0</v>
      </c>
      <c r="O863">
        <f t="shared" si="69"/>
        <v>2</v>
      </c>
      <c r="P863">
        <v>11.5</v>
      </c>
      <c r="Q863" t="str">
        <f t="shared" si="65"/>
        <v>High</v>
      </c>
      <c r="R863" t="s">
        <v>1514</v>
      </c>
    </row>
    <row r="864" spans="1:18" x14ac:dyDescent="0.45">
      <c r="A864">
        <v>863</v>
      </c>
      <c r="B864">
        <v>1</v>
      </c>
      <c r="C864" t="str">
        <f t="shared" si="66"/>
        <v>Survived</v>
      </c>
      <c r="D864">
        <v>1</v>
      </c>
      <c r="E864" t="s">
        <v>1489</v>
      </c>
      <c r="F864" t="s">
        <v>723</v>
      </c>
      <c r="G864" t="s">
        <v>703</v>
      </c>
      <c r="H864" t="s">
        <v>10</v>
      </c>
      <c r="I864" t="str">
        <f t="shared" si="67"/>
        <v>Female</v>
      </c>
      <c r="J864">
        <v>48</v>
      </c>
      <c r="K864" t="str">
        <f t="shared" si="68"/>
        <v>Adult</v>
      </c>
      <c r="L864" t="str" cm="1">
        <f t="array" ref="L864">_xlfn.IFS(J864&lt;13,"Child",J864&lt;18,"Teen",J864&lt;60,"Adult",J864&gt;60,"Old Age")</f>
        <v>Adult</v>
      </c>
      <c r="M864">
        <v>0</v>
      </c>
      <c r="N864">
        <v>0</v>
      </c>
      <c r="O864">
        <f t="shared" si="69"/>
        <v>1</v>
      </c>
      <c r="P864">
        <v>25.929200000000002</v>
      </c>
      <c r="Q864" t="str">
        <f t="shared" si="65"/>
        <v>High</v>
      </c>
      <c r="R864" t="s">
        <v>1514</v>
      </c>
    </row>
    <row r="865" spans="1:18" x14ac:dyDescent="0.45">
      <c r="A865">
        <v>864</v>
      </c>
      <c r="B865">
        <v>0</v>
      </c>
      <c r="C865" t="str">
        <f t="shared" si="66"/>
        <v>Not Survived</v>
      </c>
      <c r="D865">
        <v>3</v>
      </c>
      <c r="E865" t="s">
        <v>1490</v>
      </c>
      <c r="F865" t="s">
        <v>724</v>
      </c>
      <c r="G865" t="s">
        <v>199</v>
      </c>
      <c r="H865" t="s">
        <v>10</v>
      </c>
      <c r="I865" t="str">
        <f t="shared" si="67"/>
        <v>Female</v>
      </c>
      <c r="J865">
        <v>28</v>
      </c>
      <c r="K865" t="str">
        <f t="shared" si="68"/>
        <v>Adult</v>
      </c>
      <c r="L865" t="str" cm="1">
        <f t="array" ref="L865">_xlfn.IFS(J865&lt;13,"Child",J865&lt;18,"Teen",J865&lt;60,"Adult",J865&gt;60,"Old Age")</f>
        <v>Adult</v>
      </c>
      <c r="M865">
        <v>8</v>
      </c>
      <c r="N865">
        <v>2</v>
      </c>
      <c r="O865">
        <f t="shared" si="69"/>
        <v>11</v>
      </c>
      <c r="P865">
        <v>69.55</v>
      </c>
      <c r="Q865" t="str">
        <f t="shared" si="65"/>
        <v>High</v>
      </c>
      <c r="R865" t="s">
        <v>1514</v>
      </c>
    </row>
    <row r="866" spans="1:18" x14ac:dyDescent="0.45">
      <c r="A866">
        <v>865</v>
      </c>
      <c r="B866">
        <v>0</v>
      </c>
      <c r="C866" t="str">
        <f t="shared" si="66"/>
        <v>Not Survived</v>
      </c>
      <c r="D866">
        <v>2</v>
      </c>
      <c r="E866" t="s">
        <v>1491</v>
      </c>
      <c r="F866" t="s">
        <v>722</v>
      </c>
      <c r="G866" t="s">
        <v>704</v>
      </c>
      <c r="H866" t="s">
        <v>9</v>
      </c>
      <c r="I866" t="str">
        <f t="shared" si="67"/>
        <v>Male</v>
      </c>
      <c r="J866">
        <v>24</v>
      </c>
      <c r="K866" t="str">
        <f t="shared" si="68"/>
        <v>Adult</v>
      </c>
      <c r="L866" t="str" cm="1">
        <f t="array" ref="L866">_xlfn.IFS(J866&lt;13,"Child",J866&lt;18,"Teen",J866&lt;60,"Adult",J866&gt;60,"Old Age")</f>
        <v>Adult</v>
      </c>
      <c r="M866">
        <v>0</v>
      </c>
      <c r="N866">
        <v>0</v>
      </c>
      <c r="O866">
        <f t="shared" si="69"/>
        <v>1</v>
      </c>
      <c r="P866">
        <v>13</v>
      </c>
      <c r="Q866" t="str">
        <f t="shared" si="65"/>
        <v>High</v>
      </c>
      <c r="R866" t="s">
        <v>1514</v>
      </c>
    </row>
    <row r="867" spans="1:18" x14ac:dyDescent="0.45">
      <c r="A867">
        <v>866</v>
      </c>
      <c r="B867">
        <v>1</v>
      </c>
      <c r="C867" t="str">
        <f t="shared" si="66"/>
        <v>Survived</v>
      </c>
      <c r="D867">
        <v>2</v>
      </c>
      <c r="E867" t="s">
        <v>753</v>
      </c>
      <c r="F867" t="s">
        <v>723</v>
      </c>
      <c r="G867" t="s">
        <v>705</v>
      </c>
      <c r="H867" t="s">
        <v>10</v>
      </c>
      <c r="I867" t="str">
        <f t="shared" si="67"/>
        <v>Female</v>
      </c>
      <c r="J867">
        <v>42</v>
      </c>
      <c r="K867" t="str">
        <f t="shared" si="68"/>
        <v>Adult</v>
      </c>
      <c r="L867" t="str" cm="1">
        <f t="array" ref="L867">_xlfn.IFS(J867&lt;13,"Child",J867&lt;18,"Teen",J867&lt;60,"Adult",J867&gt;60,"Old Age")</f>
        <v>Adult</v>
      </c>
      <c r="M867">
        <v>0</v>
      </c>
      <c r="N867">
        <v>0</v>
      </c>
      <c r="O867">
        <f t="shared" si="69"/>
        <v>1</v>
      </c>
      <c r="P867">
        <v>13</v>
      </c>
      <c r="Q867" t="str">
        <f t="shared" si="65"/>
        <v>High</v>
      </c>
      <c r="R867" t="s">
        <v>1514</v>
      </c>
    </row>
    <row r="868" spans="1:18" x14ac:dyDescent="0.45">
      <c r="A868">
        <v>867</v>
      </c>
      <c r="B868">
        <v>1</v>
      </c>
      <c r="C868" t="str">
        <f t="shared" si="66"/>
        <v>Survived</v>
      </c>
      <c r="D868">
        <v>2</v>
      </c>
      <c r="E868" t="s">
        <v>1492</v>
      </c>
      <c r="F868" t="s">
        <v>724</v>
      </c>
      <c r="G868" t="s">
        <v>706</v>
      </c>
      <c r="H868" t="s">
        <v>10</v>
      </c>
      <c r="I868" t="str">
        <f t="shared" si="67"/>
        <v>Female</v>
      </c>
      <c r="J868">
        <v>27</v>
      </c>
      <c r="K868" t="str">
        <f t="shared" si="68"/>
        <v>Adult</v>
      </c>
      <c r="L868" t="str" cm="1">
        <f t="array" ref="L868">_xlfn.IFS(J868&lt;13,"Child",J868&lt;18,"Teen",J868&lt;60,"Adult",J868&gt;60,"Old Age")</f>
        <v>Adult</v>
      </c>
      <c r="M868">
        <v>1</v>
      </c>
      <c r="N868">
        <v>0</v>
      </c>
      <c r="O868">
        <f t="shared" si="69"/>
        <v>2</v>
      </c>
      <c r="P868">
        <v>13.8583</v>
      </c>
      <c r="Q868" t="str">
        <f t="shared" si="65"/>
        <v>High</v>
      </c>
      <c r="R868" t="s">
        <v>1515</v>
      </c>
    </row>
    <row r="869" spans="1:18" x14ac:dyDescent="0.45">
      <c r="A869">
        <v>868</v>
      </c>
      <c r="B869">
        <v>0</v>
      </c>
      <c r="C869" t="str">
        <f t="shared" si="66"/>
        <v>Not Survived</v>
      </c>
      <c r="D869">
        <v>1</v>
      </c>
      <c r="E869" t="s">
        <v>1493</v>
      </c>
      <c r="F869" t="s">
        <v>722</v>
      </c>
      <c r="G869" t="s">
        <v>707</v>
      </c>
      <c r="H869" t="s">
        <v>9</v>
      </c>
      <c r="I869" t="str">
        <f t="shared" si="67"/>
        <v>Male</v>
      </c>
      <c r="J869">
        <v>31</v>
      </c>
      <c r="K869" t="str">
        <f t="shared" si="68"/>
        <v>Adult</v>
      </c>
      <c r="L869" t="str" cm="1">
        <f t="array" ref="L869">_xlfn.IFS(J869&lt;13,"Child",J869&lt;18,"Teen",J869&lt;60,"Adult",J869&gt;60,"Old Age")</f>
        <v>Adult</v>
      </c>
      <c r="M869">
        <v>0</v>
      </c>
      <c r="N869">
        <v>0</v>
      </c>
      <c r="O869">
        <f t="shared" si="69"/>
        <v>1</v>
      </c>
      <c r="P869" t="s">
        <v>49</v>
      </c>
      <c r="Q869" t="str">
        <f t="shared" si="65"/>
        <v>High</v>
      </c>
      <c r="R869" t="s">
        <v>1514</v>
      </c>
    </row>
    <row r="870" spans="1:18" x14ac:dyDescent="0.45">
      <c r="A870">
        <v>869</v>
      </c>
      <c r="B870">
        <v>0</v>
      </c>
      <c r="C870" t="str">
        <f t="shared" si="66"/>
        <v>Not Survived</v>
      </c>
      <c r="D870">
        <v>3</v>
      </c>
      <c r="E870" t="s">
        <v>1494</v>
      </c>
      <c r="F870" t="s">
        <v>722</v>
      </c>
      <c r="G870" t="s">
        <v>708</v>
      </c>
      <c r="H870" t="s">
        <v>9</v>
      </c>
      <c r="I870" t="str">
        <f t="shared" si="67"/>
        <v>Male</v>
      </c>
      <c r="J870">
        <v>28</v>
      </c>
      <c r="K870" t="str">
        <f t="shared" si="68"/>
        <v>Adult</v>
      </c>
      <c r="L870" t="str" cm="1">
        <f t="array" ref="L870">_xlfn.IFS(J870&lt;13,"Child",J870&lt;18,"Teen",J870&lt;60,"Adult",J870&gt;60,"Old Age")</f>
        <v>Adult</v>
      </c>
      <c r="M870">
        <v>0</v>
      </c>
      <c r="N870">
        <v>0</v>
      </c>
      <c r="O870">
        <f t="shared" si="69"/>
        <v>1</v>
      </c>
      <c r="P870">
        <v>9.5</v>
      </c>
      <c r="Q870" t="str">
        <f t="shared" si="65"/>
        <v>High</v>
      </c>
      <c r="R870" t="s">
        <v>1514</v>
      </c>
    </row>
    <row r="871" spans="1:18" x14ac:dyDescent="0.45">
      <c r="A871">
        <v>870</v>
      </c>
      <c r="B871">
        <v>1</v>
      </c>
      <c r="C871" t="str">
        <f t="shared" si="66"/>
        <v>Survived</v>
      </c>
      <c r="D871">
        <v>3</v>
      </c>
      <c r="E871" t="s">
        <v>1495</v>
      </c>
      <c r="F871" t="s">
        <v>725</v>
      </c>
      <c r="G871" t="s">
        <v>63</v>
      </c>
      <c r="H871" t="s">
        <v>9</v>
      </c>
      <c r="I871" t="str">
        <f t="shared" si="67"/>
        <v>Male</v>
      </c>
      <c r="J871">
        <v>4</v>
      </c>
      <c r="K871" t="str">
        <f t="shared" si="68"/>
        <v>Child</v>
      </c>
      <c r="L871" t="str" cm="1">
        <f t="array" ref="L871">_xlfn.IFS(J871&lt;13,"Child",J871&lt;18,"Teen",J871&lt;60,"Adult",J871&gt;60,"Old Age")</f>
        <v>Child</v>
      </c>
      <c r="M871">
        <v>1</v>
      </c>
      <c r="N871">
        <v>1</v>
      </c>
      <c r="O871">
        <f t="shared" si="69"/>
        <v>3</v>
      </c>
      <c r="P871">
        <v>11.1333</v>
      </c>
      <c r="Q871" t="str">
        <f t="shared" si="65"/>
        <v>High</v>
      </c>
      <c r="R871" t="s">
        <v>1514</v>
      </c>
    </row>
    <row r="872" spans="1:18" x14ac:dyDescent="0.45">
      <c r="A872">
        <v>871</v>
      </c>
      <c r="B872">
        <v>0</v>
      </c>
      <c r="C872" t="str">
        <f t="shared" si="66"/>
        <v>Not Survived</v>
      </c>
      <c r="D872">
        <v>3</v>
      </c>
      <c r="E872" t="s">
        <v>1496</v>
      </c>
      <c r="F872" t="s">
        <v>722</v>
      </c>
      <c r="G872" t="s">
        <v>709</v>
      </c>
      <c r="H872" t="s">
        <v>9</v>
      </c>
      <c r="I872" t="str">
        <f t="shared" si="67"/>
        <v>Male</v>
      </c>
      <c r="J872">
        <v>26</v>
      </c>
      <c r="K872" t="str">
        <f t="shared" si="68"/>
        <v>Adult</v>
      </c>
      <c r="L872" t="str" cm="1">
        <f t="array" ref="L872">_xlfn.IFS(J872&lt;13,"Child",J872&lt;18,"Teen",J872&lt;60,"Adult",J872&gt;60,"Old Age")</f>
        <v>Adult</v>
      </c>
      <c r="M872">
        <v>0</v>
      </c>
      <c r="N872">
        <v>0</v>
      </c>
      <c r="O872">
        <f t="shared" si="69"/>
        <v>1</v>
      </c>
      <c r="P872">
        <v>7.8958000000000004</v>
      </c>
      <c r="Q872" t="str">
        <f t="shared" si="65"/>
        <v>High</v>
      </c>
      <c r="R872" t="s">
        <v>1514</v>
      </c>
    </row>
    <row r="873" spans="1:18" x14ac:dyDescent="0.45">
      <c r="A873">
        <v>872</v>
      </c>
      <c r="B873">
        <v>1</v>
      </c>
      <c r="C873" t="str">
        <f t="shared" si="66"/>
        <v>Survived</v>
      </c>
      <c r="D873">
        <v>1</v>
      </c>
      <c r="E873" t="s">
        <v>1497</v>
      </c>
      <c r="F873" t="s">
        <v>723</v>
      </c>
      <c r="G873" t="s">
        <v>272</v>
      </c>
      <c r="H873" t="s">
        <v>10</v>
      </c>
      <c r="I873" t="str">
        <f t="shared" si="67"/>
        <v>Female</v>
      </c>
      <c r="J873">
        <v>47</v>
      </c>
      <c r="K873" t="str">
        <f t="shared" si="68"/>
        <v>Adult</v>
      </c>
      <c r="L873" t="str" cm="1">
        <f t="array" ref="L873">_xlfn.IFS(J873&lt;13,"Child",J873&lt;18,"Teen",J873&lt;60,"Adult",J873&gt;60,"Old Age")</f>
        <v>Adult</v>
      </c>
      <c r="M873">
        <v>1</v>
      </c>
      <c r="N873">
        <v>1</v>
      </c>
      <c r="O873">
        <f t="shared" si="69"/>
        <v>3</v>
      </c>
      <c r="P873">
        <v>52.554200000000002</v>
      </c>
      <c r="Q873" t="str">
        <f t="shared" si="65"/>
        <v>High</v>
      </c>
      <c r="R873" t="s">
        <v>1514</v>
      </c>
    </row>
    <row r="874" spans="1:18" x14ac:dyDescent="0.45">
      <c r="A874">
        <v>873</v>
      </c>
      <c r="B874">
        <v>0</v>
      </c>
      <c r="C874" t="str">
        <f t="shared" si="66"/>
        <v>Not Survived</v>
      </c>
      <c r="D874">
        <v>1</v>
      </c>
      <c r="E874" t="s">
        <v>1498</v>
      </c>
      <c r="F874" t="s">
        <v>722</v>
      </c>
      <c r="G874" t="s">
        <v>638</v>
      </c>
      <c r="H874" t="s">
        <v>9</v>
      </c>
      <c r="I874" t="str">
        <f t="shared" si="67"/>
        <v>Male</v>
      </c>
      <c r="J874">
        <v>33</v>
      </c>
      <c r="K874" t="str">
        <f t="shared" si="68"/>
        <v>Adult</v>
      </c>
      <c r="L874" t="str" cm="1">
        <f t="array" ref="L874">_xlfn.IFS(J874&lt;13,"Child",J874&lt;18,"Teen",J874&lt;60,"Adult",J874&gt;60,"Old Age")</f>
        <v>Adult</v>
      </c>
      <c r="M874">
        <v>0</v>
      </c>
      <c r="N874">
        <v>0</v>
      </c>
      <c r="O874">
        <f t="shared" si="69"/>
        <v>1</v>
      </c>
      <c r="P874">
        <v>5</v>
      </c>
      <c r="Q874" t="str">
        <f t="shared" si="65"/>
        <v>High</v>
      </c>
      <c r="R874" t="s">
        <v>1514</v>
      </c>
    </row>
    <row r="875" spans="1:18" x14ac:dyDescent="0.45">
      <c r="A875">
        <v>874</v>
      </c>
      <c r="B875">
        <v>0</v>
      </c>
      <c r="C875" t="str">
        <f t="shared" si="66"/>
        <v>Not Survived</v>
      </c>
      <c r="D875">
        <v>3</v>
      </c>
      <c r="E875" t="s">
        <v>874</v>
      </c>
      <c r="F875" t="s">
        <v>722</v>
      </c>
      <c r="G875" t="s">
        <v>710</v>
      </c>
      <c r="H875" t="s">
        <v>9</v>
      </c>
      <c r="I875" t="str">
        <f t="shared" si="67"/>
        <v>Male</v>
      </c>
      <c r="J875">
        <v>47</v>
      </c>
      <c r="K875" t="str">
        <f t="shared" si="68"/>
        <v>Adult</v>
      </c>
      <c r="L875" t="str" cm="1">
        <f t="array" ref="L875">_xlfn.IFS(J875&lt;13,"Child",J875&lt;18,"Teen",J875&lt;60,"Adult",J875&gt;60,"Old Age")</f>
        <v>Adult</v>
      </c>
      <c r="M875">
        <v>0</v>
      </c>
      <c r="N875">
        <v>0</v>
      </c>
      <c r="O875">
        <f t="shared" si="69"/>
        <v>1</v>
      </c>
      <c r="P875">
        <v>9</v>
      </c>
      <c r="Q875" t="str">
        <f t="shared" si="65"/>
        <v>High</v>
      </c>
      <c r="R875" t="s">
        <v>1514</v>
      </c>
    </row>
    <row r="876" spans="1:18" x14ac:dyDescent="0.45">
      <c r="A876">
        <v>875</v>
      </c>
      <c r="B876">
        <v>1</v>
      </c>
      <c r="C876" t="str">
        <f t="shared" si="66"/>
        <v>Survived</v>
      </c>
      <c r="D876">
        <v>2</v>
      </c>
      <c r="E876" t="s">
        <v>1398</v>
      </c>
      <c r="F876" t="s">
        <v>723</v>
      </c>
      <c r="G876" t="s">
        <v>322</v>
      </c>
      <c r="H876" t="s">
        <v>10</v>
      </c>
      <c r="I876" t="str">
        <f t="shared" si="67"/>
        <v>Female</v>
      </c>
      <c r="J876">
        <v>28</v>
      </c>
      <c r="K876" t="str">
        <f t="shared" si="68"/>
        <v>Adult</v>
      </c>
      <c r="L876" t="str" cm="1">
        <f t="array" ref="L876">_xlfn.IFS(J876&lt;13,"Child",J876&lt;18,"Teen",J876&lt;60,"Adult",J876&gt;60,"Old Age")</f>
        <v>Adult</v>
      </c>
      <c r="M876">
        <v>1</v>
      </c>
      <c r="N876">
        <v>0</v>
      </c>
      <c r="O876">
        <f t="shared" si="69"/>
        <v>2</v>
      </c>
      <c r="P876">
        <v>24</v>
      </c>
      <c r="Q876" t="str">
        <f t="shared" si="65"/>
        <v>High</v>
      </c>
      <c r="R876" t="s">
        <v>1515</v>
      </c>
    </row>
    <row r="877" spans="1:18" x14ac:dyDescent="0.45">
      <c r="A877">
        <v>876</v>
      </c>
      <c r="B877">
        <v>1</v>
      </c>
      <c r="C877" t="str">
        <f t="shared" si="66"/>
        <v>Survived</v>
      </c>
      <c r="D877">
        <v>3</v>
      </c>
      <c r="E877" t="s">
        <v>1499</v>
      </c>
      <c r="F877" t="s">
        <v>724</v>
      </c>
      <c r="G877" t="s">
        <v>711</v>
      </c>
      <c r="H877" t="s">
        <v>10</v>
      </c>
      <c r="I877" t="str">
        <f t="shared" si="67"/>
        <v>Female</v>
      </c>
      <c r="J877">
        <v>15</v>
      </c>
      <c r="K877" t="str">
        <f t="shared" si="68"/>
        <v>Teen</v>
      </c>
      <c r="L877" t="str" cm="1">
        <f t="array" ref="L877">_xlfn.IFS(J877&lt;13,"Child",J877&lt;18,"Teen",J877&lt;60,"Adult",J877&gt;60,"Old Age")</f>
        <v>Teen</v>
      </c>
      <c r="M877">
        <v>0</v>
      </c>
      <c r="N877">
        <v>0</v>
      </c>
      <c r="O877">
        <f t="shared" si="69"/>
        <v>1</v>
      </c>
      <c r="P877">
        <v>7.2249999999999996</v>
      </c>
      <c r="Q877" t="str">
        <f t="shared" si="65"/>
        <v>High</v>
      </c>
      <c r="R877" t="s">
        <v>1515</v>
      </c>
    </row>
    <row r="878" spans="1:18" x14ac:dyDescent="0.45">
      <c r="A878">
        <v>877</v>
      </c>
      <c r="B878">
        <v>0</v>
      </c>
      <c r="C878" t="str">
        <f t="shared" si="66"/>
        <v>Not Survived</v>
      </c>
      <c r="D878">
        <v>3</v>
      </c>
      <c r="E878" t="s">
        <v>1500</v>
      </c>
      <c r="F878" t="s">
        <v>722</v>
      </c>
      <c r="G878" t="s">
        <v>154</v>
      </c>
      <c r="H878" t="s">
        <v>9</v>
      </c>
      <c r="I878" t="str">
        <f t="shared" si="67"/>
        <v>Male</v>
      </c>
      <c r="J878">
        <v>20</v>
      </c>
      <c r="K878" t="str">
        <f t="shared" si="68"/>
        <v>Adult</v>
      </c>
      <c r="L878" t="str" cm="1">
        <f t="array" ref="L878">_xlfn.IFS(J878&lt;13,"Child",J878&lt;18,"Teen",J878&lt;60,"Adult",J878&gt;60,"Old Age")</f>
        <v>Adult</v>
      </c>
      <c r="M878">
        <v>0</v>
      </c>
      <c r="N878">
        <v>0</v>
      </c>
      <c r="O878">
        <f t="shared" si="69"/>
        <v>1</v>
      </c>
      <c r="P878">
        <v>9.8458000000000006</v>
      </c>
      <c r="Q878" t="str">
        <f t="shared" si="65"/>
        <v>High</v>
      </c>
      <c r="R878" t="s">
        <v>1514</v>
      </c>
    </row>
    <row r="879" spans="1:18" x14ac:dyDescent="0.45">
      <c r="A879">
        <v>878</v>
      </c>
      <c r="B879">
        <v>0</v>
      </c>
      <c r="C879" t="str">
        <f t="shared" si="66"/>
        <v>Not Survived</v>
      </c>
      <c r="D879">
        <v>3</v>
      </c>
      <c r="E879" t="s">
        <v>1501</v>
      </c>
      <c r="F879" t="s">
        <v>722</v>
      </c>
      <c r="G879" t="s">
        <v>151</v>
      </c>
      <c r="H879" t="s">
        <v>9</v>
      </c>
      <c r="I879" t="str">
        <f t="shared" si="67"/>
        <v>Male</v>
      </c>
      <c r="J879">
        <v>19</v>
      </c>
      <c r="K879" t="str">
        <f t="shared" si="68"/>
        <v>Adult</v>
      </c>
      <c r="L879" t="str" cm="1">
        <f t="array" ref="L879">_xlfn.IFS(J879&lt;13,"Child",J879&lt;18,"Teen",J879&lt;60,"Adult",J879&gt;60,"Old Age")</f>
        <v>Adult</v>
      </c>
      <c r="M879">
        <v>0</v>
      </c>
      <c r="N879">
        <v>0</v>
      </c>
      <c r="O879">
        <f t="shared" si="69"/>
        <v>1</v>
      </c>
      <c r="P879">
        <v>7.8958000000000004</v>
      </c>
      <c r="Q879" t="str">
        <f t="shared" si="65"/>
        <v>High</v>
      </c>
      <c r="R879" t="s">
        <v>1514</v>
      </c>
    </row>
    <row r="880" spans="1:18" x14ac:dyDescent="0.45">
      <c r="A880">
        <v>879</v>
      </c>
      <c r="B880">
        <v>0</v>
      </c>
      <c r="C880" t="str">
        <f t="shared" si="66"/>
        <v>Not Survived</v>
      </c>
      <c r="D880">
        <v>3</v>
      </c>
      <c r="E880" t="s">
        <v>1502</v>
      </c>
      <c r="F880" t="s">
        <v>722</v>
      </c>
      <c r="G880" t="s">
        <v>712</v>
      </c>
      <c r="H880" t="s">
        <v>9</v>
      </c>
      <c r="I880" t="str">
        <f t="shared" si="67"/>
        <v>Male</v>
      </c>
      <c r="J880">
        <v>28</v>
      </c>
      <c r="K880" t="str">
        <f t="shared" si="68"/>
        <v>Adult</v>
      </c>
      <c r="L880" t="str" cm="1">
        <f t="array" ref="L880">_xlfn.IFS(J880&lt;13,"Child",J880&lt;18,"Teen",J880&lt;60,"Adult",J880&gt;60,"Old Age")</f>
        <v>Adult</v>
      </c>
      <c r="M880">
        <v>0</v>
      </c>
      <c r="N880">
        <v>0</v>
      </c>
      <c r="O880">
        <f t="shared" si="69"/>
        <v>1</v>
      </c>
      <c r="P880">
        <v>7.8958000000000004</v>
      </c>
      <c r="Q880" t="str">
        <f t="shared" si="65"/>
        <v>High</v>
      </c>
      <c r="R880" t="s">
        <v>1514</v>
      </c>
    </row>
    <row r="881" spans="1:18" x14ac:dyDescent="0.45">
      <c r="A881">
        <v>880</v>
      </c>
      <c r="B881">
        <v>1</v>
      </c>
      <c r="C881" t="str">
        <f t="shared" si="66"/>
        <v>Survived</v>
      </c>
      <c r="D881">
        <v>1</v>
      </c>
      <c r="E881" t="s">
        <v>1503</v>
      </c>
      <c r="F881" t="s">
        <v>723</v>
      </c>
      <c r="G881" t="s">
        <v>713</v>
      </c>
      <c r="H881" t="s">
        <v>10</v>
      </c>
      <c r="I881" t="str">
        <f t="shared" si="67"/>
        <v>Female</v>
      </c>
      <c r="J881">
        <v>56</v>
      </c>
      <c r="K881" t="str">
        <f t="shared" si="68"/>
        <v>Adult</v>
      </c>
      <c r="L881" t="str" cm="1">
        <f t="array" ref="L881">_xlfn.IFS(J881&lt;13,"Child",J881&lt;18,"Teen",J881&lt;60,"Adult",J881&gt;60,"Old Age")</f>
        <v>Adult</v>
      </c>
      <c r="M881">
        <v>0</v>
      </c>
      <c r="N881">
        <v>1</v>
      </c>
      <c r="O881">
        <f t="shared" si="69"/>
        <v>2</v>
      </c>
      <c r="P881">
        <v>83.158299999999997</v>
      </c>
      <c r="Q881" t="str">
        <f t="shared" si="65"/>
        <v>High</v>
      </c>
      <c r="R881" t="s">
        <v>1515</v>
      </c>
    </row>
    <row r="882" spans="1:18" x14ac:dyDescent="0.45">
      <c r="A882">
        <v>881</v>
      </c>
      <c r="B882">
        <v>1</v>
      </c>
      <c r="C882" t="str">
        <f t="shared" si="66"/>
        <v>Survived</v>
      </c>
      <c r="D882">
        <v>2</v>
      </c>
      <c r="E882" t="s">
        <v>901</v>
      </c>
      <c r="F882" t="s">
        <v>723</v>
      </c>
      <c r="G882" t="s">
        <v>714</v>
      </c>
      <c r="H882" t="s">
        <v>10</v>
      </c>
      <c r="I882" t="str">
        <f t="shared" si="67"/>
        <v>Female</v>
      </c>
      <c r="J882">
        <v>25</v>
      </c>
      <c r="K882" t="str">
        <f t="shared" si="68"/>
        <v>Adult</v>
      </c>
      <c r="L882" t="str" cm="1">
        <f t="array" ref="L882">_xlfn.IFS(J882&lt;13,"Child",J882&lt;18,"Teen",J882&lt;60,"Adult",J882&gt;60,"Old Age")</f>
        <v>Adult</v>
      </c>
      <c r="M882">
        <v>0</v>
      </c>
      <c r="N882">
        <v>1</v>
      </c>
      <c r="O882">
        <f t="shared" si="69"/>
        <v>2</v>
      </c>
      <c r="P882">
        <v>26</v>
      </c>
      <c r="Q882" t="str">
        <f t="shared" si="65"/>
        <v>High</v>
      </c>
      <c r="R882" t="s">
        <v>1514</v>
      </c>
    </row>
    <row r="883" spans="1:18" x14ac:dyDescent="0.45">
      <c r="A883">
        <v>882</v>
      </c>
      <c r="B883">
        <v>0</v>
      </c>
      <c r="C883" t="str">
        <f t="shared" si="66"/>
        <v>Not Survived</v>
      </c>
      <c r="D883">
        <v>3</v>
      </c>
      <c r="E883" t="s">
        <v>1504</v>
      </c>
      <c r="F883" t="s">
        <v>722</v>
      </c>
      <c r="G883" t="s">
        <v>715</v>
      </c>
      <c r="H883" t="s">
        <v>9</v>
      </c>
      <c r="I883" t="str">
        <f t="shared" si="67"/>
        <v>Male</v>
      </c>
      <c r="J883">
        <v>33</v>
      </c>
      <c r="K883" t="str">
        <f t="shared" si="68"/>
        <v>Adult</v>
      </c>
      <c r="L883" t="str" cm="1">
        <f t="array" ref="L883">_xlfn.IFS(J883&lt;13,"Child",J883&lt;18,"Teen",J883&lt;60,"Adult",J883&gt;60,"Old Age")</f>
        <v>Adult</v>
      </c>
      <c r="M883">
        <v>0</v>
      </c>
      <c r="N883">
        <v>0</v>
      </c>
      <c r="O883">
        <f t="shared" si="69"/>
        <v>1</v>
      </c>
      <c r="P883">
        <v>7.8958000000000004</v>
      </c>
      <c r="Q883" t="str">
        <f t="shared" si="65"/>
        <v>High</v>
      </c>
      <c r="R883" t="s">
        <v>1514</v>
      </c>
    </row>
    <row r="884" spans="1:18" x14ac:dyDescent="0.45">
      <c r="A884">
        <v>883</v>
      </c>
      <c r="B884">
        <v>0</v>
      </c>
      <c r="C884" t="str">
        <f t="shared" si="66"/>
        <v>Not Survived</v>
      </c>
      <c r="D884">
        <v>3</v>
      </c>
      <c r="E884" t="s">
        <v>1505</v>
      </c>
      <c r="F884" t="s">
        <v>724</v>
      </c>
      <c r="G884" t="s">
        <v>716</v>
      </c>
      <c r="H884" t="s">
        <v>10</v>
      </c>
      <c r="I884" t="str">
        <f t="shared" si="67"/>
        <v>Female</v>
      </c>
      <c r="J884">
        <v>22</v>
      </c>
      <c r="K884" t="str">
        <f t="shared" si="68"/>
        <v>Adult</v>
      </c>
      <c r="L884" t="str" cm="1">
        <f t="array" ref="L884">_xlfn.IFS(J884&lt;13,"Child",J884&lt;18,"Teen",J884&lt;60,"Adult",J884&gt;60,"Old Age")</f>
        <v>Adult</v>
      </c>
      <c r="M884">
        <v>0</v>
      </c>
      <c r="N884">
        <v>0</v>
      </c>
      <c r="O884">
        <f t="shared" si="69"/>
        <v>1</v>
      </c>
      <c r="P884" t="s">
        <v>50</v>
      </c>
      <c r="Q884" t="str">
        <f t="shared" si="65"/>
        <v>High</v>
      </c>
      <c r="R884" t="s">
        <v>1514</v>
      </c>
    </row>
    <row r="885" spans="1:18" x14ac:dyDescent="0.45">
      <c r="A885">
        <v>884</v>
      </c>
      <c r="B885">
        <v>0</v>
      </c>
      <c r="C885" t="str">
        <f t="shared" si="66"/>
        <v>Not Survived</v>
      </c>
      <c r="D885">
        <v>2</v>
      </c>
      <c r="E885" t="s">
        <v>1506</v>
      </c>
      <c r="F885" t="s">
        <v>722</v>
      </c>
      <c r="G885" t="s">
        <v>717</v>
      </c>
      <c r="H885" t="s">
        <v>9</v>
      </c>
      <c r="I885" t="str">
        <f t="shared" si="67"/>
        <v>Male</v>
      </c>
      <c r="J885">
        <v>28</v>
      </c>
      <c r="K885" t="str">
        <f t="shared" si="68"/>
        <v>Adult</v>
      </c>
      <c r="L885" t="str" cm="1">
        <f t="array" ref="L885">_xlfn.IFS(J885&lt;13,"Child",J885&lt;18,"Teen",J885&lt;60,"Adult",J885&gt;60,"Old Age")</f>
        <v>Adult</v>
      </c>
      <c r="M885">
        <v>0</v>
      </c>
      <c r="N885">
        <v>0</v>
      </c>
      <c r="O885">
        <f t="shared" si="69"/>
        <v>1</v>
      </c>
      <c r="P885" t="s">
        <v>18</v>
      </c>
      <c r="Q885" t="str">
        <f t="shared" si="65"/>
        <v>High</v>
      </c>
      <c r="R885" t="s">
        <v>1514</v>
      </c>
    </row>
    <row r="886" spans="1:18" x14ac:dyDescent="0.45">
      <c r="A886">
        <v>885</v>
      </c>
      <c r="B886">
        <v>0</v>
      </c>
      <c r="C886" t="str">
        <f t="shared" si="66"/>
        <v>Not Survived</v>
      </c>
      <c r="D886">
        <v>3</v>
      </c>
      <c r="E886" t="s">
        <v>1507</v>
      </c>
      <c r="F886" t="s">
        <v>722</v>
      </c>
      <c r="G886" t="s">
        <v>718</v>
      </c>
      <c r="H886" t="s">
        <v>9</v>
      </c>
      <c r="I886" t="str">
        <f t="shared" si="67"/>
        <v>Male</v>
      </c>
      <c r="J886">
        <v>25</v>
      </c>
      <c r="K886" t="str">
        <f t="shared" si="68"/>
        <v>Adult</v>
      </c>
      <c r="L886" t="str" cm="1">
        <f t="array" ref="L886">_xlfn.IFS(J886&lt;13,"Child",J886&lt;18,"Teen",J886&lt;60,"Adult",J886&gt;60,"Old Age")</f>
        <v>Adult</v>
      </c>
      <c r="M886">
        <v>0</v>
      </c>
      <c r="N886">
        <v>0</v>
      </c>
      <c r="O886">
        <f t="shared" si="69"/>
        <v>1</v>
      </c>
      <c r="P886" t="s">
        <v>22</v>
      </c>
      <c r="Q886" t="str">
        <f t="shared" si="65"/>
        <v>High</v>
      </c>
      <c r="R886" t="s">
        <v>1514</v>
      </c>
    </row>
    <row r="887" spans="1:18" x14ac:dyDescent="0.45">
      <c r="A887">
        <v>886</v>
      </c>
      <c r="B887">
        <v>0</v>
      </c>
      <c r="C887" t="str">
        <f t="shared" si="66"/>
        <v>Not Survived</v>
      </c>
      <c r="D887">
        <v>3</v>
      </c>
      <c r="E887" t="s">
        <v>901</v>
      </c>
      <c r="F887" t="s">
        <v>723</v>
      </c>
      <c r="G887" t="s">
        <v>71</v>
      </c>
      <c r="H887" t="s">
        <v>10</v>
      </c>
      <c r="I887" t="str">
        <f t="shared" si="67"/>
        <v>Female</v>
      </c>
      <c r="J887">
        <v>39</v>
      </c>
      <c r="K887" t="str">
        <f t="shared" si="68"/>
        <v>Adult</v>
      </c>
      <c r="L887" t="str" cm="1">
        <f t="array" ref="L887">_xlfn.IFS(J887&lt;13,"Child",J887&lt;18,"Teen",J887&lt;60,"Adult",J887&gt;60,"Old Age")</f>
        <v>Adult</v>
      </c>
      <c r="M887">
        <v>0</v>
      </c>
      <c r="N887">
        <v>5</v>
      </c>
      <c r="O887">
        <f t="shared" si="69"/>
        <v>6</v>
      </c>
      <c r="P887">
        <v>29.125</v>
      </c>
      <c r="Q887" t="str">
        <f t="shared" si="65"/>
        <v>High</v>
      </c>
      <c r="R887" t="s">
        <v>1516</v>
      </c>
    </row>
    <row r="888" spans="1:18" x14ac:dyDescent="0.45">
      <c r="A888">
        <v>887</v>
      </c>
      <c r="B888">
        <v>0</v>
      </c>
      <c r="C888" t="str">
        <f t="shared" si="66"/>
        <v>Not Survived</v>
      </c>
      <c r="D888">
        <v>2</v>
      </c>
      <c r="E888" t="s">
        <v>1508</v>
      </c>
      <c r="F888" t="s">
        <v>727</v>
      </c>
      <c r="G888" t="s">
        <v>719</v>
      </c>
      <c r="H888" t="s">
        <v>9</v>
      </c>
      <c r="I888" t="str">
        <f t="shared" si="67"/>
        <v>Male</v>
      </c>
      <c r="J888">
        <v>27</v>
      </c>
      <c r="K888" t="str">
        <f t="shared" si="68"/>
        <v>Adult</v>
      </c>
      <c r="L888" t="str" cm="1">
        <f t="array" ref="L888">_xlfn.IFS(J888&lt;13,"Child",J888&lt;18,"Teen",J888&lt;60,"Adult",J888&gt;60,"Old Age")</f>
        <v>Adult</v>
      </c>
      <c r="M888">
        <v>0</v>
      </c>
      <c r="N888">
        <v>0</v>
      </c>
      <c r="O888">
        <f t="shared" si="69"/>
        <v>1</v>
      </c>
      <c r="P888">
        <v>13</v>
      </c>
      <c r="Q888" t="str">
        <f t="shared" si="65"/>
        <v>High</v>
      </c>
      <c r="R888" t="s">
        <v>1514</v>
      </c>
    </row>
    <row r="889" spans="1:18" x14ac:dyDescent="0.45">
      <c r="A889">
        <v>888</v>
      </c>
      <c r="B889">
        <v>1</v>
      </c>
      <c r="C889" t="str">
        <f t="shared" si="66"/>
        <v>Survived</v>
      </c>
      <c r="D889">
        <v>1</v>
      </c>
      <c r="E889" t="s">
        <v>1509</v>
      </c>
      <c r="F889" t="s">
        <v>724</v>
      </c>
      <c r="G889" t="s">
        <v>288</v>
      </c>
      <c r="H889" t="s">
        <v>10</v>
      </c>
      <c r="I889" t="str">
        <f t="shared" si="67"/>
        <v>Female</v>
      </c>
      <c r="J889">
        <v>19</v>
      </c>
      <c r="K889" t="str">
        <f t="shared" si="68"/>
        <v>Adult</v>
      </c>
      <c r="L889" t="str" cm="1">
        <f t="array" ref="L889">_xlfn.IFS(J889&lt;13,"Child",J889&lt;18,"Teen",J889&lt;60,"Adult",J889&gt;60,"Old Age")</f>
        <v>Adult</v>
      </c>
      <c r="M889">
        <v>0</v>
      </c>
      <c r="N889">
        <v>0</v>
      </c>
      <c r="O889">
        <f t="shared" si="69"/>
        <v>1</v>
      </c>
      <c r="P889">
        <v>314.45420000000001</v>
      </c>
      <c r="Q889" t="str">
        <f t="shared" si="65"/>
        <v>High</v>
      </c>
      <c r="R889" t="s">
        <v>1514</v>
      </c>
    </row>
    <row r="890" spans="1:18" x14ac:dyDescent="0.45">
      <c r="A890">
        <v>889</v>
      </c>
      <c r="B890">
        <v>0</v>
      </c>
      <c r="C890" t="str">
        <f t="shared" si="66"/>
        <v>Not Survived</v>
      </c>
      <c r="D890">
        <v>3</v>
      </c>
      <c r="E890" t="s">
        <v>1510</v>
      </c>
      <c r="F890" t="s">
        <v>724</v>
      </c>
      <c r="G890" t="s">
        <v>659</v>
      </c>
      <c r="H890" t="s">
        <v>10</v>
      </c>
      <c r="I890" t="str">
        <f t="shared" si="67"/>
        <v>Female</v>
      </c>
      <c r="J890">
        <v>28</v>
      </c>
      <c r="K890" t="str">
        <f t="shared" si="68"/>
        <v>Adult</v>
      </c>
      <c r="L890" t="str" cm="1">
        <f t="array" ref="L890">_xlfn.IFS(J890&lt;13,"Child",J890&lt;18,"Teen",J890&lt;60,"Adult",J890&gt;60,"Old Age")</f>
        <v>Adult</v>
      </c>
      <c r="M890">
        <v>1</v>
      </c>
      <c r="N890">
        <v>2</v>
      </c>
      <c r="O890">
        <f t="shared" si="69"/>
        <v>4</v>
      </c>
      <c r="P890">
        <v>23.45</v>
      </c>
      <c r="Q890" t="str">
        <f t="shared" si="65"/>
        <v>High</v>
      </c>
      <c r="R890" t="s">
        <v>1514</v>
      </c>
    </row>
    <row r="891" spans="1:18" x14ac:dyDescent="0.45">
      <c r="A891">
        <v>890</v>
      </c>
      <c r="B891">
        <v>1</v>
      </c>
      <c r="C891" t="str">
        <f t="shared" si="66"/>
        <v>Survived</v>
      </c>
      <c r="D891">
        <v>1</v>
      </c>
      <c r="E891" t="s">
        <v>1511</v>
      </c>
      <c r="F891" t="s">
        <v>722</v>
      </c>
      <c r="G891" t="s">
        <v>720</v>
      </c>
      <c r="H891" t="s">
        <v>9</v>
      </c>
      <c r="I891" t="str">
        <f t="shared" si="67"/>
        <v>Male</v>
      </c>
      <c r="J891">
        <v>26</v>
      </c>
      <c r="K891" t="str">
        <f t="shared" si="68"/>
        <v>Adult</v>
      </c>
      <c r="L891" t="str" cm="1">
        <f t="array" ref="L891">_xlfn.IFS(J891&lt;13,"Child",J891&lt;18,"Teen",J891&lt;60,"Adult",J891&gt;60,"Old Age")</f>
        <v>Adult</v>
      </c>
      <c r="M891">
        <v>0</v>
      </c>
      <c r="N891">
        <v>0</v>
      </c>
      <c r="O891">
        <f t="shared" si="69"/>
        <v>1</v>
      </c>
      <c r="P891">
        <v>314.45420000000001</v>
      </c>
      <c r="Q891" t="str">
        <f t="shared" si="65"/>
        <v>High</v>
      </c>
      <c r="R891" t="s">
        <v>1515</v>
      </c>
    </row>
    <row r="892" spans="1:18" x14ac:dyDescent="0.45">
      <c r="A892">
        <v>891</v>
      </c>
      <c r="B892">
        <v>0</v>
      </c>
      <c r="C892" t="str">
        <f t="shared" si="66"/>
        <v>Not Survived</v>
      </c>
      <c r="D892">
        <v>3</v>
      </c>
      <c r="E892" t="s">
        <v>851</v>
      </c>
      <c r="F892" t="s">
        <v>722</v>
      </c>
      <c r="G892" t="s">
        <v>721</v>
      </c>
      <c r="H892" t="s">
        <v>9</v>
      </c>
      <c r="I892" t="str">
        <f t="shared" si="67"/>
        <v>Male</v>
      </c>
      <c r="J892">
        <v>32</v>
      </c>
      <c r="K892" t="str">
        <f t="shared" si="68"/>
        <v>Adult</v>
      </c>
      <c r="L892" t="str" cm="1">
        <f t="array" ref="L892">_xlfn.IFS(J892&lt;13,"Child",J892&lt;18,"Teen",J892&lt;60,"Adult",J892&gt;60,"Old Age")</f>
        <v>Adult</v>
      </c>
      <c r="M892">
        <v>0</v>
      </c>
      <c r="N892">
        <v>0</v>
      </c>
      <c r="O892">
        <f t="shared" si="69"/>
        <v>1</v>
      </c>
      <c r="P892">
        <v>7.75</v>
      </c>
      <c r="Q892" t="str">
        <f t="shared" si="65"/>
        <v>High</v>
      </c>
      <c r="R892" t="s">
        <v>1516</v>
      </c>
    </row>
  </sheetData>
  <autoFilter ref="A1:R892" xr:uid="{A48EF2AD-52CD-4395-ACB5-1CF2D24B002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405D8-CD66-4315-A4D9-3A2486E75423}">
  <dimension ref="A1:R892"/>
  <sheetViews>
    <sheetView workbookViewId="0">
      <selection activeCell="D1" sqref="D1"/>
    </sheetView>
  </sheetViews>
  <sheetFormatPr defaultRowHeight="14.25" x14ac:dyDescent="0.45"/>
  <sheetData>
    <row r="1" spans="1:18" s="1" customFormat="1" x14ac:dyDescent="0.45">
      <c r="A1" s="1" t="s">
        <v>0</v>
      </c>
      <c r="B1" s="1" t="s">
        <v>1</v>
      </c>
      <c r="C1" s="1" t="s">
        <v>11</v>
      </c>
      <c r="D1" s="1" t="s">
        <v>2</v>
      </c>
      <c r="E1" s="1" t="s">
        <v>53</v>
      </c>
      <c r="F1" s="1" t="s">
        <v>52</v>
      </c>
      <c r="G1" s="1" t="s">
        <v>54</v>
      </c>
      <c r="H1" s="1" t="s">
        <v>3</v>
      </c>
      <c r="I1" s="1" t="s">
        <v>51</v>
      </c>
      <c r="J1" s="1" t="s">
        <v>4</v>
      </c>
      <c r="K1" s="1" t="s">
        <v>1513</v>
      </c>
      <c r="L1" s="1" t="s">
        <v>1518</v>
      </c>
      <c r="M1" s="1" t="s">
        <v>5</v>
      </c>
      <c r="N1" s="1" t="s">
        <v>6</v>
      </c>
      <c r="O1" s="1" t="s">
        <v>1512</v>
      </c>
      <c r="P1" s="1" t="s">
        <v>7</v>
      </c>
      <c r="Q1" s="1" t="s">
        <v>1517</v>
      </c>
      <c r="R1" s="1" t="s">
        <v>8</v>
      </c>
    </row>
    <row r="2" spans="1:18" x14ac:dyDescent="0.45">
      <c r="A2">
        <v>1</v>
      </c>
      <c r="B2">
        <v>0</v>
      </c>
      <c r="C2" t="s">
        <v>1519</v>
      </c>
      <c r="D2" t="s">
        <v>1552</v>
      </c>
      <c r="E2" t="s">
        <v>739</v>
      </c>
      <c r="F2" t="s">
        <v>722</v>
      </c>
      <c r="G2" t="s">
        <v>55</v>
      </c>
      <c r="H2" t="s">
        <v>9</v>
      </c>
      <c r="I2" t="s">
        <v>1520</v>
      </c>
      <c r="J2">
        <v>22</v>
      </c>
      <c r="K2" t="s">
        <v>1521</v>
      </c>
      <c r="L2" t="s">
        <v>1521</v>
      </c>
      <c r="M2">
        <v>1</v>
      </c>
      <c r="N2">
        <v>0</v>
      </c>
      <c r="O2">
        <v>2</v>
      </c>
      <c r="P2">
        <v>7.25</v>
      </c>
      <c r="Q2" t="s">
        <v>1522</v>
      </c>
      <c r="R2" t="s">
        <v>1514</v>
      </c>
    </row>
    <row r="3" spans="1:18" x14ac:dyDescent="0.45">
      <c r="A3">
        <v>2</v>
      </c>
      <c r="B3">
        <v>1</v>
      </c>
      <c r="C3" t="s">
        <v>1</v>
      </c>
      <c r="D3" t="s">
        <v>1553</v>
      </c>
      <c r="E3" t="s">
        <v>740</v>
      </c>
      <c r="F3" t="s">
        <v>723</v>
      </c>
      <c r="G3" t="s">
        <v>56</v>
      </c>
      <c r="H3" t="s">
        <v>10</v>
      </c>
      <c r="I3" t="s">
        <v>1523</v>
      </c>
      <c r="J3">
        <v>38</v>
      </c>
      <c r="K3" t="s">
        <v>1521</v>
      </c>
      <c r="L3" t="s">
        <v>1521</v>
      </c>
      <c r="M3">
        <v>1</v>
      </c>
      <c r="N3">
        <v>0</v>
      </c>
      <c r="O3">
        <v>2</v>
      </c>
      <c r="P3">
        <v>71.283299999999997</v>
      </c>
      <c r="Q3" t="s">
        <v>1522</v>
      </c>
      <c r="R3" t="s">
        <v>1515</v>
      </c>
    </row>
    <row r="4" spans="1:18" x14ac:dyDescent="0.45">
      <c r="A4">
        <v>3</v>
      </c>
      <c r="B4">
        <v>1</v>
      </c>
      <c r="C4" t="s">
        <v>1</v>
      </c>
      <c r="D4" t="s">
        <v>1552</v>
      </c>
      <c r="E4" t="s">
        <v>741</v>
      </c>
      <c r="F4" t="s">
        <v>724</v>
      </c>
      <c r="G4" t="s">
        <v>57</v>
      </c>
      <c r="H4" t="s">
        <v>10</v>
      </c>
      <c r="I4" t="s">
        <v>1523</v>
      </c>
      <c r="J4">
        <v>26</v>
      </c>
      <c r="K4" t="s">
        <v>1521</v>
      </c>
      <c r="L4" t="s">
        <v>1521</v>
      </c>
      <c r="M4">
        <v>0</v>
      </c>
      <c r="N4">
        <v>0</v>
      </c>
      <c r="O4">
        <v>1</v>
      </c>
      <c r="P4">
        <v>7.9249999999999998</v>
      </c>
      <c r="Q4" t="s">
        <v>1522</v>
      </c>
      <c r="R4" t="s">
        <v>1514</v>
      </c>
    </row>
    <row r="5" spans="1:18" x14ac:dyDescent="0.45">
      <c r="A5">
        <v>4</v>
      </c>
      <c r="B5">
        <v>1</v>
      </c>
      <c r="C5" t="s">
        <v>1</v>
      </c>
      <c r="D5" t="s">
        <v>1553</v>
      </c>
      <c r="E5" t="s">
        <v>742</v>
      </c>
      <c r="F5" t="s">
        <v>723</v>
      </c>
      <c r="G5" t="s">
        <v>58</v>
      </c>
      <c r="H5" t="s">
        <v>10</v>
      </c>
      <c r="I5" t="s">
        <v>1523</v>
      </c>
      <c r="J5">
        <v>35</v>
      </c>
      <c r="K5" t="s">
        <v>1521</v>
      </c>
      <c r="L5" t="s">
        <v>1521</v>
      </c>
      <c r="M5">
        <v>1</v>
      </c>
      <c r="N5">
        <v>0</v>
      </c>
      <c r="O5">
        <v>2</v>
      </c>
      <c r="P5">
        <v>53.1</v>
      </c>
      <c r="Q5" t="s">
        <v>1522</v>
      </c>
      <c r="R5" t="s">
        <v>1514</v>
      </c>
    </row>
    <row r="6" spans="1:18" x14ac:dyDescent="0.45">
      <c r="A6">
        <v>5</v>
      </c>
      <c r="B6">
        <v>0</v>
      </c>
      <c r="C6" t="s">
        <v>1519</v>
      </c>
      <c r="D6" t="s">
        <v>1552</v>
      </c>
      <c r="E6" t="s">
        <v>743</v>
      </c>
      <c r="F6" t="s">
        <v>722</v>
      </c>
      <c r="G6" t="s">
        <v>59</v>
      </c>
      <c r="H6" t="s">
        <v>9</v>
      </c>
      <c r="I6" t="s">
        <v>1520</v>
      </c>
      <c r="J6">
        <v>35</v>
      </c>
      <c r="K6" t="s">
        <v>1521</v>
      </c>
      <c r="L6" t="s">
        <v>1521</v>
      </c>
      <c r="M6">
        <v>0</v>
      </c>
      <c r="N6">
        <v>0</v>
      </c>
      <c r="O6">
        <v>1</v>
      </c>
      <c r="P6" t="s">
        <v>12</v>
      </c>
      <c r="Q6" t="s">
        <v>1522</v>
      </c>
      <c r="R6" t="s">
        <v>1514</v>
      </c>
    </row>
    <row r="7" spans="1:18" x14ac:dyDescent="0.45">
      <c r="A7">
        <v>6</v>
      </c>
      <c r="B7">
        <v>0</v>
      </c>
      <c r="C7" t="s">
        <v>1519</v>
      </c>
      <c r="D7" t="s">
        <v>1552</v>
      </c>
      <c r="E7" t="s">
        <v>744</v>
      </c>
      <c r="F7" t="s">
        <v>722</v>
      </c>
      <c r="G7" t="s">
        <v>60</v>
      </c>
      <c r="H7" t="s">
        <v>9</v>
      </c>
      <c r="I7" t="s">
        <v>1520</v>
      </c>
      <c r="J7">
        <v>28</v>
      </c>
      <c r="K7" t="s">
        <v>1521</v>
      </c>
      <c r="L7" t="s">
        <v>1521</v>
      </c>
      <c r="M7">
        <v>0</v>
      </c>
      <c r="N7">
        <v>0</v>
      </c>
      <c r="O7">
        <v>1</v>
      </c>
      <c r="P7">
        <v>8.4582999999999995</v>
      </c>
      <c r="Q7" t="s">
        <v>1522</v>
      </c>
      <c r="R7" t="s">
        <v>1516</v>
      </c>
    </row>
    <row r="8" spans="1:18" x14ac:dyDescent="0.45">
      <c r="A8">
        <v>7</v>
      </c>
      <c r="B8">
        <v>0</v>
      </c>
      <c r="C8" t="s">
        <v>1519</v>
      </c>
      <c r="D8" t="s">
        <v>1553</v>
      </c>
      <c r="E8" t="s">
        <v>745</v>
      </c>
      <c r="F8" t="s">
        <v>722</v>
      </c>
      <c r="G8" t="s">
        <v>61</v>
      </c>
      <c r="H8" t="s">
        <v>9</v>
      </c>
      <c r="I8" t="s">
        <v>1520</v>
      </c>
      <c r="J8">
        <v>54</v>
      </c>
      <c r="K8" t="s">
        <v>1521</v>
      </c>
      <c r="L8" t="s">
        <v>1521</v>
      </c>
      <c r="M8">
        <v>0</v>
      </c>
      <c r="N8">
        <v>0</v>
      </c>
      <c r="O8">
        <v>1</v>
      </c>
      <c r="P8">
        <v>51.862499999999997</v>
      </c>
      <c r="Q8" t="s">
        <v>1522</v>
      </c>
      <c r="R8" t="s">
        <v>1514</v>
      </c>
    </row>
    <row r="9" spans="1:18" x14ac:dyDescent="0.45">
      <c r="A9">
        <v>8</v>
      </c>
      <c r="B9">
        <v>0</v>
      </c>
      <c r="C9" t="s">
        <v>1519</v>
      </c>
      <c r="D9" t="s">
        <v>1552</v>
      </c>
      <c r="E9" t="s">
        <v>746</v>
      </c>
      <c r="F9" t="s">
        <v>725</v>
      </c>
      <c r="G9" t="s">
        <v>62</v>
      </c>
      <c r="H9" t="s">
        <v>9</v>
      </c>
      <c r="I9" t="s">
        <v>1520</v>
      </c>
      <c r="J9">
        <v>2</v>
      </c>
      <c r="K9" t="s">
        <v>1524</v>
      </c>
      <c r="L9" t="s">
        <v>1524</v>
      </c>
      <c r="M9">
        <v>3</v>
      </c>
      <c r="N9">
        <v>1</v>
      </c>
      <c r="O9">
        <v>5</v>
      </c>
      <c r="P9" t="s">
        <v>13</v>
      </c>
      <c r="Q9" t="s">
        <v>1522</v>
      </c>
      <c r="R9" t="s">
        <v>1514</v>
      </c>
    </row>
    <row r="10" spans="1:18" x14ac:dyDescent="0.45">
      <c r="A10">
        <v>9</v>
      </c>
      <c r="B10">
        <v>1</v>
      </c>
      <c r="C10" t="s">
        <v>1</v>
      </c>
      <c r="D10" t="s">
        <v>1552</v>
      </c>
      <c r="E10" t="s">
        <v>747</v>
      </c>
      <c r="F10" t="s">
        <v>723</v>
      </c>
      <c r="G10" t="s">
        <v>63</v>
      </c>
      <c r="H10" t="s">
        <v>10</v>
      </c>
      <c r="I10" t="s">
        <v>1523</v>
      </c>
      <c r="J10">
        <v>27</v>
      </c>
      <c r="K10" t="s">
        <v>1521</v>
      </c>
      <c r="L10" t="s">
        <v>1521</v>
      </c>
      <c r="M10">
        <v>0</v>
      </c>
      <c r="N10">
        <v>2</v>
      </c>
      <c r="O10">
        <v>3</v>
      </c>
      <c r="P10">
        <v>11.1333</v>
      </c>
      <c r="Q10" t="s">
        <v>1522</v>
      </c>
      <c r="R10" t="s">
        <v>1514</v>
      </c>
    </row>
    <row r="11" spans="1:18" x14ac:dyDescent="0.45">
      <c r="A11">
        <v>10</v>
      </c>
      <c r="B11">
        <v>1</v>
      </c>
      <c r="C11" t="s">
        <v>1</v>
      </c>
      <c r="D11" t="s">
        <v>1554</v>
      </c>
      <c r="E11" t="s">
        <v>748</v>
      </c>
      <c r="F11" t="s">
        <v>723</v>
      </c>
      <c r="G11" t="s">
        <v>64</v>
      </c>
      <c r="H11" t="s">
        <v>10</v>
      </c>
      <c r="I11" t="s">
        <v>1523</v>
      </c>
      <c r="J11">
        <v>14</v>
      </c>
      <c r="K11" t="s">
        <v>1525</v>
      </c>
      <c r="L11" t="s">
        <v>1525</v>
      </c>
      <c r="M11">
        <v>1</v>
      </c>
      <c r="N11">
        <v>0</v>
      </c>
      <c r="O11">
        <v>2</v>
      </c>
      <c r="P11" t="s">
        <v>14</v>
      </c>
      <c r="Q11" t="s">
        <v>1522</v>
      </c>
      <c r="R11" t="s">
        <v>1515</v>
      </c>
    </row>
    <row r="12" spans="1:18" x14ac:dyDescent="0.45">
      <c r="A12">
        <v>11</v>
      </c>
      <c r="B12">
        <v>1</v>
      </c>
      <c r="C12" t="s">
        <v>1</v>
      </c>
      <c r="D12" t="s">
        <v>1552</v>
      </c>
      <c r="E12" t="s">
        <v>749</v>
      </c>
      <c r="F12" t="s">
        <v>724</v>
      </c>
      <c r="G12" t="s">
        <v>65</v>
      </c>
      <c r="H12" t="s">
        <v>10</v>
      </c>
      <c r="I12" t="s">
        <v>1523</v>
      </c>
      <c r="J12">
        <v>4</v>
      </c>
      <c r="K12" t="s">
        <v>1524</v>
      </c>
      <c r="L12" t="s">
        <v>1524</v>
      </c>
      <c r="M12">
        <v>1</v>
      </c>
      <c r="N12">
        <v>1</v>
      </c>
      <c r="O12">
        <v>3</v>
      </c>
      <c r="P12">
        <v>16.7</v>
      </c>
      <c r="Q12" t="s">
        <v>1526</v>
      </c>
      <c r="R12" t="s">
        <v>1514</v>
      </c>
    </row>
    <row r="13" spans="1:18" x14ac:dyDescent="0.45">
      <c r="A13">
        <v>12</v>
      </c>
      <c r="B13">
        <v>1</v>
      </c>
      <c r="C13" t="s">
        <v>1</v>
      </c>
      <c r="D13" t="s">
        <v>1553</v>
      </c>
      <c r="E13" t="s">
        <v>750</v>
      </c>
      <c r="F13" t="s">
        <v>724</v>
      </c>
      <c r="G13" t="s">
        <v>66</v>
      </c>
      <c r="H13" t="s">
        <v>10</v>
      </c>
      <c r="I13" t="s">
        <v>1523</v>
      </c>
      <c r="J13">
        <v>58</v>
      </c>
      <c r="K13" t="s">
        <v>1521</v>
      </c>
      <c r="L13" t="s">
        <v>1521</v>
      </c>
      <c r="M13">
        <v>0</v>
      </c>
      <c r="N13">
        <v>0</v>
      </c>
      <c r="O13">
        <v>1</v>
      </c>
      <c r="P13">
        <v>26.55</v>
      </c>
      <c r="Q13" t="s">
        <v>1526</v>
      </c>
      <c r="R13" t="s">
        <v>1514</v>
      </c>
    </row>
    <row r="14" spans="1:18" x14ac:dyDescent="0.45">
      <c r="A14">
        <v>13</v>
      </c>
      <c r="B14">
        <v>0</v>
      </c>
      <c r="C14" t="s">
        <v>1519</v>
      </c>
      <c r="D14" t="s">
        <v>1552</v>
      </c>
      <c r="E14" t="s">
        <v>743</v>
      </c>
      <c r="F14" t="s">
        <v>722</v>
      </c>
      <c r="G14" t="s">
        <v>67</v>
      </c>
      <c r="H14" t="s">
        <v>9</v>
      </c>
      <c r="I14" t="s">
        <v>1520</v>
      </c>
      <c r="J14">
        <v>20</v>
      </c>
      <c r="K14" t="s">
        <v>1521</v>
      </c>
      <c r="L14" t="s">
        <v>1521</v>
      </c>
      <c r="M14">
        <v>0</v>
      </c>
      <c r="N14">
        <v>0</v>
      </c>
      <c r="O14">
        <v>1</v>
      </c>
      <c r="P14" t="s">
        <v>12</v>
      </c>
      <c r="Q14" t="s">
        <v>1526</v>
      </c>
      <c r="R14" t="s">
        <v>1514</v>
      </c>
    </row>
    <row r="15" spans="1:18" x14ac:dyDescent="0.45">
      <c r="A15">
        <v>14</v>
      </c>
      <c r="B15">
        <v>0</v>
      </c>
      <c r="C15" t="s">
        <v>1519</v>
      </c>
      <c r="D15" t="s">
        <v>1552</v>
      </c>
      <c r="E15" t="s">
        <v>751</v>
      </c>
      <c r="F15" t="s">
        <v>722</v>
      </c>
      <c r="G15" t="s">
        <v>68</v>
      </c>
      <c r="H15" t="s">
        <v>9</v>
      </c>
      <c r="I15" t="s">
        <v>1520</v>
      </c>
      <c r="J15">
        <v>39</v>
      </c>
      <c r="K15" t="s">
        <v>1521</v>
      </c>
      <c r="L15" t="s">
        <v>1521</v>
      </c>
      <c r="M15">
        <v>1</v>
      </c>
      <c r="N15">
        <v>5</v>
      </c>
      <c r="O15">
        <v>7</v>
      </c>
      <c r="P15">
        <v>31.274999999999999</v>
      </c>
      <c r="Q15" t="s">
        <v>1526</v>
      </c>
      <c r="R15" t="s">
        <v>1514</v>
      </c>
    </row>
    <row r="16" spans="1:18" x14ac:dyDescent="0.45">
      <c r="A16">
        <v>15</v>
      </c>
      <c r="B16">
        <v>0</v>
      </c>
      <c r="C16" t="s">
        <v>1519</v>
      </c>
      <c r="D16" t="s">
        <v>1552</v>
      </c>
      <c r="E16" t="s">
        <v>752</v>
      </c>
      <c r="F16" t="s">
        <v>724</v>
      </c>
      <c r="G16" t="s">
        <v>69</v>
      </c>
      <c r="H16" t="s">
        <v>10</v>
      </c>
      <c r="I16" t="s">
        <v>1523</v>
      </c>
      <c r="J16">
        <v>14</v>
      </c>
      <c r="K16" t="s">
        <v>1525</v>
      </c>
      <c r="L16" t="s">
        <v>1525</v>
      </c>
      <c r="M16">
        <v>0</v>
      </c>
      <c r="N16">
        <v>0</v>
      </c>
      <c r="O16">
        <v>1</v>
      </c>
      <c r="P16">
        <v>7.8541999999999996</v>
      </c>
      <c r="Q16" t="s">
        <v>1526</v>
      </c>
      <c r="R16" t="s">
        <v>1514</v>
      </c>
    </row>
    <row r="17" spans="1:18" x14ac:dyDescent="0.45">
      <c r="A17">
        <v>16</v>
      </c>
      <c r="B17">
        <v>1</v>
      </c>
      <c r="C17" t="s">
        <v>1</v>
      </c>
      <c r="D17" t="s">
        <v>1554</v>
      </c>
      <c r="E17" t="s">
        <v>753</v>
      </c>
      <c r="F17" t="s">
        <v>723</v>
      </c>
      <c r="G17" t="s">
        <v>70</v>
      </c>
      <c r="H17" t="s">
        <v>10</v>
      </c>
      <c r="I17" t="s">
        <v>1523</v>
      </c>
      <c r="J17">
        <v>55</v>
      </c>
      <c r="K17" t="s">
        <v>1521</v>
      </c>
      <c r="L17" t="s">
        <v>1521</v>
      </c>
      <c r="M17">
        <v>0</v>
      </c>
      <c r="N17">
        <v>0</v>
      </c>
      <c r="O17">
        <v>1</v>
      </c>
      <c r="P17">
        <v>16</v>
      </c>
      <c r="Q17" t="s">
        <v>1526</v>
      </c>
      <c r="R17" t="s">
        <v>1514</v>
      </c>
    </row>
    <row r="18" spans="1:18" x14ac:dyDescent="0.45">
      <c r="A18">
        <v>17</v>
      </c>
      <c r="B18">
        <v>0</v>
      </c>
      <c r="C18" t="s">
        <v>1519</v>
      </c>
      <c r="D18" t="s">
        <v>1552</v>
      </c>
      <c r="E18" t="s">
        <v>754</v>
      </c>
      <c r="F18" t="s">
        <v>725</v>
      </c>
      <c r="G18" t="s">
        <v>71</v>
      </c>
      <c r="H18" t="s">
        <v>9</v>
      </c>
      <c r="I18" t="s">
        <v>1520</v>
      </c>
      <c r="J18">
        <v>2</v>
      </c>
      <c r="K18" t="s">
        <v>1524</v>
      </c>
      <c r="L18" t="s">
        <v>1524</v>
      </c>
      <c r="M18">
        <v>4</v>
      </c>
      <c r="N18">
        <v>1</v>
      </c>
      <c r="O18">
        <v>6</v>
      </c>
      <c r="P18">
        <v>29.125</v>
      </c>
      <c r="Q18" t="s">
        <v>1526</v>
      </c>
      <c r="R18" t="s">
        <v>1516</v>
      </c>
    </row>
    <row r="19" spans="1:18" x14ac:dyDescent="0.45">
      <c r="A19">
        <v>18</v>
      </c>
      <c r="B19">
        <v>1</v>
      </c>
      <c r="C19" t="s">
        <v>1</v>
      </c>
      <c r="D19" t="s">
        <v>1554</v>
      </c>
      <c r="E19" t="s">
        <v>755</v>
      </c>
      <c r="F19" t="s">
        <v>722</v>
      </c>
      <c r="G19" t="s">
        <v>72</v>
      </c>
      <c r="H19" t="s">
        <v>9</v>
      </c>
      <c r="I19" t="s">
        <v>1520</v>
      </c>
      <c r="J19">
        <v>28</v>
      </c>
      <c r="K19" t="s">
        <v>1521</v>
      </c>
      <c r="L19" t="s">
        <v>1521</v>
      </c>
      <c r="M19">
        <v>0</v>
      </c>
      <c r="N19">
        <v>0</v>
      </c>
      <c r="O19">
        <v>1</v>
      </c>
      <c r="P19">
        <v>13</v>
      </c>
      <c r="Q19" t="s">
        <v>1526</v>
      </c>
      <c r="R19" t="s">
        <v>1514</v>
      </c>
    </row>
    <row r="20" spans="1:18" x14ac:dyDescent="0.45">
      <c r="A20">
        <v>19</v>
      </c>
      <c r="B20">
        <v>0</v>
      </c>
      <c r="C20" t="s">
        <v>1519</v>
      </c>
      <c r="D20" t="s">
        <v>1552</v>
      </c>
      <c r="E20" t="s">
        <v>756</v>
      </c>
      <c r="F20" t="s">
        <v>723</v>
      </c>
      <c r="G20" t="s">
        <v>73</v>
      </c>
      <c r="H20" t="s">
        <v>10</v>
      </c>
      <c r="I20" t="s">
        <v>1523</v>
      </c>
      <c r="J20">
        <v>31</v>
      </c>
      <c r="K20" t="s">
        <v>1521</v>
      </c>
      <c r="L20" t="s">
        <v>1521</v>
      </c>
      <c r="M20">
        <v>1</v>
      </c>
      <c r="N20">
        <v>0</v>
      </c>
      <c r="O20">
        <v>2</v>
      </c>
      <c r="P20">
        <v>18</v>
      </c>
      <c r="Q20" t="s">
        <v>1526</v>
      </c>
      <c r="R20" t="s">
        <v>1514</v>
      </c>
    </row>
    <row r="21" spans="1:18" x14ac:dyDescent="0.45">
      <c r="A21">
        <v>20</v>
      </c>
      <c r="B21">
        <v>1</v>
      </c>
      <c r="C21" t="s">
        <v>1</v>
      </c>
      <c r="D21" t="s">
        <v>1552</v>
      </c>
      <c r="E21" t="s">
        <v>757</v>
      </c>
      <c r="F21" t="s">
        <v>723</v>
      </c>
      <c r="G21" t="s">
        <v>74</v>
      </c>
      <c r="H21" t="s">
        <v>10</v>
      </c>
      <c r="I21" t="s">
        <v>1523</v>
      </c>
      <c r="J21">
        <v>28</v>
      </c>
      <c r="K21" t="s">
        <v>1521</v>
      </c>
      <c r="L21" t="s">
        <v>1521</v>
      </c>
      <c r="M21">
        <v>0</v>
      </c>
      <c r="N21">
        <v>0</v>
      </c>
      <c r="O21">
        <v>1</v>
      </c>
      <c r="P21">
        <v>7.2249999999999996</v>
      </c>
      <c r="Q21" t="s">
        <v>1526</v>
      </c>
      <c r="R21" t="s">
        <v>1515</v>
      </c>
    </row>
    <row r="22" spans="1:18" x14ac:dyDescent="0.45">
      <c r="A22">
        <v>21</v>
      </c>
      <c r="B22">
        <v>0</v>
      </c>
      <c r="C22" t="s">
        <v>1519</v>
      </c>
      <c r="D22" t="s">
        <v>1554</v>
      </c>
      <c r="E22" t="s">
        <v>758</v>
      </c>
      <c r="F22" t="s">
        <v>722</v>
      </c>
      <c r="G22" t="s">
        <v>75</v>
      </c>
      <c r="H22" t="s">
        <v>9</v>
      </c>
      <c r="I22" t="s">
        <v>1520</v>
      </c>
      <c r="J22">
        <v>35</v>
      </c>
      <c r="K22" t="s">
        <v>1521</v>
      </c>
      <c r="L22" t="s">
        <v>1521</v>
      </c>
      <c r="M22">
        <v>0</v>
      </c>
      <c r="N22">
        <v>0</v>
      </c>
      <c r="O22">
        <v>1</v>
      </c>
      <c r="P22">
        <v>26</v>
      </c>
      <c r="Q22" t="s">
        <v>1526</v>
      </c>
      <c r="R22" t="s">
        <v>1514</v>
      </c>
    </row>
    <row r="23" spans="1:18" x14ac:dyDescent="0.45">
      <c r="A23">
        <v>22</v>
      </c>
      <c r="B23">
        <v>1</v>
      </c>
      <c r="C23" t="s">
        <v>1</v>
      </c>
      <c r="D23" t="s">
        <v>1554</v>
      </c>
      <c r="E23" t="s">
        <v>759</v>
      </c>
      <c r="F23" t="s">
        <v>722</v>
      </c>
      <c r="G23" t="s">
        <v>76</v>
      </c>
      <c r="H23" t="s">
        <v>9</v>
      </c>
      <c r="I23" t="s">
        <v>1520</v>
      </c>
      <c r="J23">
        <v>34</v>
      </c>
      <c r="K23" t="s">
        <v>1521</v>
      </c>
      <c r="L23" t="s">
        <v>1521</v>
      </c>
      <c r="M23">
        <v>0</v>
      </c>
      <c r="N23">
        <v>0</v>
      </c>
      <c r="O23">
        <v>1</v>
      </c>
      <c r="P23">
        <v>13</v>
      </c>
      <c r="Q23" t="s">
        <v>1526</v>
      </c>
      <c r="R23" t="s">
        <v>1514</v>
      </c>
    </row>
    <row r="24" spans="1:18" x14ac:dyDescent="0.45">
      <c r="A24">
        <v>23</v>
      </c>
      <c r="B24">
        <v>1</v>
      </c>
      <c r="C24" t="s">
        <v>1</v>
      </c>
      <c r="D24" t="s">
        <v>1552</v>
      </c>
      <c r="E24" t="s">
        <v>760</v>
      </c>
      <c r="F24" t="s">
        <v>724</v>
      </c>
      <c r="G24" t="s">
        <v>77</v>
      </c>
      <c r="H24" t="s">
        <v>10</v>
      </c>
      <c r="I24" t="s">
        <v>1523</v>
      </c>
      <c r="J24">
        <v>15</v>
      </c>
      <c r="K24" t="s">
        <v>1525</v>
      </c>
      <c r="L24" t="s">
        <v>1525</v>
      </c>
      <c r="M24">
        <v>0</v>
      </c>
      <c r="N24">
        <v>0</v>
      </c>
      <c r="O24">
        <v>1</v>
      </c>
      <c r="P24" t="s">
        <v>15</v>
      </c>
      <c r="Q24" t="s">
        <v>1526</v>
      </c>
      <c r="R24" t="s">
        <v>1516</v>
      </c>
    </row>
    <row r="25" spans="1:18" x14ac:dyDescent="0.45">
      <c r="A25">
        <v>24</v>
      </c>
      <c r="B25">
        <v>1</v>
      </c>
      <c r="C25" t="s">
        <v>1</v>
      </c>
      <c r="D25" t="s">
        <v>1553</v>
      </c>
      <c r="E25" t="s">
        <v>761</v>
      </c>
      <c r="F25" t="s">
        <v>722</v>
      </c>
      <c r="G25" t="s">
        <v>78</v>
      </c>
      <c r="H25" t="s">
        <v>9</v>
      </c>
      <c r="I25" t="s">
        <v>1520</v>
      </c>
      <c r="J25">
        <v>28</v>
      </c>
      <c r="K25" t="s">
        <v>1521</v>
      </c>
      <c r="L25" t="s">
        <v>1521</v>
      </c>
      <c r="M25">
        <v>0</v>
      </c>
      <c r="N25">
        <v>0</v>
      </c>
      <c r="O25">
        <v>1</v>
      </c>
      <c r="P25">
        <v>35.5</v>
      </c>
      <c r="Q25" t="s">
        <v>1526</v>
      </c>
      <c r="R25" t="s">
        <v>1514</v>
      </c>
    </row>
    <row r="26" spans="1:18" x14ac:dyDescent="0.45">
      <c r="A26">
        <v>25</v>
      </c>
      <c r="B26">
        <v>0</v>
      </c>
      <c r="C26" t="s">
        <v>1519</v>
      </c>
      <c r="D26" t="s">
        <v>1552</v>
      </c>
      <c r="E26" t="s">
        <v>762</v>
      </c>
      <c r="F26" t="s">
        <v>724</v>
      </c>
      <c r="G26" t="s">
        <v>62</v>
      </c>
      <c r="H26" t="s">
        <v>10</v>
      </c>
      <c r="I26" t="s">
        <v>1523</v>
      </c>
      <c r="J26">
        <v>8</v>
      </c>
      <c r="K26" t="s">
        <v>1524</v>
      </c>
      <c r="L26" t="s">
        <v>1524</v>
      </c>
      <c r="M26">
        <v>3</v>
      </c>
      <c r="N26">
        <v>1</v>
      </c>
      <c r="O26">
        <v>5</v>
      </c>
      <c r="P26" t="s">
        <v>13</v>
      </c>
      <c r="Q26" t="s">
        <v>1526</v>
      </c>
      <c r="R26" t="s">
        <v>1514</v>
      </c>
    </row>
    <row r="27" spans="1:18" x14ac:dyDescent="0.45">
      <c r="A27">
        <v>26</v>
      </c>
      <c r="B27">
        <v>1</v>
      </c>
      <c r="C27" t="s">
        <v>1</v>
      </c>
      <c r="D27" t="s">
        <v>1552</v>
      </c>
      <c r="E27" t="s">
        <v>763</v>
      </c>
      <c r="F27" t="s">
        <v>723</v>
      </c>
      <c r="G27" t="s">
        <v>79</v>
      </c>
      <c r="H27" t="s">
        <v>10</v>
      </c>
      <c r="I27" t="s">
        <v>1523</v>
      </c>
      <c r="J27">
        <v>38</v>
      </c>
      <c r="K27" t="s">
        <v>1521</v>
      </c>
      <c r="L27" t="s">
        <v>1521</v>
      </c>
      <c r="M27">
        <v>1</v>
      </c>
      <c r="N27">
        <v>5</v>
      </c>
      <c r="O27">
        <v>7</v>
      </c>
      <c r="P27">
        <v>31.387499999999999</v>
      </c>
      <c r="Q27" t="s">
        <v>1526</v>
      </c>
      <c r="R27" t="s">
        <v>1514</v>
      </c>
    </row>
    <row r="28" spans="1:18" x14ac:dyDescent="0.45">
      <c r="A28">
        <v>27</v>
      </c>
      <c r="B28">
        <v>0</v>
      </c>
      <c r="C28" t="s">
        <v>1519</v>
      </c>
      <c r="D28" t="s">
        <v>1552</v>
      </c>
      <c r="E28" t="s">
        <v>764</v>
      </c>
      <c r="F28" t="s">
        <v>722</v>
      </c>
      <c r="G28" t="s">
        <v>80</v>
      </c>
      <c r="H28" t="s">
        <v>9</v>
      </c>
      <c r="I28" t="s">
        <v>1520</v>
      </c>
      <c r="J28">
        <v>28</v>
      </c>
      <c r="K28" t="s">
        <v>1521</v>
      </c>
      <c r="L28" t="s">
        <v>1521</v>
      </c>
      <c r="M28">
        <v>0</v>
      </c>
      <c r="N28">
        <v>0</v>
      </c>
      <c r="O28">
        <v>1</v>
      </c>
      <c r="P28">
        <v>7.2249999999999996</v>
      </c>
      <c r="Q28" t="s">
        <v>1526</v>
      </c>
      <c r="R28" t="s">
        <v>1515</v>
      </c>
    </row>
    <row r="29" spans="1:18" x14ac:dyDescent="0.45">
      <c r="A29">
        <v>28</v>
      </c>
      <c r="B29">
        <v>0</v>
      </c>
      <c r="C29" t="s">
        <v>1519</v>
      </c>
      <c r="D29" t="s">
        <v>1553</v>
      </c>
      <c r="E29" t="s">
        <v>765</v>
      </c>
      <c r="F29" t="s">
        <v>722</v>
      </c>
      <c r="G29" t="s">
        <v>81</v>
      </c>
      <c r="H29" t="s">
        <v>9</v>
      </c>
      <c r="I29" t="s">
        <v>1520</v>
      </c>
      <c r="J29">
        <v>19</v>
      </c>
      <c r="K29" t="s">
        <v>1521</v>
      </c>
      <c r="L29" t="s">
        <v>1521</v>
      </c>
      <c r="M29">
        <v>3</v>
      </c>
      <c r="N29">
        <v>2</v>
      </c>
      <c r="O29">
        <v>6</v>
      </c>
      <c r="P29">
        <v>263</v>
      </c>
      <c r="Q29" t="s">
        <v>1526</v>
      </c>
      <c r="R29" t="s">
        <v>1514</v>
      </c>
    </row>
    <row r="30" spans="1:18" x14ac:dyDescent="0.45">
      <c r="A30">
        <v>29</v>
      </c>
      <c r="B30">
        <v>1</v>
      </c>
      <c r="C30" t="s">
        <v>1</v>
      </c>
      <c r="D30" t="s">
        <v>1552</v>
      </c>
      <c r="E30" t="s">
        <v>766</v>
      </c>
      <c r="F30" t="s">
        <v>724</v>
      </c>
      <c r="G30" t="s">
        <v>82</v>
      </c>
      <c r="H30" t="s">
        <v>10</v>
      </c>
      <c r="I30" t="s">
        <v>1523</v>
      </c>
      <c r="J30">
        <v>28</v>
      </c>
      <c r="K30" t="s">
        <v>1521</v>
      </c>
      <c r="L30" t="s">
        <v>1521</v>
      </c>
      <c r="M30">
        <v>0</v>
      </c>
      <c r="N30">
        <v>0</v>
      </c>
      <c r="O30">
        <v>1</v>
      </c>
      <c r="P30">
        <v>7.8792</v>
      </c>
      <c r="Q30" t="s">
        <v>1526</v>
      </c>
      <c r="R30" t="s">
        <v>1516</v>
      </c>
    </row>
    <row r="31" spans="1:18" x14ac:dyDescent="0.45">
      <c r="A31">
        <v>30</v>
      </c>
      <c r="B31">
        <v>0</v>
      </c>
      <c r="C31" t="s">
        <v>1519</v>
      </c>
      <c r="D31" t="s">
        <v>1552</v>
      </c>
      <c r="E31" t="s">
        <v>767</v>
      </c>
      <c r="F31" t="s">
        <v>722</v>
      </c>
      <c r="G31" t="s">
        <v>83</v>
      </c>
      <c r="H31" t="s">
        <v>9</v>
      </c>
      <c r="I31" t="s">
        <v>1520</v>
      </c>
      <c r="J31">
        <v>28</v>
      </c>
      <c r="K31" t="s">
        <v>1521</v>
      </c>
      <c r="L31" t="s">
        <v>1521</v>
      </c>
      <c r="M31">
        <v>0</v>
      </c>
      <c r="N31">
        <v>0</v>
      </c>
      <c r="O31">
        <v>1</v>
      </c>
      <c r="P31">
        <v>7.8958000000000004</v>
      </c>
      <c r="Q31" t="s">
        <v>1526</v>
      </c>
      <c r="R31" t="s">
        <v>1514</v>
      </c>
    </row>
    <row r="32" spans="1:18" x14ac:dyDescent="0.45">
      <c r="A32">
        <v>31</v>
      </c>
      <c r="B32">
        <v>0</v>
      </c>
      <c r="C32" t="s">
        <v>1519</v>
      </c>
      <c r="D32" t="s">
        <v>1553</v>
      </c>
      <c r="E32" t="s">
        <v>768</v>
      </c>
      <c r="F32" t="s">
        <v>726</v>
      </c>
      <c r="G32" t="s">
        <v>84</v>
      </c>
      <c r="H32" t="s">
        <v>9</v>
      </c>
      <c r="I32" t="s">
        <v>1520</v>
      </c>
      <c r="J32">
        <v>40</v>
      </c>
      <c r="K32" t="s">
        <v>1521</v>
      </c>
      <c r="L32" t="s">
        <v>1521</v>
      </c>
      <c r="M32">
        <v>0</v>
      </c>
      <c r="N32">
        <v>0</v>
      </c>
      <c r="O32">
        <v>1</v>
      </c>
      <c r="P32" t="s">
        <v>16</v>
      </c>
      <c r="Q32" t="s">
        <v>1526</v>
      </c>
      <c r="R32" t="s">
        <v>1515</v>
      </c>
    </row>
    <row r="33" spans="1:18" x14ac:dyDescent="0.45">
      <c r="A33">
        <v>32</v>
      </c>
      <c r="B33">
        <v>1</v>
      </c>
      <c r="C33" t="s">
        <v>1</v>
      </c>
      <c r="D33" t="s">
        <v>1553</v>
      </c>
      <c r="E33" t="s">
        <v>769</v>
      </c>
      <c r="F33" t="s">
        <v>723</v>
      </c>
      <c r="G33" t="s">
        <v>85</v>
      </c>
      <c r="H33" t="s">
        <v>10</v>
      </c>
      <c r="I33" t="s">
        <v>1523</v>
      </c>
      <c r="J33">
        <v>28</v>
      </c>
      <c r="K33" t="s">
        <v>1521</v>
      </c>
      <c r="L33" t="s">
        <v>1521</v>
      </c>
      <c r="M33">
        <v>1</v>
      </c>
      <c r="N33">
        <v>0</v>
      </c>
      <c r="O33">
        <v>2</v>
      </c>
      <c r="P33" t="s">
        <v>17</v>
      </c>
      <c r="Q33" t="s">
        <v>1526</v>
      </c>
      <c r="R33" t="s">
        <v>1515</v>
      </c>
    </row>
    <row r="34" spans="1:18" x14ac:dyDescent="0.45">
      <c r="A34">
        <v>33</v>
      </c>
      <c r="B34">
        <v>1</v>
      </c>
      <c r="C34" t="s">
        <v>1</v>
      </c>
      <c r="D34" t="s">
        <v>1552</v>
      </c>
      <c r="E34" t="s">
        <v>770</v>
      </c>
      <c r="F34" t="s">
        <v>724</v>
      </c>
      <c r="G34" t="s">
        <v>86</v>
      </c>
      <c r="H34" t="s">
        <v>10</v>
      </c>
      <c r="I34" t="s">
        <v>1523</v>
      </c>
      <c r="J34">
        <v>28</v>
      </c>
      <c r="K34" t="s">
        <v>1521</v>
      </c>
      <c r="L34" t="s">
        <v>1521</v>
      </c>
      <c r="M34">
        <v>0</v>
      </c>
      <c r="N34">
        <v>0</v>
      </c>
      <c r="O34">
        <v>1</v>
      </c>
      <c r="P34">
        <v>7.75</v>
      </c>
      <c r="Q34" t="s">
        <v>1526</v>
      </c>
      <c r="R34" t="s">
        <v>1516</v>
      </c>
    </row>
    <row r="35" spans="1:18" x14ac:dyDescent="0.45">
      <c r="A35">
        <v>34</v>
      </c>
      <c r="B35">
        <v>0</v>
      </c>
      <c r="C35" t="s">
        <v>1519</v>
      </c>
      <c r="D35" t="s">
        <v>1554</v>
      </c>
      <c r="E35" t="s">
        <v>771</v>
      </c>
      <c r="F35" t="s">
        <v>722</v>
      </c>
      <c r="G35" t="s">
        <v>87</v>
      </c>
      <c r="H35" t="s">
        <v>9</v>
      </c>
      <c r="I35" t="s">
        <v>1520</v>
      </c>
      <c r="J35">
        <v>66</v>
      </c>
      <c r="K35" t="s">
        <v>1527</v>
      </c>
      <c r="L35" t="s">
        <v>1527</v>
      </c>
      <c r="M35">
        <v>0</v>
      </c>
      <c r="N35">
        <v>0</v>
      </c>
      <c r="O35">
        <v>1</v>
      </c>
      <c r="P35" t="s">
        <v>18</v>
      </c>
      <c r="Q35" t="s">
        <v>1526</v>
      </c>
      <c r="R35" t="s">
        <v>1514</v>
      </c>
    </row>
    <row r="36" spans="1:18" x14ac:dyDescent="0.45">
      <c r="A36">
        <v>35</v>
      </c>
      <c r="B36">
        <v>0</v>
      </c>
      <c r="C36" t="s">
        <v>1519</v>
      </c>
      <c r="D36" t="s">
        <v>1553</v>
      </c>
      <c r="E36" t="s">
        <v>772</v>
      </c>
      <c r="F36" t="s">
        <v>722</v>
      </c>
      <c r="G36" t="s">
        <v>88</v>
      </c>
      <c r="H36" t="s">
        <v>9</v>
      </c>
      <c r="I36" t="s">
        <v>1520</v>
      </c>
      <c r="J36">
        <v>28</v>
      </c>
      <c r="K36" t="s">
        <v>1521</v>
      </c>
      <c r="L36" t="s">
        <v>1521</v>
      </c>
      <c r="M36">
        <v>1</v>
      </c>
      <c r="N36">
        <v>0</v>
      </c>
      <c r="O36">
        <v>2</v>
      </c>
      <c r="P36" t="s">
        <v>19</v>
      </c>
      <c r="Q36" t="s">
        <v>1526</v>
      </c>
      <c r="R36" t="s">
        <v>1515</v>
      </c>
    </row>
    <row r="37" spans="1:18" x14ac:dyDescent="0.45">
      <c r="A37">
        <v>36</v>
      </c>
      <c r="B37">
        <v>0</v>
      </c>
      <c r="C37" t="s">
        <v>1519</v>
      </c>
      <c r="D37" t="s">
        <v>1553</v>
      </c>
      <c r="E37" t="s">
        <v>773</v>
      </c>
      <c r="F37" t="s">
        <v>722</v>
      </c>
      <c r="G37" t="s">
        <v>89</v>
      </c>
      <c r="H37" t="s">
        <v>9</v>
      </c>
      <c r="I37" t="s">
        <v>1520</v>
      </c>
      <c r="J37">
        <v>42</v>
      </c>
      <c r="K37" t="s">
        <v>1521</v>
      </c>
      <c r="L37" t="s">
        <v>1521</v>
      </c>
      <c r="M37">
        <v>1</v>
      </c>
      <c r="N37">
        <v>0</v>
      </c>
      <c r="O37">
        <v>2</v>
      </c>
      <c r="P37">
        <v>52</v>
      </c>
      <c r="Q37" t="s">
        <v>1526</v>
      </c>
      <c r="R37" t="s">
        <v>1514</v>
      </c>
    </row>
    <row r="38" spans="1:18" x14ac:dyDescent="0.45">
      <c r="A38">
        <v>37</v>
      </c>
      <c r="B38">
        <v>1</v>
      </c>
      <c r="C38" t="s">
        <v>1</v>
      </c>
      <c r="D38" t="s">
        <v>1552</v>
      </c>
      <c r="E38" t="s">
        <v>774</v>
      </c>
      <c r="F38" t="s">
        <v>722</v>
      </c>
      <c r="G38" t="s">
        <v>90</v>
      </c>
      <c r="H38" t="s">
        <v>9</v>
      </c>
      <c r="I38" t="s">
        <v>1520</v>
      </c>
      <c r="J38">
        <v>28</v>
      </c>
      <c r="K38" t="s">
        <v>1521</v>
      </c>
      <c r="L38" t="s">
        <v>1521</v>
      </c>
      <c r="M38">
        <v>0</v>
      </c>
      <c r="N38">
        <v>0</v>
      </c>
      <c r="O38">
        <v>1</v>
      </c>
      <c r="P38">
        <v>7.2291999999999996</v>
      </c>
      <c r="Q38" t="s">
        <v>1526</v>
      </c>
      <c r="R38" t="s">
        <v>1515</v>
      </c>
    </row>
    <row r="39" spans="1:18" x14ac:dyDescent="0.45">
      <c r="A39">
        <v>38</v>
      </c>
      <c r="B39">
        <v>0</v>
      </c>
      <c r="C39" t="s">
        <v>1519</v>
      </c>
      <c r="D39" t="s">
        <v>1552</v>
      </c>
      <c r="E39" t="s">
        <v>775</v>
      </c>
      <c r="F39" t="s">
        <v>722</v>
      </c>
      <c r="G39" t="s">
        <v>91</v>
      </c>
      <c r="H39" t="s">
        <v>9</v>
      </c>
      <c r="I39" t="s">
        <v>1520</v>
      </c>
      <c r="J39">
        <v>21</v>
      </c>
      <c r="K39" t="s">
        <v>1521</v>
      </c>
      <c r="L39" t="s">
        <v>1521</v>
      </c>
      <c r="M39">
        <v>0</v>
      </c>
      <c r="N39">
        <v>0</v>
      </c>
      <c r="O39">
        <v>1</v>
      </c>
      <c r="P39" t="s">
        <v>12</v>
      </c>
      <c r="Q39" t="s">
        <v>1526</v>
      </c>
      <c r="R39" t="s">
        <v>1514</v>
      </c>
    </row>
    <row r="40" spans="1:18" x14ac:dyDescent="0.45">
      <c r="A40">
        <v>39</v>
      </c>
      <c r="B40">
        <v>0</v>
      </c>
      <c r="C40" t="s">
        <v>1519</v>
      </c>
      <c r="D40" t="s">
        <v>1552</v>
      </c>
      <c r="E40" t="s">
        <v>776</v>
      </c>
      <c r="F40" t="s">
        <v>724</v>
      </c>
      <c r="G40" t="s">
        <v>73</v>
      </c>
      <c r="H40" t="s">
        <v>10</v>
      </c>
      <c r="I40" t="s">
        <v>1523</v>
      </c>
      <c r="J40">
        <v>18</v>
      </c>
      <c r="K40" t="s">
        <v>1521</v>
      </c>
      <c r="L40" t="s">
        <v>1521</v>
      </c>
      <c r="M40">
        <v>2</v>
      </c>
      <c r="N40">
        <v>0</v>
      </c>
      <c r="O40">
        <v>3</v>
      </c>
      <c r="P40">
        <v>18</v>
      </c>
      <c r="Q40" t="s">
        <v>1526</v>
      </c>
      <c r="R40" t="s">
        <v>1514</v>
      </c>
    </row>
    <row r="41" spans="1:18" x14ac:dyDescent="0.45">
      <c r="A41">
        <v>40</v>
      </c>
      <c r="B41">
        <v>1</v>
      </c>
      <c r="C41" t="s">
        <v>1</v>
      </c>
      <c r="D41" t="s">
        <v>1552</v>
      </c>
      <c r="E41" t="s">
        <v>777</v>
      </c>
      <c r="F41" t="s">
        <v>724</v>
      </c>
      <c r="G41" t="s">
        <v>92</v>
      </c>
      <c r="H41" t="s">
        <v>10</v>
      </c>
      <c r="I41" t="s">
        <v>1523</v>
      </c>
      <c r="J41">
        <v>14</v>
      </c>
      <c r="K41" t="s">
        <v>1525</v>
      </c>
      <c r="L41" t="s">
        <v>1525</v>
      </c>
      <c r="M41">
        <v>1</v>
      </c>
      <c r="N41">
        <v>0</v>
      </c>
      <c r="O41">
        <v>2</v>
      </c>
      <c r="P41">
        <v>11.2417</v>
      </c>
      <c r="Q41" t="s">
        <v>1526</v>
      </c>
      <c r="R41" t="s">
        <v>1515</v>
      </c>
    </row>
    <row r="42" spans="1:18" x14ac:dyDescent="0.45">
      <c r="A42">
        <v>41</v>
      </c>
      <c r="B42">
        <v>0</v>
      </c>
      <c r="C42" t="s">
        <v>1519</v>
      </c>
      <c r="D42" t="s">
        <v>1552</v>
      </c>
      <c r="E42" t="s">
        <v>778</v>
      </c>
      <c r="F42" t="s">
        <v>723</v>
      </c>
      <c r="G42" t="s">
        <v>93</v>
      </c>
      <c r="H42" t="s">
        <v>10</v>
      </c>
      <c r="I42" t="s">
        <v>1523</v>
      </c>
      <c r="J42">
        <v>40</v>
      </c>
      <c r="K42" t="s">
        <v>1521</v>
      </c>
      <c r="L42" t="s">
        <v>1521</v>
      </c>
      <c r="M42">
        <v>1</v>
      </c>
      <c r="N42">
        <v>0</v>
      </c>
      <c r="O42">
        <v>2</v>
      </c>
      <c r="P42">
        <v>9.4749999999999996</v>
      </c>
      <c r="Q42" t="s">
        <v>1526</v>
      </c>
      <c r="R42" t="s">
        <v>1514</v>
      </c>
    </row>
    <row r="43" spans="1:18" x14ac:dyDescent="0.45">
      <c r="A43">
        <v>42</v>
      </c>
      <c r="B43">
        <v>0</v>
      </c>
      <c r="C43" t="s">
        <v>1519</v>
      </c>
      <c r="D43" t="s">
        <v>1554</v>
      </c>
      <c r="E43" t="s">
        <v>779</v>
      </c>
      <c r="F43" t="s">
        <v>723</v>
      </c>
      <c r="G43" t="s">
        <v>94</v>
      </c>
      <c r="H43" t="s">
        <v>10</v>
      </c>
      <c r="I43" t="s">
        <v>1523</v>
      </c>
      <c r="J43">
        <v>27</v>
      </c>
      <c r="K43" t="s">
        <v>1521</v>
      </c>
      <c r="L43" t="s">
        <v>1521</v>
      </c>
      <c r="M43">
        <v>1</v>
      </c>
      <c r="N43">
        <v>0</v>
      </c>
      <c r="O43">
        <v>2</v>
      </c>
      <c r="P43">
        <v>21</v>
      </c>
      <c r="Q43" t="s">
        <v>1526</v>
      </c>
      <c r="R43" t="s">
        <v>1514</v>
      </c>
    </row>
    <row r="44" spans="1:18" x14ac:dyDescent="0.45">
      <c r="A44">
        <v>43</v>
      </c>
      <c r="B44">
        <v>0</v>
      </c>
      <c r="C44" t="s">
        <v>1519</v>
      </c>
      <c r="D44" t="s">
        <v>1552</v>
      </c>
      <c r="E44" t="s">
        <v>780</v>
      </c>
      <c r="F44" t="s">
        <v>722</v>
      </c>
      <c r="G44" t="s">
        <v>95</v>
      </c>
      <c r="H44" t="s">
        <v>9</v>
      </c>
      <c r="I44" t="s">
        <v>1520</v>
      </c>
      <c r="J44">
        <v>28</v>
      </c>
      <c r="K44" t="s">
        <v>1521</v>
      </c>
      <c r="L44" t="s">
        <v>1521</v>
      </c>
      <c r="M44">
        <v>0</v>
      </c>
      <c r="N44">
        <v>0</v>
      </c>
      <c r="O44">
        <v>1</v>
      </c>
      <c r="P44">
        <v>7.8958000000000004</v>
      </c>
      <c r="Q44" t="s">
        <v>1526</v>
      </c>
      <c r="R44" t="s">
        <v>1515</v>
      </c>
    </row>
    <row r="45" spans="1:18" x14ac:dyDescent="0.45">
      <c r="A45">
        <v>44</v>
      </c>
      <c r="B45">
        <v>1</v>
      </c>
      <c r="C45" t="s">
        <v>1</v>
      </c>
      <c r="D45" t="s">
        <v>1554</v>
      </c>
      <c r="E45" t="s">
        <v>781</v>
      </c>
      <c r="F45" t="s">
        <v>724</v>
      </c>
      <c r="G45" t="s">
        <v>96</v>
      </c>
      <c r="H45" t="s">
        <v>10</v>
      </c>
      <c r="I45" t="s">
        <v>1523</v>
      </c>
      <c r="J45">
        <v>3</v>
      </c>
      <c r="K45" t="s">
        <v>1524</v>
      </c>
      <c r="L45" t="s">
        <v>1524</v>
      </c>
      <c r="M45">
        <v>1</v>
      </c>
      <c r="N45">
        <v>2</v>
      </c>
      <c r="O45">
        <v>4</v>
      </c>
      <c r="P45">
        <v>41.5792</v>
      </c>
      <c r="Q45" t="s">
        <v>1526</v>
      </c>
      <c r="R45" t="s">
        <v>1515</v>
      </c>
    </row>
    <row r="46" spans="1:18" x14ac:dyDescent="0.45">
      <c r="A46">
        <v>45</v>
      </c>
      <c r="B46">
        <v>1</v>
      </c>
      <c r="C46" t="s">
        <v>1</v>
      </c>
      <c r="D46" t="s">
        <v>1552</v>
      </c>
      <c r="E46" t="s">
        <v>782</v>
      </c>
      <c r="F46" t="s">
        <v>724</v>
      </c>
      <c r="G46" t="s">
        <v>97</v>
      </c>
      <c r="H46" t="s">
        <v>10</v>
      </c>
      <c r="I46" t="s">
        <v>1523</v>
      </c>
      <c r="J46">
        <v>19</v>
      </c>
      <c r="K46" t="s">
        <v>1521</v>
      </c>
      <c r="L46" t="s">
        <v>1521</v>
      </c>
      <c r="M46">
        <v>0</v>
      </c>
      <c r="N46">
        <v>0</v>
      </c>
      <c r="O46">
        <v>1</v>
      </c>
      <c r="P46">
        <v>7.8792</v>
      </c>
      <c r="Q46" t="s">
        <v>1526</v>
      </c>
      <c r="R46" t="s">
        <v>1516</v>
      </c>
    </row>
    <row r="47" spans="1:18" x14ac:dyDescent="0.45">
      <c r="A47">
        <v>46</v>
      </c>
      <c r="B47">
        <v>0</v>
      </c>
      <c r="C47" t="s">
        <v>1519</v>
      </c>
      <c r="D47" t="s">
        <v>1552</v>
      </c>
      <c r="E47" t="s">
        <v>783</v>
      </c>
      <c r="F47" t="s">
        <v>722</v>
      </c>
      <c r="G47" t="s">
        <v>98</v>
      </c>
      <c r="H47" t="s">
        <v>9</v>
      </c>
      <c r="I47" t="s">
        <v>1520</v>
      </c>
      <c r="J47">
        <v>28</v>
      </c>
      <c r="K47" t="s">
        <v>1521</v>
      </c>
      <c r="L47" t="s">
        <v>1521</v>
      </c>
      <c r="M47">
        <v>0</v>
      </c>
      <c r="N47">
        <v>0</v>
      </c>
      <c r="O47">
        <v>1</v>
      </c>
      <c r="P47" t="s">
        <v>12</v>
      </c>
      <c r="Q47" t="s">
        <v>1526</v>
      </c>
      <c r="R47" t="s">
        <v>1514</v>
      </c>
    </row>
    <row r="48" spans="1:18" x14ac:dyDescent="0.45">
      <c r="A48">
        <v>47</v>
      </c>
      <c r="B48">
        <v>0</v>
      </c>
      <c r="C48" t="s">
        <v>1519</v>
      </c>
      <c r="D48" t="s">
        <v>1552</v>
      </c>
      <c r="E48" t="s">
        <v>784</v>
      </c>
      <c r="F48" t="s">
        <v>722</v>
      </c>
      <c r="G48" t="s">
        <v>99</v>
      </c>
      <c r="H48" t="s">
        <v>9</v>
      </c>
      <c r="I48" t="s">
        <v>1520</v>
      </c>
      <c r="J48">
        <v>28</v>
      </c>
      <c r="K48" t="s">
        <v>1521</v>
      </c>
      <c r="L48" t="s">
        <v>1521</v>
      </c>
      <c r="M48">
        <v>1</v>
      </c>
      <c r="N48">
        <v>0</v>
      </c>
      <c r="O48">
        <v>2</v>
      </c>
      <c r="P48">
        <v>15.5</v>
      </c>
      <c r="Q48" t="s">
        <v>1526</v>
      </c>
      <c r="R48" t="s">
        <v>1516</v>
      </c>
    </row>
    <row r="49" spans="1:18" x14ac:dyDescent="0.45">
      <c r="A49">
        <v>48</v>
      </c>
      <c r="B49">
        <v>1</v>
      </c>
      <c r="C49" t="s">
        <v>1</v>
      </c>
      <c r="D49" t="s">
        <v>1552</v>
      </c>
      <c r="E49" t="s">
        <v>785</v>
      </c>
      <c r="F49" t="s">
        <v>724</v>
      </c>
      <c r="G49" t="s">
        <v>100</v>
      </c>
      <c r="H49" t="s">
        <v>10</v>
      </c>
      <c r="I49" t="s">
        <v>1523</v>
      </c>
      <c r="J49">
        <v>28</v>
      </c>
      <c r="K49" t="s">
        <v>1521</v>
      </c>
      <c r="L49" t="s">
        <v>1521</v>
      </c>
      <c r="M49">
        <v>0</v>
      </c>
      <c r="N49">
        <v>0</v>
      </c>
      <c r="O49">
        <v>1</v>
      </c>
      <c r="P49">
        <v>7.75</v>
      </c>
      <c r="Q49" t="s">
        <v>1526</v>
      </c>
      <c r="R49" t="s">
        <v>1516</v>
      </c>
    </row>
    <row r="50" spans="1:18" x14ac:dyDescent="0.45">
      <c r="A50">
        <v>49</v>
      </c>
      <c r="B50">
        <v>0</v>
      </c>
      <c r="C50" t="s">
        <v>1519</v>
      </c>
      <c r="D50" t="s">
        <v>1552</v>
      </c>
      <c r="E50" t="s">
        <v>786</v>
      </c>
      <c r="F50" t="s">
        <v>722</v>
      </c>
      <c r="G50" t="s">
        <v>101</v>
      </c>
      <c r="H50" t="s">
        <v>9</v>
      </c>
      <c r="I50" t="s">
        <v>1520</v>
      </c>
      <c r="J50">
        <v>28</v>
      </c>
      <c r="K50" t="s">
        <v>1521</v>
      </c>
      <c r="L50" t="s">
        <v>1521</v>
      </c>
      <c r="M50">
        <v>2</v>
      </c>
      <c r="N50">
        <v>0</v>
      </c>
      <c r="O50">
        <v>3</v>
      </c>
      <c r="P50">
        <v>21.679200000000002</v>
      </c>
      <c r="Q50" t="s">
        <v>1526</v>
      </c>
      <c r="R50" t="s">
        <v>1515</v>
      </c>
    </row>
    <row r="51" spans="1:18" x14ac:dyDescent="0.45">
      <c r="A51">
        <v>50</v>
      </c>
      <c r="B51">
        <v>0</v>
      </c>
      <c r="C51" t="s">
        <v>1519</v>
      </c>
      <c r="D51" t="s">
        <v>1552</v>
      </c>
      <c r="E51" t="s">
        <v>787</v>
      </c>
      <c r="F51" t="s">
        <v>723</v>
      </c>
      <c r="G51" t="s">
        <v>102</v>
      </c>
      <c r="H51" t="s">
        <v>10</v>
      </c>
      <c r="I51" t="s">
        <v>1523</v>
      </c>
      <c r="J51">
        <v>18</v>
      </c>
      <c r="K51" t="s">
        <v>1521</v>
      </c>
      <c r="L51" t="s">
        <v>1521</v>
      </c>
      <c r="M51">
        <v>1</v>
      </c>
      <c r="N51">
        <v>0</v>
      </c>
      <c r="O51">
        <v>2</v>
      </c>
      <c r="P51">
        <v>17.8</v>
      </c>
      <c r="Q51" t="s">
        <v>1526</v>
      </c>
      <c r="R51" t="s">
        <v>1514</v>
      </c>
    </row>
    <row r="52" spans="1:18" x14ac:dyDescent="0.45">
      <c r="A52">
        <v>51</v>
      </c>
      <c r="B52">
        <v>0</v>
      </c>
      <c r="C52" t="s">
        <v>1519</v>
      </c>
      <c r="D52" t="s">
        <v>1552</v>
      </c>
      <c r="E52" t="s">
        <v>788</v>
      </c>
      <c r="F52" t="s">
        <v>725</v>
      </c>
      <c r="G52" t="s">
        <v>103</v>
      </c>
      <c r="H52" t="s">
        <v>9</v>
      </c>
      <c r="I52" t="s">
        <v>1520</v>
      </c>
      <c r="J52">
        <v>7</v>
      </c>
      <c r="K52" t="s">
        <v>1524</v>
      </c>
      <c r="L52" t="s">
        <v>1524</v>
      </c>
      <c r="M52">
        <v>4</v>
      </c>
      <c r="N52">
        <v>1</v>
      </c>
      <c r="O52">
        <v>6</v>
      </c>
      <c r="P52">
        <v>39.6875</v>
      </c>
      <c r="Q52" t="s">
        <v>1528</v>
      </c>
      <c r="R52" t="s">
        <v>1514</v>
      </c>
    </row>
    <row r="53" spans="1:18" x14ac:dyDescent="0.45">
      <c r="A53">
        <v>52</v>
      </c>
      <c r="B53">
        <v>0</v>
      </c>
      <c r="C53" t="s">
        <v>1519</v>
      </c>
      <c r="D53" t="s">
        <v>1552</v>
      </c>
      <c r="E53" t="s">
        <v>789</v>
      </c>
      <c r="F53" t="s">
        <v>722</v>
      </c>
      <c r="G53" t="s">
        <v>104</v>
      </c>
      <c r="H53" t="s">
        <v>9</v>
      </c>
      <c r="I53" t="s">
        <v>1520</v>
      </c>
      <c r="J53">
        <v>21</v>
      </c>
      <c r="K53" t="s">
        <v>1521</v>
      </c>
      <c r="L53" t="s">
        <v>1521</v>
      </c>
      <c r="M53">
        <v>0</v>
      </c>
      <c r="N53">
        <v>0</v>
      </c>
      <c r="O53">
        <v>1</v>
      </c>
      <c r="P53">
        <v>7.8</v>
      </c>
      <c r="Q53" t="s">
        <v>1528</v>
      </c>
      <c r="R53" t="s">
        <v>1514</v>
      </c>
    </row>
    <row r="54" spans="1:18" x14ac:dyDescent="0.45">
      <c r="A54">
        <v>53</v>
      </c>
      <c r="B54">
        <v>1</v>
      </c>
      <c r="C54" t="s">
        <v>1</v>
      </c>
      <c r="D54" t="s">
        <v>1553</v>
      </c>
      <c r="E54" t="s">
        <v>790</v>
      </c>
      <c r="F54" t="s">
        <v>723</v>
      </c>
      <c r="G54" t="s">
        <v>105</v>
      </c>
      <c r="H54" t="s">
        <v>10</v>
      </c>
      <c r="I54" t="s">
        <v>1523</v>
      </c>
      <c r="J54">
        <v>49</v>
      </c>
      <c r="K54" t="s">
        <v>1521</v>
      </c>
      <c r="L54" t="s">
        <v>1521</v>
      </c>
      <c r="M54">
        <v>1</v>
      </c>
      <c r="N54">
        <v>0</v>
      </c>
      <c r="O54">
        <v>2</v>
      </c>
      <c r="P54">
        <v>76.729200000000006</v>
      </c>
      <c r="Q54" t="s">
        <v>1528</v>
      </c>
      <c r="R54" t="s">
        <v>1515</v>
      </c>
    </row>
    <row r="55" spans="1:18" x14ac:dyDescent="0.45">
      <c r="A55">
        <v>54</v>
      </c>
      <c r="B55">
        <v>1</v>
      </c>
      <c r="C55" t="s">
        <v>1</v>
      </c>
      <c r="D55" t="s">
        <v>1554</v>
      </c>
      <c r="E55" t="s">
        <v>791</v>
      </c>
      <c r="F55" t="s">
        <v>723</v>
      </c>
      <c r="G55" t="s">
        <v>106</v>
      </c>
      <c r="H55" t="s">
        <v>10</v>
      </c>
      <c r="I55" t="s">
        <v>1523</v>
      </c>
      <c r="J55">
        <v>29</v>
      </c>
      <c r="K55" t="s">
        <v>1521</v>
      </c>
      <c r="L55" t="s">
        <v>1521</v>
      </c>
      <c r="M55">
        <v>1</v>
      </c>
      <c r="N55">
        <v>0</v>
      </c>
      <c r="O55">
        <v>2</v>
      </c>
      <c r="P55">
        <v>26</v>
      </c>
      <c r="Q55" t="s">
        <v>1528</v>
      </c>
      <c r="R55" t="s">
        <v>1514</v>
      </c>
    </row>
    <row r="56" spans="1:18" x14ac:dyDescent="0.45">
      <c r="A56">
        <v>55</v>
      </c>
      <c r="B56">
        <v>0</v>
      </c>
      <c r="C56" t="s">
        <v>1519</v>
      </c>
      <c r="D56" t="s">
        <v>1553</v>
      </c>
      <c r="E56" t="s">
        <v>792</v>
      </c>
      <c r="F56" t="s">
        <v>722</v>
      </c>
      <c r="G56" t="s">
        <v>107</v>
      </c>
      <c r="H56" t="s">
        <v>9</v>
      </c>
      <c r="I56" t="s">
        <v>1520</v>
      </c>
      <c r="J56">
        <v>65</v>
      </c>
      <c r="K56" t="s">
        <v>1527</v>
      </c>
      <c r="L56" t="s">
        <v>1527</v>
      </c>
      <c r="M56">
        <v>0</v>
      </c>
      <c r="N56">
        <v>1</v>
      </c>
      <c r="O56">
        <v>2</v>
      </c>
      <c r="P56">
        <v>61.979199999999999</v>
      </c>
      <c r="Q56" t="s">
        <v>1528</v>
      </c>
      <c r="R56" t="s">
        <v>1515</v>
      </c>
    </row>
    <row r="57" spans="1:18" x14ac:dyDescent="0.45">
      <c r="A57">
        <v>56</v>
      </c>
      <c r="B57">
        <v>1</v>
      </c>
      <c r="C57" t="s">
        <v>1</v>
      </c>
      <c r="D57" t="s">
        <v>1553</v>
      </c>
      <c r="E57" t="s">
        <v>793</v>
      </c>
      <c r="F57" t="s">
        <v>722</v>
      </c>
      <c r="G57" t="s">
        <v>108</v>
      </c>
      <c r="H57" t="s">
        <v>9</v>
      </c>
      <c r="I57" t="s">
        <v>1520</v>
      </c>
      <c r="J57">
        <v>28</v>
      </c>
      <c r="K57" t="s">
        <v>1521</v>
      </c>
      <c r="L57" t="s">
        <v>1521</v>
      </c>
      <c r="M57">
        <v>0</v>
      </c>
      <c r="N57">
        <v>0</v>
      </c>
      <c r="O57">
        <v>1</v>
      </c>
      <c r="P57">
        <v>35.5</v>
      </c>
      <c r="Q57" t="s">
        <v>1528</v>
      </c>
      <c r="R57" t="s">
        <v>1514</v>
      </c>
    </row>
    <row r="58" spans="1:18" x14ac:dyDescent="0.45">
      <c r="A58">
        <v>57</v>
      </c>
      <c r="B58">
        <v>1</v>
      </c>
      <c r="C58" t="s">
        <v>1</v>
      </c>
      <c r="D58" t="s">
        <v>1554</v>
      </c>
      <c r="E58" t="s">
        <v>794</v>
      </c>
      <c r="F58" t="s">
        <v>724</v>
      </c>
      <c r="G58" t="s">
        <v>109</v>
      </c>
      <c r="H58" t="s">
        <v>10</v>
      </c>
      <c r="I58" t="s">
        <v>1523</v>
      </c>
      <c r="J58">
        <v>21</v>
      </c>
      <c r="K58" t="s">
        <v>1521</v>
      </c>
      <c r="L58" t="s">
        <v>1521</v>
      </c>
      <c r="M58">
        <v>0</v>
      </c>
      <c r="N58">
        <v>0</v>
      </c>
      <c r="O58">
        <v>1</v>
      </c>
      <c r="P58" t="s">
        <v>18</v>
      </c>
      <c r="Q58" t="s">
        <v>1528</v>
      </c>
      <c r="R58" t="s">
        <v>1514</v>
      </c>
    </row>
    <row r="59" spans="1:18" x14ac:dyDescent="0.45">
      <c r="A59">
        <v>58</v>
      </c>
      <c r="B59">
        <v>0</v>
      </c>
      <c r="C59" t="s">
        <v>1519</v>
      </c>
      <c r="D59" t="s">
        <v>1552</v>
      </c>
      <c r="E59" t="s">
        <v>795</v>
      </c>
      <c r="F59" t="s">
        <v>722</v>
      </c>
      <c r="G59" t="s">
        <v>110</v>
      </c>
      <c r="H59" t="s">
        <v>9</v>
      </c>
      <c r="I59" t="s">
        <v>1520</v>
      </c>
      <c r="J59">
        <v>28.5</v>
      </c>
      <c r="K59" t="s">
        <v>1521</v>
      </c>
      <c r="L59" t="s">
        <v>1521</v>
      </c>
      <c r="M59">
        <v>0</v>
      </c>
      <c r="N59">
        <v>0</v>
      </c>
      <c r="O59">
        <v>1</v>
      </c>
      <c r="P59">
        <v>7.2291999999999996</v>
      </c>
      <c r="Q59" t="s">
        <v>1528</v>
      </c>
      <c r="R59" t="s">
        <v>1515</v>
      </c>
    </row>
    <row r="60" spans="1:18" x14ac:dyDescent="0.45">
      <c r="A60">
        <v>59</v>
      </c>
      <c r="B60">
        <v>1</v>
      </c>
      <c r="C60" t="s">
        <v>1</v>
      </c>
      <c r="D60" t="s">
        <v>1554</v>
      </c>
      <c r="E60" t="s">
        <v>796</v>
      </c>
      <c r="F60" t="s">
        <v>724</v>
      </c>
      <c r="G60" t="s">
        <v>111</v>
      </c>
      <c r="H60" t="s">
        <v>10</v>
      </c>
      <c r="I60" t="s">
        <v>1523</v>
      </c>
      <c r="J60">
        <v>5</v>
      </c>
      <c r="K60" t="s">
        <v>1524</v>
      </c>
      <c r="L60" t="s">
        <v>1524</v>
      </c>
      <c r="M60">
        <v>1</v>
      </c>
      <c r="N60">
        <v>2</v>
      </c>
      <c r="O60">
        <v>4</v>
      </c>
      <c r="P60">
        <v>27.75</v>
      </c>
      <c r="Q60" t="s">
        <v>1528</v>
      </c>
      <c r="R60" t="s">
        <v>1514</v>
      </c>
    </row>
    <row r="61" spans="1:18" x14ac:dyDescent="0.45">
      <c r="A61">
        <v>60</v>
      </c>
      <c r="B61">
        <v>0</v>
      </c>
      <c r="C61" t="s">
        <v>1519</v>
      </c>
      <c r="D61" t="s">
        <v>1552</v>
      </c>
      <c r="E61" t="s">
        <v>797</v>
      </c>
      <c r="F61" t="s">
        <v>725</v>
      </c>
      <c r="G61" t="s">
        <v>112</v>
      </c>
      <c r="H61" t="s">
        <v>9</v>
      </c>
      <c r="I61" t="s">
        <v>1520</v>
      </c>
      <c r="J61">
        <v>11</v>
      </c>
      <c r="K61" t="s">
        <v>1524</v>
      </c>
      <c r="L61" t="s">
        <v>1524</v>
      </c>
      <c r="M61">
        <v>5</v>
      </c>
      <c r="N61">
        <v>2</v>
      </c>
      <c r="O61">
        <v>8</v>
      </c>
      <c r="P61">
        <v>46.9</v>
      </c>
      <c r="Q61" t="s">
        <v>1528</v>
      </c>
      <c r="R61" t="s">
        <v>1514</v>
      </c>
    </row>
    <row r="62" spans="1:18" x14ac:dyDescent="0.45">
      <c r="A62">
        <v>61</v>
      </c>
      <c r="B62">
        <v>0</v>
      </c>
      <c r="C62" t="s">
        <v>1519</v>
      </c>
      <c r="D62" t="s">
        <v>1552</v>
      </c>
      <c r="E62" t="s">
        <v>798</v>
      </c>
      <c r="F62" t="s">
        <v>722</v>
      </c>
      <c r="G62" t="s">
        <v>113</v>
      </c>
      <c r="H62" t="s">
        <v>9</v>
      </c>
      <c r="I62" t="s">
        <v>1520</v>
      </c>
      <c r="J62">
        <v>22</v>
      </c>
      <c r="K62" t="s">
        <v>1521</v>
      </c>
      <c r="L62" t="s">
        <v>1521</v>
      </c>
      <c r="M62">
        <v>0</v>
      </c>
      <c r="N62">
        <v>0</v>
      </c>
      <c r="O62">
        <v>1</v>
      </c>
      <c r="P62">
        <v>7.2291999999999996</v>
      </c>
      <c r="Q62" t="s">
        <v>1528</v>
      </c>
      <c r="R62" t="s">
        <v>1515</v>
      </c>
    </row>
    <row r="63" spans="1:18" x14ac:dyDescent="0.45">
      <c r="A63">
        <v>62</v>
      </c>
      <c r="B63">
        <v>1</v>
      </c>
      <c r="C63" t="s">
        <v>1</v>
      </c>
      <c r="D63" t="s">
        <v>1553</v>
      </c>
      <c r="E63" t="s">
        <v>799</v>
      </c>
      <c r="F63" t="s">
        <v>724</v>
      </c>
      <c r="G63" t="s">
        <v>114</v>
      </c>
      <c r="H63" t="s">
        <v>10</v>
      </c>
      <c r="I63" t="s">
        <v>1523</v>
      </c>
      <c r="J63">
        <v>38</v>
      </c>
      <c r="K63" t="s">
        <v>1521</v>
      </c>
      <c r="L63" t="s">
        <v>1521</v>
      </c>
      <c r="M63">
        <v>0</v>
      </c>
      <c r="N63">
        <v>0</v>
      </c>
      <c r="O63">
        <v>1</v>
      </c>
      <c r="P63">
        <v>814.45420000000001</v>
      </c>
      <c r="Q63" t="s">
        <v>1528</v>
      </c>
      <c r="R63" t="s">
        <v>1514</v>
      </c>
    </row>
    <row r="64" spans="1:18" x14ac:dyDescent="0.45">
      <c r="A64">
        <v>63</v>
      </c>
      <c r="B64">
        <v>0</v>
      </c>
      <c r="C64" t="s">
        <v>1519</v>
      </c>
      <c r="D64" t="s">
        <v>1553</v>
      </c>
      <c r="E64" t="s">
        <v>800</v>
      </c>
      <c r="F64" t="s">
        <v>722</v>
      </c>
      <c r="G64" t="s">
        <v>115</v>
      </c>
      <c r="H64" t="s">
        <v>9</v>
      </c>
      <c r="I64" t="s">
        <v>1520</v>
      </c>
      <c r="J64">
        <v>45</v>
      </c>
      <c r="K64" t="s">
        <v>1521</v>
      </c>
      <c r="L64" t="s">
        <v>1521</v>
      </c>
      <c r="M64">
        <v>1</v>
      </c>
      <c r="N64">
        <v>0</v>
      </c>
      <c r="O64">
        <v>2</v>
      </c>
      <c r="P64">
        <v>83.474999999999994</v>
      </c>
      <c r="Q64" t="s">
        <v>1528</v>
      </c>
      <c r="R64" t="s">
        <v>1514</v>
      </c>
    </row>
    <row r="65" spans="1:18" x14ac:dyDescent="0.45">
      <c r="A65">
        <v>64</v>
      </c>
      <c r="B65">
        <v>0</v>
      </c>
      <c r="C65" t="s">
        <v>1519</v>
      </c>
      <c r="D65" t="s">
        <v>1552</v>
      </c>
      <c r="E65" t="s">
        <v>801</v>
      </c>
      <c r="F65" t="s">
        <v>725</v>
      </c>
      <c r="G65" t="s">
        <v>116</v>
      </c>
      <c r="H65" t="s">
        <v>9</v>
      </c>
      <c r="I65" t="s">
        <v>1520</v>
      </c>
      <c r="J65">
        <v>4</v>
      </c>
      <c r="K65" t="s">
        <v>1524</v>
      </c>
      <c r="L65" t="s">
        <v>1524</v>
      </c>
      <c r="M65">
        <v>3</v>
      </c>
      <c r="N65">
        <v>2</v>
      </c>
      <c r="O65">
        <v>6</v>
      </c>
      <c r="P65">
        <v>27.9</v>
      </c>
      <c r="Q65" t="s">
        <v>1528</v>
      </c>
      <c r="R65" t="s">
        <v>1514</v>
      </c>
    </row>
    <row r="66" spans="1:18" x14ac:dyDescent="0.45">
      <c r="A66">
        <v>65</v>
      </c>
      <c r="B66">
        <v>0</v>
      </c>
      <c r="C66" t="s">
        <v>1519</v>
      </c>
      <c r="D66" t="s">
        <v>1553</v>
      </c>
      <c r="E66" t="s">
        <v>802</v>
      </c>
      <c r="F66" t="s">
        <v>722</v>
      </c>
      <c r="G66" t="s">
        <v>117</v>
      </c>
      <c r="H66" t="s">
        <v>9</v>
      </c>
      <c r="I66" t="s">
        <v>1520</v>
      </c>
      <c r="J66">
        <v>28</v>
      </c>
      <c r="K66" t="s">
        <v>1521</v>
      </c>
      <c r="L66" t="s">
        <v>1521</v>
      </c>
      <c r="M66">
        <v>0</v>
      </c>
      <c r="N66">
        <v>0</v>
      </c>
      <c r="O66">
        <v>1</v>
      </c>
      <c r="P66" t="s">
        <v>16</v>
      </c>
      <c r="Q66" t="s">
        <v>1528</v>
      </c>
      <c r="R66" t="s">
        <v>1515</v>
      </c>
    </row>
    <row r="67" spans="1:18" x14ac:dyDescent="0.45">
      <c r="A67">
        <v>66</v>
      </c>
      <c r="B67">
        <v>1</v>
      </c>
      <c r="C67" t="s">
        <v>1</v>
      </c>
      <c r="D67" t="s">
        <v>1552</v>
      </c>
      <c r="E67" t="s">
        <v>803</v>
      </c>
      <c r="F67" t="s">
        <v>725</v>
      </c>
      <c r="G67" t="s">
        <v>118</v>
      </c>
      <c r="H67" t="s">
        <v>9</v>
      </c>
      <c r="I67" t="s">
        <v>1520</v>
      </c>
      <c r="J67">
        <v>28</v>
      </c>
      <c r="K67" t="s">
        <v>1521</v>
      </c>
      <c r="L67" t="s">
        <v>1521</v>
      </c>
      <c r="M67">
        <v>1</v>
      </c>
      <c r="N67">
        <v>1</v>
      </c>
      <c r="O67">
        <v>3</v>
      </c>
      <c r="P67">
        <v>15.245799999999999</v>
      </c>
      <c r="Q67" t="s">
        <v>1528</v>
      </c>
      <c r="R67" t="s">
        <v>1515</v>
      </c>
    </row>
    <row r="68" spans="1:18" x14ac:dyDescent="0.45">
      <c r="A68">
        <v>67</v>
      </c>
      <c r="B68">
        <v>1</v>
      </c>
      <c r="C68" t="s">
        <v>1</v>
      </c>
      <c r="D68" t="s">
        <v>1554</v>
      </c>
      <c r="E68" t="s">
        <v>753</v>
      </c>
      <c r="F68" t="s">
        <v>723</v>
      </c>
      <c r="G68" t="s">
        <v>119</v>
      </c>
      <c r="H68" t="s">
        <v>10</v>
      </c>
      <c r="I68" t="s">
        <v>1523</v>
      </c>
      <c r="J68">
        <v>29</v>
      </c>
      <c r="K68" t="s">
        <v>1521</v>
      </c>
      <c r="L68" t="s">
        <v>1521</v>
      </c>
      <c r="M68">
        <v>0</v>
      </c>
      <c r="N68">
        <v>0</v>
      </c>
      <c r="O68">
        <v>1</v>
      </c>
      <c r="P68" t="s">
        <v>18</v>
      </c>
      <c r="Q68" t="s">
        <v>1528</v>
      </c>
      <c r="R68" t="s">
        <v>1514</v>
      </c>
    </row>
    <row r="69" spans="1:18" x14ac:dyDescent="0.45">
      <c r="A69">
        <v>68</v>
      </c>
      <c r="B69">
        <v>0</v>
      </c>
      <c r="C69" t="s">
        <v>1519</v>
      </c>
      <c r="D69" t="s">
        <v>1552</v>
      </c>
      <c r="E69" t="s">
        <v>804</v>
      </c>
      <c r="F69" t="s">
        <v>722</v>
      </c>
      <c r="G69" t="s">
        <v>120</v>
      </c>
      <c r="H69" t="s">
        <v>9</v>
      </c>
      <c r="I69" t="s">
        <v>1520</v>
      </c>
      <c r="J69">
        <v>19</v>
      </c>
      <c r="K69" t="s">
        <v>1521</v>
      </c>
      <c r="L69" t="s">
        <v>1521</v>
      </c>
      <c r="M69">
        <v>0</v>
      </c>
      <c r="N69">
        <v>0</v>
      </c>
      <c r="O69">
        <v>1</v>
      </c>
      <c r="P69">
        <v>8.1583000000000006</v>
      </c>
      <c r="Q69" t="s">
        <v>1528</v>
      </c>
      <c r="R69" t="s">
        <v>1514</v>
      </c>
    </row>
    <row r="70" spans="1:18" x14ac:dyDescent="0.45">
      <c r="A70">
        <v>69</v>
      </c>
      <c r="B70">
        <v>1</v>
      </c>
      <c r="C70" t="s">
        <v>1</v>
      </c>
      <c r="D70" t="s">
        <v>1552</v>
      </c>
      <c r="E70" t="s">
        <v>805</v>
      </c>
      <c r="F70" t="s">
        <v>724</v>
      </c>
      <c r="G70" t="s">
        <v>68</v>
      </c>
      <c r="H70" t="s">
        <v>10</v>
      </c>
      <c r="I70" t="s">
        <v>1523</v>
      </c>
      <c r="J70">
        <v>17</v>
      </c>
      <c r="K70" t="s">
        <v>1525</v>
      </c>
      <c r="L70" t="s">
        <v>1525</v>
      </c>
      <c r="M70">
        <v>4</v>
      </c>
      <c r="N70">
        <v>2</v>
      </c>
      <c r="O70">
        <v>7</v>
      </c>
      <c r="P70">
        <v>7.9249999999999998</v>
      </c>
      <c r="Q70" t="s">
        <v>1528</v>
      </c>
      <c r="R70" t="s">
        <v>1514</v>
      </c>
    </row>
    <row r="71" spans="1:18" x14ac:dyDescent="0.45">
      <c r="A71">
        <v>70</v>
      </c>
      <c r="B71">
        <v>0</v>
      </c>
      <c r="C71" t="s">
        <v>1519</v>
      </c>
      <c r="D71" t="s">
        <v>1552</v>
      </c>
      <c r="E71" t="s">
        <v>806</v>
      </c>
      <c r="F71" t="s">
        <v>722</v>
      </c>
      <c r="G71" t="s">
        <v>121</v>
      </c>
      <c r="H71" t="s">
        <v>9</v>
      </c>
      <c r="I71" t="s">
        <v>1520</v>
      </c>
      <c r="J71">
        <v>26</v>
      </c>
      <c r="K71" t="s">
        <v>1521</v>
      </c>
      <c r="L71" t="s">
        <v>1521</v>
      </c>
      <c r="M71">
        <v>2</v>
      </c>
      <c r="N71">
        <v>0</v>
      </c>
      <c r="O71">
        <v>3</v>
      </c>
      <c r="P71">
        <v>8.6624999999999996</v>
      </c>
      <c r="Q71" t="s">
        <v>1528</v>
      </c>
      <c r="R71" t="s">
        <v>1514</v>
      </c>
    </row>
    <row r="72" spans="1:18" x14ac:dyDescent="0.45">
      <c r="A72">
        <v>71</v>
      </c>
      <c r="B72">
        <v>0</v>
      </c>
      <c r="C72" t="s">
        <v>1519</v>
      </c>
      <c r="D72" t="s">
        <v>1554</v>
      </c>
      <c r="E72" t="s">
        <v>807</v>
      </c>
      <c r="F72" t="s">
        <v>722</v>
      </c>
      <c r="G72" t="s">
        <v>122</v>
      </c>
      <c r="H72" t="s">
        <v>9</v>
      </c>
      <c r="I72" t="s">
        <v>1520</v>
      </c>
      <c r="J72">
        <v>32</v>
      </c>
      <c r="K72" t="s">
        <v>1521</v>
      </c>
      <c r="L72" t="s">
        <v>1521</v>
      </c>
      <c r="M72">
        <v>0</v>
      </c>
      <c r="N72">
        <v>0</v>
      </c>
      <c r="O72">
        <v>1</v>
      </c>
      <c r="P72" t="s">
        <v>18</v>
      </c>
      <c r="Q72" t="s">
        <v>1528</v>
      </c>
      <c r="R72" t="s">
        <v>1514</v>
      </c>
    </row>
    <row r="73" spans="1:18" x14ac:dyDescent="0.45">
      <c r="A73">
        <v>72</v>
      </c>
      <c r="B73">
        <v>0</v>
      </c>
      <c r="C73" t="s">
        <v>1519</v>
      </c>
      <c r="D73" t="s">
        <v>1552</v>
      </c>
      <c r="E73" t="s">
        <v>808</v>
      </c>
      <c r="F73" t="s">
        <v>724</v>
      </c>
      <c r="G73" t="s">
        <v>112</v>
      </c>
      <c r="H73" t="s">
        <v>10</v>
      </c>
      <c r="I73" t="s">
        <v>1523</v>
      </c>
      <c r="J73">
        <v>16</v>
      </c>
      <c r="K73" t="s">
        <v>1525</v>
      </c>
      <c r="L73" t="s">
        <v>1525</v>
      </c>
      <c r="M73">
        <v>5</v>
      </c>
      <c r="N73">
        <v>2</v>
      </c>
      <c r="O73">
        <v>8</v>
      </c>
      <c r="P73">
        <v>46.9</v>
      </c>
      <c r="Q73" t="s">
        <v>1528</v>
      </c>
      <c r="R73" t="s">
        <v>1514</v>
      </c>
    </row>
    <row r="74" spans="1:18" x14ac:dyDescent="0.45">
      <c r="A74">
        <v>73</v>
      </c>
      <c r="B74">
        <v>0</v>
      </c>
      <c r="C74" t="s">
        <v>1519</v>
      </c>
      <c r="D74" t="s">
        <v>1554</v>
      </c>
      <c r="E74" t="s">
        <v>809</v>
      </c>
      <c r="F74" t="s">
        <v>722</v>
      </c>
      <c r="G74" t="s">
        <v>123</v>
      </c>
      <c r="H74" t="s">
        <v>9</v>
      </c>
      <c r="I74" t="s">
        <v>1520</v>
      </c>
      <c r="J74">
        <v>21</v>
      </c>
      <c r="K74" t="s">
        <v>1521</v>
      </c>
      <c r="L74" t="s">
        <v>1521</v>
      </c>
      <c r="M74">
        <v>0</v>
      </c>
      <c r="N74">
        <v>0</v>
      </c>
      <c r="O74">
        <v>1</v>
      </c>
      <c r="P74">
        <v>73.5</v>
      </c>
      <c r="Q74" t="s">
        <v>1528</v>
      </c>
      <c r="R74" t="s">
        <v>1514</v>
      </c>
    </row>
    <row r="75" spans="1:18" x14ac:dyDescent="0.45">
      <c r="A75">
        <v>74</v>
      </c>
      <c r="B75">
        <v>0</v>
      </c>
      <c r="C75" t="s">
        <v>1519</v>
      </c>
      <c r="D75" t="s">
        <v>1552</v>
      </c>
      <c r="E75" t="s">
        <v>810</v>
      </c>
      <c r="F75" t="s">
        <v>722</v>
      </c>
      <c r="G75" t="s">
        <v>124</v>
      </c>
      <c r="H75" t="s">
        <v>9</v>
      </c>
      <c r="I75" t="s">
        <v>1520</v>
      </c>
      <c r="J75">
        <v>26</v>
      </c>
      <c r="K75" t="s">
        <v>1521</v>
      </c>
      <c r="L75" t="s">
        <v>1521</v>
      </c>
      <c r="M75">
        <v>1</v>
      </c>
      <c r="N75">
        <v>0</v>
      </c>
      <c r="O75">
        <v>2</v>
      </c>
      <c r="P75">
        <v>14.4542</v>
      </c>
      <c r="Q75" t="s">
        <v>1528</v>
      </c>
      <c r="R75" t="s">
        <v>1515</v>
      </c>
    </row>
    <row r="76" spans="1:18" x14ac:dyDescent="0.45">
      <c r="A76">
        <v>75</v>
      </c>
      <c r="B76">
        <v>1</v>
      </c>
      <c r="C76" t="s">
        <v>1</v>
      </c>
      <c r="D76" t="s">
        <v>1552</v>
      </c>
      <c r="E76" t="s">
        <v>811</v>
      </c>
      <c r="F76" t="s">
        <v>722</v>
      </c>
      <c r="G76" t="s">
        <v>125</v>
      </c>
      <c r="H76" t="s">
        <v>9</v>
      </c>
      <c r="I76" t="s">
        <v>1520</v>
      </c>
      <c r="J76">
        <v>32</v>
      </c>
      <c r="K76" t="s">
        <v>1521</v>
      </c>
      <c r="L76" t="s">
        <v>1521</v>
      </c>
      <c r="M76">
        <v>0</v>
      </c>
      <c r="N76">
        <v>0</v>
      </c>
      <c r="O76">
        <v>1</v>
      </c>
      <c r="P76">
        <v>56.495800000000003</v>
      </c>
      <c r="Q76" t="s">
        <v>1528</v>
      </c>
      <c r="R76" t="s">
        <v>1514</v>
      </c>
    </row>
    <row r="77" spans="1:18" x14ac:dyDescent="0.45">
      <c r="A77">
        <v>76</v>
      </c>
      <c r="B77">
        <v>0</v>
      </c>
      <c r="C77" t="s">
        <v>1519</v>
      </c>
      <c r="D77" t="s">
        <v>1552</v>
      </c>
      <c r="E77" t="s">
        <v>812</v>
      </c>
      <c r="F77" t="s">
        <v>722</v>
      </c>
      <c r="G77" t="s">
        <v>126</v>
      </c>
      <c r="H77" t="s">
        <v>9</v>
      </c>
      <c r="I77" t="s">
        <v>1520</v>
      </c>
      <c r="J77">
        <v>25</v>
      </c>
      <c r="K77" t="s">
        <v>1521</v>
      </c>
      <c r="L77" t="s">
        <v>1521</v>
      </c>
      <c r="M77">
        <v>0</v>
      </c>
      <c r="N77">
        <v>0</v>
      </c>
      <c r="O77">
        <v>1</v>
      </c>
      <c r="P77">
        <v>7.65</v>
      </c>
      <c r="Q77" t="s">
        <v>1528</v>
      </c>
      <c r="R77" t="s">
        <v>1514</v>
      </c>
    </row>
    <row r="78" spans="1:18" x14ac:dyDescent="0.45">
      <c r="A78">
        <v>77</v>
      </c>
      <c r="B78">
        <v>0</v>
      </c>
      <c r="C78" t="s">
        <v>1519</v>
      </c>
      <c r="D78" t="s">
        <v>1552</v>
      </c>
      <c r="E78" t="s">
        <v>813</v>
      </c>
      <c r="F78" t="s">
        <v>722</v>
      </c>
      <c r="G78" t="s">
        <v>127</v>
      </c>
      <c r="H78" t="s">
        <v>9</v>
      </c>
      <c r="I78" t="s">
        <v>1520</v>
      </c>
      <c r="J78">
        <v>28</v>
      </c>
      <c r="K78" t="s">
        <v>1521</v>
      </c>
      <c r="L78" t="s">
        <v>1521</v>
      </c>
      <c r="M78">
        <v>0</v>
      </c>
      <c r="N78">
        <v>0</v>
      </c>
      <c r="O78">
        <v>1</v>
      </c>
      <c r="P78">
        <v>7.8958000000000004</v>
      </c>
      <c r="Q78" t="s">
        <v>1528</v>
      </c>
      <c r="R78" t="s">
        <v>1514</v>
      </c>
    </row>
    <row r="79" spans="1:18" x14ac:dyDescent="0.45">
      <c r="A79">
        <v>78</v>
      </c>
      <c r="B79">
        <v>0</v>
      </c>
      <c r="C79" t="s">
        <v>1519</v>
      </c>
      <c r="D79" t="s">
        <v>1552</v>
      </c>
      <c r="E79" t="s">
        <v>814</v>
      </c>
      <c r="F79" t="s">
        <v>722</v>
      </c>
      <c r="G79" t="s">
        <v>128</v>
      </c>
      <c r="H79" t="s">
        <v>9</v>
      </c>
      <c r="I79" t="s">
        <v>1520</v>
      </c>
      <c r="J79">
        <v>28</v>
      </c>
      <c r="K79" t="s">
        <v>1521</v>
      </c>
      <c r="L79" t="s">
        <v>1521</v>
      </c>
      <c r="M79">
        <v>0</v>
      </c>
      <c r="N79">
        <v>0</v>
      </c>
      <c r="O79">
        <v>1</v>
      </c>
      <c r="P79" t="s">
        <v>12</v>
      </c>
      <c r="Q79" t="s">
        <v>1528</v>
      </c>
      <c r="R79" t="s">
        <v>1514</v>
      </c>
    </row>
    <row r="80" spans="1:18" x14ac:dyDescent="0.45">
      <c r="A80">
        <v>79</v>
      </c>
      <c r="B80">
        <v>1</v>
      </c>
      <c r="C80" t="s">
        <v>1</v>
      </c>
      <c r="D80" t="s">
        <v>1554</v>
      </c>
      <c r="E80" t="s">
        <v>815</v>
      </c>
      <c r="F80" t="s">
        <v>725</v>
      </c>
      <c r="G80" t="s">
        <v>129</v>
      </c>
      <c r="H80" t="s">
        <v>9</v>
      </c>
      <c r="I80" t="s">
        <v>1520</v>
      </c>
      <c r="J80">
        <v>0.83</v>
      </c>
      <c r="K80" t="s">
        <v>1524</v>
      </c>
      <c r="L80" t="s">
        <v>1524</v>
      </c>
      <c r="M80">
        <v>0</v>
      </c>
      <c r="N80">
        <v>2</v>
      </c>
      <c r="O80">
        <v>3</v>
      </c>
      <c r="P80">
        <v>29</v>
      </c>
      <c r="Q80" t="s">
        <v>1528</v>
      </c>
      <c r="R80" t="s">
        <v>1514</v>
      </c>
    </row>
    <row r="81" spans="1:18" x14ac:dyDescent="0.45">
      <c r="A81">
        <v>80</v>
      </c>
      <c r="B81">
        <v>1</v>
      </c>
      <c r="C81" t="s">
        <v>1</v>
      </c>
      <c r="D81" t="s">
        <v>1552</v>
      </c>
      <c r="E81" t="s">
        <v>750</v>
      </c>
      <c r="F81" t="s">
        <v>724</v>
      </c>
      <c r="G81" t="s">
        <v>130</v>
      </c>
      <c r="H81" t="s">
        <v>10</v>
      </c>
      <c r="I81" t="s">
        <v>1523</v>
      </c>
      <c r="J81">
        <v>30</v>
      </c>
      <c r="K81" t="s">
        <v>1521</v>
      </c>
      <c r="L81" t="s">
        <v>1521</v>
      </c>
      <c r="M81">
        <v>0</v>
      </c>
      <c r="N81">
        <v>0</v>
      </c>
      <c r="O81">
        <v>1</v>
      </c>
      <c r="P81">
        <v>12.475</v>
      </c>
      <c r="Q81" t="s">
        <v>1528</v>
      </c>
      <c r="R81" t="s">
        <v>1514</v>
      </c>
    </row>
    <row r="82" spans="1:18" x14ac:dyDescent="0.45">
      <c r="A82">
        <v>81</v>
      </c>
      <c r="B82">
        <v>0</v>
      </c>
      <c r="C82" t="s">
        <v>1519</v>
      </c>
      <c r="D82" t="s">
        <v>1552</v>
      </c>
      <c r="E82" t="s">
        <v>816</v>
      </c>
      <c r="F82" t="s">
        <v>722</v>
      </c>
      <c r="G82" t="s">
        <v>131</v>
      </c>
      <c r="H82" t="s">
        <v>9</v>
      </c>
      <c r="I82" t="s">
        <v>1520</v>
      </c>
      <c r="J82">
        <v>22</v>
      </c>
      <c r="K82" t="s">
        <v>1521</v>
      </c>
      <c r="L82" t="s">
        <v>1521</v>
      </c>
      <c r="M82">
        <v>0</v>
      </c>
      <c r="N82">
        <v>0</v>
      </c>
      <c r="O82">
        <v>1</v>
      </c>
      <c r="P82">
        <v>9</v>
      </c>
      <c r="Q82" t="s">
        <v>1528</v>
      </c>
      <c r="R82" t="s">
        <v>1514</v>
      </c>
    </row>
    <row r="83" spans="1:18" x14ac:dyDescent="0.45">
      <c r="A83">
        <v>82</v>
      </c>
      <c r="B83">
        <v>1</v>
      </c>
      <c r="C83" t="s">
        <v>1</v>
      </c>
      <c r="D83" t="s">
        <v>1552</v>
      </c>
      <c r="E83" t="s">
        <v>817</v>
      </c>
      <c r="F83" t="s">
        <v>722</v>
      </c>
      <c r="G83" t="s">
        <v>132</v>
      </c>
      <c r="H83" t="s">
        <v>9</v>
      </c>
      <c r="I83" t="s">
        <v>1520</v>
      </c>
      <c r="J83">
        <v>29</v>
      </c>
      <c r="K83" t="s">
        <v>1521</v>
      </c>
      <c r="L83" t="s">
        <v>1521</v>
      </c>
      <c r="M83">
        <v>0</v>
      </c>
      <c r="N83">
        <v>0</v>
      </c>
      <c r="O83">
        <v>1</v>
      </c>
      <c r="P83">
        <v>9.5</v>
      </c>
      <c r="Q83" t="s">
        <v>1528</v>
      </c>
      <c r="R83" t="s">
        <v>1514</v>
      </c>
    </row>
    <row r="84" spans="1:18" x14ac:dyDescent="0.45">
      <c r="A84">
        <v>83</v>
      </c>
      <c r="B84">
        <v>1</v>
      </c>
      <c r="C84" t="s">
        <v>1</v>
      </c>
      <c r="D84" t="s">
        <v>1552</v>
      </c>
      <c r="E84" t="s">
        <v>818</v>
      </c>
      <c r="F84" t="s">
        <v>724</v>
      </c>
      <c r="G84" t="s">
        <v>133</v>
      </c>
      <c r="H84" t="s">
        <v>10</v>
      </c>
      <c r="I84" t="s">
        <v>1523</v>
      </c>
      <c r="J84">
        <v>28</v>
      </c>
      <c r="K84" t="s">
        <v>1521</v>
      </c>
      <c r="L84" t="s">
        <v>1521</v>
      </c>
      <c r="M84">
        <v>0</v>
      </c>
      <c r="N84">
        <v>0</v>
      </c>
      <c r="O84">
        <v>1</v>
      </c>
      <c r="P84">
        <v>7.7874999999999996</v>
      </c>
      <c r="Q84" t="s">
        <v>1528</v>
      </c>
      <c r="R84" t="s">
        <v>1516</v>
      </c>
    </row>
    <row r="85" spans="1:18" x14ac:dyDescent="0.45">
      <c r="A85">
        <v>84</v>
      </c>
      <c r="B85">
        <v>0</v>
      </c>
      <c r="C85" t="s">
        <v>1519</v>
      </c>
      <c r="D85" t="s">
        <v>1553</v>
      </c>
      <c r="E85" t="s">
        <v>819</v>
      </c>
      <c r="F85" t="s">
        <v>722</v>
      </c>
      <c r="G85" t="s">
        <v>134</v>
      </c>
      <c r="H85" t="s">
        <v>9</v>
      </c>
      <c r="I85" t="s">
        <v>1520</v>
      </c>
      <c r="J85">
        <v>28</v>
      </c>
      <c r="K85" t="s">
        <v>1521</v>
      </c>
      <c r="L85" t="s">
        <v>1521</v>
      </c>
      <c r="M85">
        <v>0</v>
      </c>
      <c r="N85">
        <v>0</v>
      </c>
      <c r="O85">
        <v>1</v>
      </c>
      <c r="P85">
        <v>47.1</v>
      </c>
      <c r="Q85" t="s">
        <v>1528</v>
      </c>
      <c r="R85" t="s">
        <v>1514</v>
      </c>
    </row>
    <row r="86" spans="1:18" x14ac:dyDescent="0.45">
      <c r="A86">
        <v>85</v>
      </c>
      <c r="B86">
        <v>1</v>
      </c>
      <c r="C86" t="s">
        <v>1</v>
      </c>
      <c r="D86" t="s">
        <v>1554</v>
      </c>
      <c r="E86" t="s">
        <v>820</v>
      </c>
      <c r="F86" t="s">
        <v>724</v>
      </c>
      <c r="G86" t="s">
        <v>135</v>
      </c>
      <c r="H86" t="s">
        <v>10</v>
      </c>
      <c r="I86" t="s">
        <v>1523</v>
      </c>
      <c r="J86">
        <v>17</v>
      </c>
      <c r="K86" t="s">
        <v>1525</v>
      </c>
      <c r="L86" t="s">
        <v>1525</v>
      </c>
      <c r="M86">
        <v>0</v>
      </c>
      <c r="N86">
        <v>0</v>
      </c>
      <c r="O86">
        <v>1</v>
      </c>
      <c r="P86" t="s">
        <v>18</v>
      </c>
      <c r="Q86" t="s">
        <v>1528</v>
      </c>
      <c r="R86" t="s">
        <v>1514</v>
      </c>
    </row>
    <row r="87" spans="1:18" x14ac:dyDescent="0.45">
      <c r="A87">
        <v>86</v>
      </c>
      <c r="B87">
        <v>1</v>
      </c>
      <c r="C87" t="s">
        <v>1</v>
      </c>
      <c r="D87" t="s">
        <v>1552</v>
      </c>
      <c r="E87" t="s">
        <v>821</v>
      </c>
      <c r="F87" t="s">
        <v>723</v>
      </c>
      <c r="G87" t="s">
        <v>136</v>
      </c>
      <c r="H87" t="s">
        <v>10</v>
      </c>
      <c r="I87" t="s">
        <v>1523</v>
      </c>
      <c r="J87">
        <v>33</v>
      </c>
      <c r="K87" t="s">
        <v>1521</v>
      </c>
      <c r="L87" t="s">
        <v>1521</v>
      </c>
      <c r="M87">
        <v>3</v>
      </c>
      <c r="N87">
        <v>0</v>
      </c>
      <c r="O87">
        <v>4</v>
      </c>
      <c r="P87">
        <v>15.85</v>
      </c>
      <c r="Q87" t="s">
        <v>1528</v>
      </c>
      <c r="R87" t="s">
        <v>1514</v>
      </c>
    </row>
    <row r="88" spans="1:18" x14ac:dyDescent="0.45">
      <c r="A88">
        <v>87</v>
      </c>
      <c r="B88">
        <v>0</v>
      </c>
      <c r="C88" t="s">
        <v>1519</v>
      </c>
      <c r="D88" t="s">
        <v>1552</v>
      </c>
      <c r="E88" t="s">
        <v>822</v>
      </c>
      <c r="F88" t="s">
        <v>722</v>
      </c>
      <c r="G88" t="s">
        <v>137</v>
      </c>
      <c r="H88" t="s">
        <v>9</v>
      </c>
      <c r="I88" t="s">
        <v>1520</v>
      </c>
      <c r="J88">
        <v>16</v>
      </c>
      <c r="K88" t="s">
        <v>1525</v>
      </c>
      <c r="L88" t="s">
        <v>1525</v>
      </c>
      <c r="M88">
        <v>1</v>
      </c>
      <c r="N88">
        <v>3</v>
      </c>
      <c r="O88">
        <v>5</v>
      </c>
      <c r="P88">
        <v>34.375</v>
      </c>
      <c r="Q88" t="s">
        <v>1528</v>
      </c>
      <c r="R88" t="s">
        <v>1514</v>
      </c>
    </row>
    <row r="89" spans="1:18" x14ac:dyDescent="0.45">
      <c r="A89">
        <v>88</v>
      </c>
      <c r="B89">
        <v>0</v>
      </c>
      <c r="C89" t="s">
        <v>1519</v>
      </c>
      <c r="D89" t="s">
        <v>1552</v>
      </c>
      <c r="E89" t="s">
        <v>823</v>
      </c>
      <c r="F89" t="s">
        <v>722</v>
      </c>
      <c r="G89" t="s">
        <v>138</v>
      </c>
      <c r="H89" t="s">
        <v>9</v>
      </c>
      <c r="I89" t="s">
        <v>1520</v>
      </c>
      <c r="J89">
        <v>28</v>
      </c>
      <c r="K89" t="s">
        <v>1521</v>
      </c>
      <c r="L89" t="s">
        <v>1521</v>
      </c>
      <c r="M89">
        <v>0</v>
      </c>
      <c r="N89">
        <v>0</v>
      </c>
      <c r="O89">
        <v>1</v>
      </c>
      <c r="P89" t="s">
        <v>12</v>
      </c>
      <c r="Q89" t="s">
        <v>1528</v>
      </c>
      <c r="R89" t="s">
        <v>1514</v>
      </c>
    </row>
    <row r="90" spans="1:18" x14ac:dyDescent="0.45">
      <c r="A90">
        <v>89</v>
      </c>
      <c r="B90">
        <v>1</v>
      </c>
      <c r="C90" t="s">
        <v>1</v>
      </c>
      <c r="D90" t="s">
        <v>1553</v>
      </c>
      <c r="E90" t="s">
        <v>824</v>
      </c>
      <c r="F90" t="s">
        <v>724</v>
      </c>
      <c r="G90" t="s">
        <v>81</v>
      </c>
      <c r="H90" t="s">
        <v>10</v>
      </c>
      <c r="I90" t="s">
        <v>1523</v>
      </c>
      <c r="J90">
        <v>23</v>
      </c>
      <c r="K90" t="s">
        <v>1521</v>
      </c>
      <c r="L90" t="s">
        <v>1521</v>
      </c>
      <c r="M90">
        <v>3</v>
      </c>
      <c r="N90">
        <v>2</v>
      </c>
      <c r="O90">
        <v>6</v>
      </c>
      <c r="P90">
        <v>263</v>
      </c>
      <c r="Q90" t="s">
        <v>1528</v>
      </c>
      <c r="R90" t="s">
        <v>1514</v>
      </c>
    </row>
    <row r="91" spans="1:18" x14ac:dyDescent="0.45">
      <c r="A91">
        <v>90</v>
      </c>
      <c r="B91">
        <v>0</v>
      </c>
      <c r="C91" t="s">
        <v>1519</v>
      </c>
      <c r="D91" t="s">
        <v>1552</v>
      </c>
      <c r="E91" t="s">
        <v>825</v>
      </c>
      <c r="F91" t="s">
        <v>722</v>
      </c>
      <c r="G91" t="s">
        <v>139</v>
      </c>
      <c r="H91" t="s">
        <v>9</v>
      </c>
      <c r="I91" t="s">
        <v>1520</v>
      </c>
      <c r="J91">
        <v>24</v>
      </c>
      <c r="K91" t="s">
        <v>1521</v>
      </c>
      <c r="L91" t="s">
        <v>1521</v>
      </c>
      <c r="M91">
        <v>0</v>
      </c>
      <c r="N91">
        <v>0</v>
      </c>
      <c r="O91">
        <v>1</v>
      </c>
      <c r="P91" t="s">
        <v>12</v>
      </c>
      <c r="Q91" t="s">
        <v>1528</v>
      </c>
      <c r="R91" t="s">
        <v>1514</v>
      </c>
    </row>
    <row r="92" spans="1:18" x14ac:dyDescent="0.45">
      <c r="A92">
        <v>91</v>
      </c>
      <c r="B92">
        <v>0</v>
      </c>
      <c r="C92" t="s">
        <v>1519</v>
      </c>
      <c r="D92" t="s">
        <v>1552</v>
      </c>
      <c r="E92" t="s">
        <v>826</v>
      </c>
      <c r="F92" t="s">
        <v>722</v>
      </c>
      <c r="G92" t="s">
        <v>140</v>
      </c>
      <c r="H92" t="s">
        <v>9</v>
      </c>
      <c r="I92" t="s">
        <v>1520</v>
      </c>
      <c r="J92">
        <v>29</v>
      </c>
      <c r="K92" t="s">
        <v>1521</v>
      </c>
      <c r="L92" t="s">
        <v>1521</v>
      </c>
      <c r="M92">
        <v>0</v>
      </c>
      <c r="N92">
        <v>0</v>
      </c>
      <c r="O92">
        <v>1</v>
      </c>
      <c r="P92" t="s">
        <v>12</v>
      </c>
      <c r="Q92" t="s">
        <v>1528</v>
      </c>
      <c r="R92" t="s">
        <v>1514</v>
      </c>
    </row>
    <row r="93" spans="1:18" x14ac:dyDescent="0.45">
      <c r="A93">
        <v>92</v>
      </c>
      <c r="B93">
        <v>0</v>
      </c>
      <c r="C93" t="s">
        <v>1519</v>
      </c>
      <c r="D93" t="s">
        <v>1552</v>
      </c>
      <c r="E93" t="s">
        <v>827</v>
      </c>
      <c r="F93" t="s">
        <v>722</v>
      </c>
      <c r="G93" t="s">
        <v>141</v>
      </c>
      <c r="H93" t="s">
        <v>9</v>
      </c>
      <c r="I93" t="s">
        <v>1520</v>
      </c>
      <c r="J93">
        <v>20</v>
      </c>
      <c r="K93" t="s">
        <v>1521</v>
      </c>
      <c r="L93" t="s">
        <v>1521</v>
      </c>
      <c r="M93">
        <v>0</v>
      </c>
      <c r="N93">
        <v>0</v>
      </c>
      <c r="O93">
        <v>1</v>
      </c>
      <c r="P93">
        <v>7.8541999999999996</v>
      </c>
      <c r="Q93" t="s">
        <v>1528</v>
      </c>
      <c r="R93" t="s">
        <v>1514</v>
      </c>
    </row>
    <row r="94" spans="1:18" x14ac:dyDescent="0.45">
      <c r="A94">
        <v>93</v>
      </c>
      <c r="B94">
        <v>0</v>
      </c>
      <c r="C94" t="s">
        <v>1519</v>
      </c>
      <c r="D94" t="s">
        <v>1553</v>
      </c>
      <c r="E94" t="s">
        <v>828</v>
      </c>
      <c r="F94" t="s">
        <v>722</v>
      </c>
      <c r="G94" t="s">
        <v>142</v>
      </c>
      <c r="H94" t="s">
        <v>9</v>
      </c>
      <c r="I94" t="s">
        <v>1520</v>
      </c>
      <c r="J94">
        <v>46</v>
      </c>
      <c r="K94" t="s">
        <v>1521</v>
      </c>
      <c r="L94" t="s">
        <v>1521</v>
      </c>
      <c r="M94">
        <v>1</v>
      </c>
      <c r="N94">
        <v>0</v>
      </c>
      <c r="O94">
        <v>2</v>
      </c>
      <c r="P94">
        <v>61.174999999999997</v>
      </c>
      <c r="Q94" t="s">
        <v>1528</v>
      </c>
      <c r="R94" t="s">
        <v>1514</v>
      </c>
    </row>
    <row r="95" spans="1:18" x14ac:dyDescent="0.45">
      <c r="A95">
        <v>94</v>
      </c>
      <c r="B95">
        <v>0</v>
      </c>
      <c r="C95" t="s">
        <v>1519</v>
      </c>
      <c r="D95" t="s">
        <v>1552</v>
      </c>
      <c r="E95" t="s">
        <v>829</v>
      </c>
      <c r="F95" t="s">
        <v>722</v>
      </c>
      <c r="G95" t="s">
        <v>143</v>
      </c>
      <c r="H95" t="s">
        <v>9</v>
      </c>
      <c r="I95" t="s">
        <v>1520</v>
      </c>
      <c r="J95">
        <v>26</v>
      </c>
      <c r="K95" t="s">
        <v>1521</v>
      </c>
      <c r="L95" t="s">
        <v>1521</v>
      </c>
      <c r="M95">
        <v>1</v>
      </c>
      <c r="N95">
        <v>2</v>
      </c>
      <c r="O95">
        <v>4</v>
      </c>
      <c r="P95" t="s">
        <v>20</v>
      </c>
      <c r="Q95" t="s">
        <v>1528</v>
      </c>
      <c r="R95" t="s">
        <v>1514</v>
      </c>
    </row>
    <row r="96" spans="1:18" x14ac:dyDescent="0.45">
      <c r="A96">
        <v>95</v>
      </c>
      <c r="B96">
        <v>0</v>
      </c>
      <c r="C96" t="s">
        <v>1519</v>
      </c>
      <c r="D96" t="s">
        <v>1552</v>
      </c>
      <c r="E96" t="s">
        <v>830</v>
      </c>
      <c r="F96" t="s">
        <v>722</v>
      </c>
      <c r="G96" t="s">
        <v>144</v>
      </c>
      <c r="H96" t="s">
        <v>9</v>
      </c>
      <c r="I96" t="s">
        <v>1520</v>
      </c>
      <c r="J96">
        <v>59</v>
      </c>
      <c r="K96" t="s">
        <v>1521</v>
      </c>
      <c r="L96" t="s">
        <v>1521</v>
      </c>
      <c r="M96">
        <v>0</v>
      </c>
      <c r="N96">
        <v>0</v>
      </c>
      <c r="O96">
        <v>1</v>
      </c>
      <c r="P96">
        <v>7.25</v>
      </c>
      <c r="Q96" t="s">
        <v>1528</v>
      </c>
      <c r="R96" t="s">
        <v>1514</v>
      </c>
    </row>
    <row r="97" spans="1:18" x14ac:dyDescent="0.45">
      <c r="A97">
        <v>96</v>
      </c>
      <c r="B97">
        <v>0</v>
      </c>
      <c r="C97" t="s">
        <v>1519</v>
      </c>
      <c r="D97" t="s">
        <v>1552</v>
      </c>
      <c r="E97" t="s">
        <v>831</v>
      </c>
      <c r="F97" t="s">
        <v>722</v>
      </c>
      <c r="G97" t="s">
        <v>145</v>
      </c>
      <c r="H97" t="s">
        <v>9</v>
      </c>
      <c r="I97" t="s">
        <v>1520</v>
      </c>
      <c r="J97">
        <v>28</v>
      </c>
      <c r="K97" t="s">
        <v>1521</v>
      </c>
      <c r="L97" t="s">
        <v>1521</v>
      </c>
      <c r="M97">
        <v>0</v>
      </c>
      <c r="N97">
        <v>0</v>
      </c>
      <c r="O97">
        <v>1</v>
      </c>
      <c r="P97" t="s">
        <v>12</v>
      </c>
      <c r="Q97" t="s">
        <v>1528</v>
      </c>
      <c r="R97" t="s">
        <v>1514</v>
      </c>
    </row>
    <row r="98" spans="1:18" x14ac:dyDescent="0.45">
      <c r="A98">
        <v>97</v>
      </c>
      <c r="B98">
        <v>0</v>
      </c>
      <c r="C98" t="s">
        <v>1519</v>
      </c>
      <c r="D98" t="s">
        <v>1553</v>
      </c>
      <c r="E98" t="s">
        <v>832</v>
      </c>
      <c r="F98" t="s">
        <v>722</v>
      </c>
      <c r="G98" t="s">
        <v>146</v>
      </c>
      <c r="H98" t="s">
        <v>9</v>
      </c>
      <c r="I98" t="s">
        <v>1520</v>
      </c>
      <c r="J98">
        <v>71</v>
      </c>
      <c r="K98" t="s">
        <v>1527</v>
      </c>
      <c r="L98" t="s">
        <v>1527</v>
      </c>
      <c r="M98">
        <v>0</v>
      </c>
      <c r="N98">
        <v>0</v>
      </c>
      <c r="O98">
        <v>1</v>
      </c>
      <c r="P98">
        <v>34.654200000000003</v>
      </c>
      <c r="Q98" t="s">
        <v>1528</v>
      </c>
      <c r="R98" t="s">
        <v>1515</v>
      </c>
    </row>
    <row r="99" spans="1:18" x14ac:dyDescent="0.45">
      <c r="A99">
        <v>98</v>
      </c>
      <c r="B99">
        <v>1</v>
      </c>
      <c r="C99" t="s">
        <v>1</v>
      </c>
      <c r="D99" t="s">
        <v>1553</v>
      </c>
      <c r="E99" t="s">
        <v>833</v>
      </c>
      <c r="F99" t="s">
        <v>722</v>
      </c>
      <c r="G99" t="s">
        <v>147</v>
      </c>
      <c r="H99" t="s">
        <v>9</v>
      </c>
      <c r="I99" t="s">
        <v>1520</v>
      </c>
      <c r="J99">
        <v>23</v>
      </c>
      <c r="K99" t="s">
        <v>1521</v>
      </c>
      <c r="L99" t="s">
        <v>1521</v>
      </c>
      <c r="M99">
        <v>0</v>
      </c>
      <c r="N99">
        <v>1</v>
      </c>
      <c r="O99">
        <v>2</v>
      </c>
      <c r="P99">
        <v>63.3583</v>
      </c>
      <c r="Q99" t="s">
        <v>1528</v>
      </c>
      <c r="R99" t="s">
        <v>1515</v>
      </c>
    </row>
    <row r="100" spans="1:18" x14ac:dyDescent="0.45">
      <c r="A100">
        <v>99</v>
      </c>
      <c r="B100">
        <v>1</v>
      </c>
      <c r="C100" t="s">
        <v>1</v>
      </c>
      <c r="D100" t="s">
        <v>1554</v>
      </c>
      <c r="E100" t="s">
        <v>834</v>
      </c>
      <c r="F100" t="s">
        <v>723</v>
      </c>
      <c r="G100" t="s">
        <v>148</v>
      </c>
      <c r="H100" t="s">
        <v>10</v>
      </c>
      <c r="I100" t="s">
        <v>1523</v>
      </c>
      <c r="J100">
        <v>34</v>
      </c>
      <c r="K100" t="s">
        <v>1521</v>
      </c>
      <c r="L100" t="s">
        <v>1521</v>
      </c>
      <c r="M100">
        <v>0</v>
      </c>
      <c r="N100">
        <v>1</v>
      </c>
      <c r="O100">
        <v>2</v>
      </c>
      <c r="P100">
        <v>23</v>
      </c>
      <c r="Q100" t="s">
        <v>1528</v>
      </c>
      <c r="R100" t="s">
        <v>1514</v>
      </c>
    </row>
    <row r="101" spans="1:18" x14ac:dyDescent="0.45">
      <c r="A101">
        <v>100</v>
      </c>
      <c r="B101">
        <v>0</v>
      </c>
      <c r="C101" t="s">
        <v>1519</v>
      </c>
      <c r="D101" t="s">
        <v>1554</v>
      </c>
      <c r="E101" t="s">
        <v>835</v>
      </c>
      <c r="F101" t="s">
        <v>722</v>
      </c>
      <c r="G101" t="s">
        <v>149</v>
      </c>
      <c r="H101" t="s">
        <v>9</v>
      </c>
      <c r="I101" t="s">
        <v>1520</v>
      </c>
      <c r="J101">
        <v>34</v>
      </c>
      <c r="K101" t="s">
        <v>1521</v>
      </c>
      <c r="L101" t="s">
        <v>1521</v>
      </c>
      <c r="M101">
        <v>1</v>
      </c>
      <c r="N101">
        <v>0</v>
      </c>
      <c r="O101">
        <v>2</v>
      </c>
      <c r="P101">
        <v>26</v>
      </c>
      <c r="Q101" t="s">
        <v>1528</v>
      </c>
      <c r="R101" t="s">
        <v>1514</v>
      </c>
    </row>
    <row r="102" spans="1:18" x14ac:dyDescent="0.45">
      <c r="A102">
        <v>101</v>
      </c>
      <c r="B102">
        <v>0</v>
      </c>
      <c r="C102" t="s">
        <v>1519</v>
      </c>
      <c r="D102" t="s">
        <v>1552</v>
      </c>
      <c r="E102" t="s">
        <v>836</v>
      </c>
      <c r="F102" t="s">
        <v>724</v>
      </c>
      <c r="G102" t="s">
        <v>150</v>
      </c>
      <c r="H102" t="s">
        <v>10</v>
      </c>
      <c r="I102" t="s">
        <v>1523</v>
      </c>
      <c r="J102">
        <v>28</v>
      </c>
      <c r="K102" t="s">
        <v>1521</v>
      </c>
      <c r="L102" t="s">
        <v>1521</v>
      </c>
      <c r="M102">
        <v>0</v>
      </c>
      <c r="N102">
        <v>0</v>
      </c>
      <c r="O102">
        <v>1</v>
      </c>
      <c r="P102">
        <v>7.8958000000000004</v>
      </c>
      <c r="Q102" t="s">
        <v>1528</v>
      </c>
      <c r="R102" t="s">
        <v>1514</v>
      </c>
    </row>
    <row r="103" spans="1:18" x14ac:dyDescent="0.45">
      <c r="A103">
        <v>102</v>
      </c>
      <c r="B103">
        <v>0</v>
      </c>
      <c r="C103" t="s">
        <v>1519</v>
      </c>
      <c r="D103" t="s">
        <v>1552</v>
      </c>
      <c r="E103" t="s">
        <v>837</v>
      </c>
      <c r="F103" t="s">
        <v>722</v>
      </c>
      <c r="G103" t="s">
        <v>151</v>
      </c>
      <c r="H103" t="s">
        <v>9</v>
      </c>
      <c r="I103" t="s">
        <v>1520</v>
      </c>
      <c r="J103">
        <v>28</v>
      </c>
      <c r="K103" t="s">
        <v>1521</v>
      </c>
      <c r="L103" t="s">
        <v>1521</v>
      </c>
      <c r="M103">
        <v>0</v>
      </c>
      <c r="N103">
        <v>0</v>
      </c>
      <c r="O103">
        <v>1</v>
      </c>
      <c r="P103">
        <v>7.8958000000000004</v>
      </c>
      <c r="Q103" t="s">
        <v>1528</v>
      </c>
      <c r="R103" t="s">
        <v>1514</v>
      </c>
    </row>
    <row r="104" spans="1:18" x14ac:dyDescent="0.45">
      <c r="A104">
        <v>103</v>
      </c>
      <c r="B104">
        <v>0</v>
      </c>
      <c r="C104" t="s">
        <v>1519</v>
      </c>
      <c r="D104" t="s">
        <v>1553</v>
      </c>
      <c r="E104" t="s">
        <v>838</v>
      </c>
      <c r="F104" t="s">
        <v>722</v>
      </c>
      <c r="G104" t="s">
        <v>152</v>
      </c>
      <c r="H104" t="s">
        <v>9</v>
      </c>
      <c r="I104" t="s">
        <v>1520</v>
      </c>
      <c r="J104">
        <v>21</v>
      </c>
      <c r="K104" t="s">
        <v>1521</v>
      </c>
      <c r="L104" t="s">
        <v>1521</v>
      </c>
      <c r="M104">
        <v>0</v>
      </c>
      <c r="N104">
        <v>1</v>
      </c>
      <c r="O104">
        <v>2</v>
      </c>
      <c r="P104">
        <v>77.287499999999994</v>
      </c>
      <c r="Q104" t="s">
        <v>1528</v>
      </c>
      <c r="R104" t="s">
        <v>1514</v>
      </c>
    </row>
    <row r="105" spans="1:18" x14ac:dyDescent="0.45">
      <c r="A105">
        <v>104</v>
      </c>
      <c r="B105">
        <v>0</v>
      </c>
      <c r="C105" t="s">
        <v>1519</v>
      </c>
      <c r="D105" t="s">
        <v>1552</v>
      </c>
      <c r="E105" t="s">
        <v>839</v>
      </c>
      <c r="F105" t="s">
        <v>722</v>
      </c>
      <c r="G105" t="s">
        <v>153</v>
      </c>
      <c r="H105" t="s">
        <v>9</v>
      </c>
      <c r="I105" t="s">
        <v>1520</v>
      </c>
      <c r="J105">
        <v>33</v>
      </c>
      <c r="K105" t="s">
        <v>1521</v>
      </c>
      <c r="L105" t="s">
        <v>1521</v>
      </c>
      <c r="M105">
        <v>0</v>
      </c>
      <c r="N105">
        <v>0</v>
      </c>
      <c r="O105">
        <v>1</v>
      </c>
      <c r="P105">
        <v>8.6541999999999994</v>
      </c>
      <c r="Q105" t="s">
        <v>1528</v>
      </c>
      <c r="R105" t="s">
        <v>1514</v>
      </c>
    </row>
    <row r="106" spans="1:18" x14ac:dyDescent="0.45">
      <c r="A106">
        <v>105</v>
      </c>
      <c r="B106">
        <v>0</v>
      </c>
      <c r="C106" t="s">
        <v>1519</v>
      </c>
      <c r="D106" t="s">
        <v>1552</v>
      </c>
      <c r="E106" t="s">
        <v>840</v>
      </c>
      <c r="F106" t="s">
        <v>722</v>
      </c>
      <c r="G106" t="s">
        <v>154</v>
      </c>
      <c r="H106" t="s">
        <v>9</v>
      </c>
      <c r="I106" t="s">
        <v>1520</v>
      </c>
      <c r="J106">
        <v>37</v>
      </c>
      <c r="K106" t="s">
        <v>1521</v>
      </c>
      <c r="L106" t="s">
        <v>1521</v>
      </c>
      <c r="M106">
        <v>2</v>
      </c>
      <c r="N106">
        <v>0</v>
      </c>
      <c r="O106">
        <v>3</v>
      </c>
      <c r="P106">
        <v>7.9249999999999998</v>
      </c>
      <c r="Q106" t="s">
        <v>1528</v>
      </c>
      <c r="R106" t="s">
        <v>1514</v>
      </c>
    </row>
    <row r="107" spans="1:18" x14ac:dyDescent="0.45">
      <c r="A107">
        <v>106</v>
      </c>
      <c r="B107">
        <v>0</v>
      </c>
      <c r="C107" t="s">
        <v>1519</v>
      </c>
      <c r="D107" t="s">
        <v>1552</v>
      </c>
      <c r="E107" t="s">
        <v>841</v>
      </c>
      <c r="F107" t="s">
        <v>722</v>
      </c>
      <c r="G107" t="s">
        <v>155</v>
      </c>
      <c r="H107" t="s">
        <v>9</v>
      </c>
      <c r="I107" t="s">
        <v>1520</v>
      </c>
      <c r="J107">
        <v>28</v>
      </c>
      <c r="K107" t="s">
        <v>1521</v>
      </c>
      <c r="L107" t="s">
        <v>1521</v>
      </c>
      <c r="M107">
        <v>0</v>
      </c>
      <c r="N107">
        <v>0</v>
      </c>
      <c r="O107">
        <v>1</v>
      </c>
      <c r="P107">
        <v>7.8958000000000004</v>
      </c>
      <c r="Q107" t="s">
        <v>1528</v>
      </c>
      <c r="R107" t="s">
        <v>1514</v>
      </c>
    </row>
    <row r="108" spans="1:18" x14ac:dyDescent="0.45">
      <c r="A108">
        <v>107</v>
      </c>
      <c r="B108">
        <v>1</v>
      </c>
      <c r="C108" t="s">
        <v>1</v>
      </c>
      <c r="D108" t="s">
        <v>1552</v>
      </c>
      <c r="E108" t="s">
        <v>842</v>
      </c>
      <c r="F108" t="s">
        <v>724</v>
      </c>
      <c r="G108" t="s">
        <v>156</v>
      </c>
      <c r="H108" t="s">
        <v>10</v>
      </c>
      <c r="I108" t="s">
        <v>1523</v>
      </c>
      <c r="J108">
        <v>21</v>
      </c>
      <c r="K108" t="s">
        <v>1521</v>
      </c>
      <c r="L108" t="s">
        <v>1521</v>
      </c>
      <c r="M108">
        <v>0</v>
      </c>
      <c r="N108">
        <v>0</v>
      </c>
      <c r="O108">
        <v>1</v>
      </c>
      <c r="P108">
        <v>7.65</v>
      </c>
      <c r="Q108" t="s">
        <v>1528</v>
      </c>
      <c r="R108" t="s">
        <v>1514</v>
      </c>
    </row>
    <row r="109" spans="1:18" x14ac:dyDescent="0.45">
      <c r="A109">
        <v>108</v>
      </c>
      <c r="B109">
        <v>1</v>
      </c>
      <c r="C109" t="s">
        <v>1</v>
      </c>
      <c r="D109" t="s">
        <v>1552</v>
      </c>
      <c r="E109" t="s">
        <v>843</v>
      </c>
      <c r="F109" t="s">
        <v>722</v>
      </c>
      <c r="G109" t="s">
        <v>157</v>
      </c>
      <c r="H109" t="s">
        <v>9</v>
      </c>
      <c r="I109" t="s">
        <v>1520</v>
      </c>
      <c r="J109">
        <v>28</v>
      </c>
      <c r="K109" t="s">
        <v>1521</v>
      </c>
      <c r="L109" t="s">
        <v>1521</v>
      </c>
      <c r="M109">
        <v>0</v>
      </c>
      <c r="N109">
        <v>0</v>
      </c>
      <c r="O109">
        <v>1</v>
      </c>
      <c r="P109">
        <v>7.7750000000000004</v>
      </c>
      <c r="Q109" t="s">
        <v>1528</v>
      </c>
      <c r="R109" t="s">
        <v>1514</v>
      </c>
    </row>
    <row r="110" spans="1:18" x14ac:dyDescent="0.45">
      <c r="A110">
        <v>109</v>
      </c>
      <c r="B110">
        <v>0</v>
      </c>
      <c r="C110" t="s">
        <v>1519</v>
      </c>
      <c r="D110" t="s">
        <v>1552</v>
      </c>
      <c r="E110" t="s">
        <v>844</v>
      </c>
      <c r="F110" t="s">
        <v>722</v>
      </c>
      <c r="G110" t="s">
        <v>158</v>
      </c>
      <c r="H110" t="s">
        <v>9</v>
      </c>
      <c r="I110" t="s">
        <v>1520</v>
      </c>
      <c r="J110">
        <v>38</v>
      </c>
      <c r="K110" t="s">
        <v>1521</v>
      </c>
      <c r="L110" t="s">
        <v>1521</v>
      </c>
      <c r="M110">
        <v>0</v>
      </c>
      <c r="N110">
        <v>0</v>
      </c>
      <c r="O110">
        <v>1</v>
      </c>
      <c r="P110">
        <v>7.8958000000000004</v>
      </c>
      <c r="Q110" t="s">
        <v>1528</v>
      </c>
      <c r="R110" t="s">
        <v>1514</v>
      </c>
    </row>
    <row r="111" spans="1:18" x14ac:dyDescent="0.45">
      <c r="A111">
        <v>110</v>
      </c>
      <c r="B111">
        <v>1</v>
      </c>
      <c r="C111" t="s">
        <v>1</v>
      </c>
      <c r="D111" t="s">
        <v>1552</v>
      </c>
      <c r="E111" t="s">
        <v>820</v>
      </c>
      <c r="F111" t="s">
        <v>724</v>
      </c>
      <c r="G111" t="s">
        <v>60</v>
      </c>
      <c r="H111" t="s">
        <v>10</v>
      </c>
      <c r="I111" t="s">
        <v>1523</v>
      </c>
      <c r="J111">
        <v>28</v>
      </c>
      <c r="K111" t="s">
        <v>1521</v>
      </c>
      <c r="L111" t="s">
        <v>1521</v>
      </c>
      <c r="M111">
        <v>1</v>
      </c>
      <c r="N111">
        <v>0</v>
      </c>
      <c r="O111">
        <v>2</v>
      </c>
      <c r="P111">
        <v>24.15</v>
      </c>
      <c r="Q111" t="s">
        <v>1528</v>
      </c>
      <c r="R111" t="s">
        <v>1516</v>
      </c>
    </row>
    <row r="112" spans="1:18" x14ac:dyDescent="0.45">
      <c r="A112">
        <v>111</v>
      </c>
      <c r="B112">
        <v>0</v>
      </c>
      <c r="C112" t="s">
        <v>1519</v>
      </c>
      <c r="D112" t="s">
        <v>1553</v>
      </c>
      <c r="E112" t="s">
        <v>845</v>
      </c>
      <c r="F112" t="s">
        <v>722</v>
      </c>
      <c r="G112" t="s">
        <v>159</v>
      </c>
      <c r="H112" t="s">
        <v>9</v>
      </c>
      <c r="I112" t="s">
        <v>1520</v>
      </c>
      <c r="J112">
        <v>47</v>
      </c>
      <c r="K112" t="s">
        <v>1521</v>
      </c>
      <c r="L112" t="s">
        <v>1521</v>
      </c>
      <c r="M112">
        <v>0</v>
      </c>
      <c r="N112">
        <v>0</v>
      </c>
      <c r="O112">
        <v>1</v>
      </c>
      <c r="P112">
        <v>52</v>
      </c>
      <c r="Q112" t="s">
        <v>1528</v>
      </c>
      <c r="R112" t="s">
        <v>1514</v>
      </c>
    </row>
    <row r="113" spans="1:18" x14ac:dyDescent="0.45">
      <c r="A113">
        <v>112</v>
      </c>
      <c r="B113">
        <v>0</v>
      </c>
      <c r="C113" t="s">
        <v>1519</v>
      </c>
      <c r="D113" t="s">
        <v>1552</v>
      </c>
      <c r="E113" t="s">
        <v>846</v>
      </c>
      <c r="F113" t="s">
        <v>724</v>
      </c>
      <c r="G113" t="s">
        <v>160</v>
      </c>
      <c r="H113" t="s">
        <v>10</v>
      </c>
      <c r="I113" t="s">
        <v>1523</v>
      </c>
      <c r="J113">
        <v>14.5</v>
      </c>
      <c r="K113" t="s">
        <v>1525</v>
      </c>
      <c r="L113" t="s">
        <v>1525</v>
      </c>
      <c r="M113">
        <v>1</v>
      </c>
      <c r="N113">
        <v>0</v>
      </c>
      <c r="O113">
        <v>2</v>
      </c>
      <c r="P113">
        <v>14.4542</v>
      </c>
      <c r="Q113" t="s">
        <v>1528</v>
      </c>
      <c r="R113" t="s">
        <v>1515</v>
      </c>
    </row>
    <row r="114" spans="1:18" x14ac:dyDescent="0.45">
      <c r="A114">
        <v>113</v>
      </c>
      <c r="B114">
        <v>0</v>
      </c>
      <c r="C114" t="s">
        <v>1519</v>
      </c>
      <c r="D114" t="s">
        <v>1552</v>
      </c>
      <c r="E114" t="s">
        <v>847</v>
      </c>
      <c r="F114" t="s">
        <v>722</v>
      </c>
      <c r="G114" t="s">
        <v>161</v>
      </c>
      <c r="H114" t="s">
        <v>9</v>
      </c>
      <c r="I114" t="s">
        <v>1520</v>
      </c>
      <c r="J114">
        <v>22</v>
      </c>
      <c r="K114" t="s">
        <v>1521</v>
      </c>
      <c r="L114" t="s">
        <v>1521</v>
      </c>
      <c r="M114">
        <v>0</v>
      </c>
      <c r="N114">
        <v>0</v>
      </c>
      <c r="O114">
        <v>1</v>
      </c>
      <c r="P114" t="s">
        <v>12</v>
      </c>
      <c r="Q114" t="s">
        <v>1528</v>
      </c>
      <c r="R114" t="s">
        <v>1514</v>
      </c>
    </row>
    <row r="115" spans="1:18" x14ac:dyDescent="0.45">
      <c r="A115">
        <v>114</v>
      </c>
      <c r="B115">
        <v>0</v>
      </c>
      <c r="C115" t="s">
        <v>1519</v>
      </c>
      <c r="D115" t="s">
        <v>1552</v>
      </c>
      <c r="E115" t="s">
        <v>848</v>
      </c>
      <c r="F115" t="s">
        <v>724</v>
      </c>
      <c r="G115" t="s">
        <v>162</v>
      </c>
      <c r="H115" t="s">
        <v>10</v>
      </c>
      <c r="I115" t="s">
        <v>1523</v>
      </c>
      <c r="J115">
        <v>20</v>
      </c>
      <c r="K115" t="s">
        <v>1521</v>
      </c>
      <c r="L115" t="s">
        <v>1521</v>
      </c>
      <c r="M115">
        <v>1</v>
      </c>
      <c r="N115">
        <v>0</v>
      </c>
      <c r="O115">
        <v>2</v>
      </c>
      <c r="P115">
        <v>9.8249999999999993</v>
      </c>
      <c r="Q115" t="s">
        <v>1528</v>
      </c>
      <c r="R115" t="s">
        <v>1514</v>
      </c>
    </row>
    <row r="116" spans="1:18" x14ac:dyDescent="0.45">
      <c r="A116">
        <v>115</v>
      </c>
      <c r="B116">
        <v>0</v>
      </c>
      <c r="C116" t="s">
        <v>1519</v>
      </c>
      <c r="D116" t="s">
        <v>1552</v>
      </c>
      <c r="E116" t="s">
        <v>849</v>
      </c>
      <c r="F116" t="s">
        <v>724</v>
      </c>
      <c r="G116" t="s">
        <v>163</v>
      </c>
      <c r="H116" t="s">
        <v>10</v>
      </c>
      <c r="I116" t="s">
        <v>1523</v>
      </c>
      <c r="J116">
        <v>17</v>
      </c>
      <c r="K116" t="s">
        <v>1525</v>
      </c>
      <c r="L116" t="s">
        <v>1525</v>
      </c>
      <c r="M116">
        <v>0</v>
      </c>
      <c r="N116">
        <v>0</v>
      </c>
      <c r="O116">
        <v>1</v>
      </c>
      <c r="P116">
        <v>14.458299999999999</v>
      </c>
      <c r="Q116" t="s">
        <v>1528</v>
      </c>
      <c r="R116" t="s">
        <v>1515</v>
      </c>
    </row>
    <row r="117" spans="1:18" x14ac:dyDescent="0.45">
      <c r="A117">
        <v>116</v>
      </c>
      <c r="B117">
        <v>0</v>
      </c>
      <c r="C117" t="s">
        <v>1519</v>
      </c>
      <c r="D117" t="s">
        <v>1552</v>
      </c>
      <c r="E117" t="s">
        <v>850</v>
      </c>
      <c r="F117" t="s">
        <v>722</v>
      </c>
      <c r="G117" t="s">
        <v>164</v>
      </c>
      <c r="H117" t="s">
        <v>9</v>
      </c>
      <c r="I117" t="s">
        <v>1520</v>
      </c>
      <c r="J117">
        <v>21</v>
      </c>
      <c r="K117" t="s">
        <v>1521</v>
      </c>
      <c r="L117" t="s">
        <v>1521</v>
      </c>
      <c r="M117">
        <v>0</v>
      </c>
      <c r="N117">
        <v>0</v>
      </c>
      <c r="O117">
        <v>1</v>
      </c>
      <c r="P117">
        <v>7.9249999999999998</v>
      </c>
      <c r="Q117" t="s">
        <v>1528</v>
      </c>
      <c r="R117" t="s">
        <v>1514</v>
      </c>
    </row>
    <row r="118" spans="1:18" x14ac:dyDescent="0.45">
      <c r="A118">
        <v>117</v>
      </c>
      <c r="B118">
        <v>0</v>
      </c>
      <c r="C118" t="s">
        <v>1519</v>
      </c>
      <c r="D118" t="s">
        <v>1552</v>
      </c>
      <c r="E118" t="s">
        <v>851</v>
      </c>
      <c r="F118" t="s">
        <v>722</v>
      </c>
      <c r="G118" t="s">
        <v>165</v>
      </c>
      <c r="H118" t="s">
        <v>9</v>
      </c>
      <c r="I118" t="s">
        <v>1520</v>
      </c>
      <c r="J118">
        <v>70.5</v>
      </c>
      <c r="K118" t="s">
        <v>1527</v>
      </c>
      <c r="L118" t="s">
        <v>1527</v>
      </c>
      <c r="M118">
        <v>0</v>
      </c>
      <c r="N118">
        <v>0</v>
      </c>
      <c r="O118">
        <v>1</v>
      </c>
      <c r="P118">
        <v>7.75</v>
      </c>
      <c r="Q118" t="s">
        <v>1528</v>
      </c>
      <c r="R118" t="s">
        <v>1516</v>
      </c>
    </row>
    <row r="119" spans="1:18" x14ac:dyDescent="0.45">
      <c r="A119">
        <v>118</v>
      </c>
      <c r="B119">
        <v>0</v>
      </c>
      <c r="C119" t="s">
        <v>1519</v>
      </c>
      <c r="D119" t="s">
        <v>1554</v>
      </c>
      <c r="E119" t="s">
        <v>852</v>
      </c>
      <c r="F119" t="s">
        <v>722</v>
      </c>
      <c r="G119" t="s">
        <v>94</v>
      </c>
      <c r="H119" t="s">
        <v>9</v>
      </c>
      <c r="I119" t="s">
        <v>1520</v>
      </c>
      <c r="J119">
        <v>29</v>
      </c>
      <c r="K119" t="s">
        <v>1521</v>
      </c>
      <c r="L119" t="s">
        <v>1521</v>
      </c>
      <c r="M119">
        <v>1</v>
      </c>
      <c r="N119">
        <v>0</v>
      </c>
      <c r="O119">
        <v>2</v>
      </c>
      <c r="P119">
        <v>21</v>
      </c>
      <c r="Q119" t="s">
        <v>1528</v>
      </c>
      <c r="R119" t="s">
        <v>1514</v>
      </c>
    </row>
    <row r="120" spans="1:18" x14ac:dyDescent="0.45">
      <c r="A120">
        <v>119</v>
      </c>
      <c r="B120">
        <v>0</v>
      </c>
      <c r="C120" t="s">
        <v>1519</v>
      </c>
      <c r="D120" t="s">
        <v>1553</v>
      </c>
      <c r="E120" t="s">
        <v>853</v>
      </c>
      <c r="F120" t="s">
        <v>722</v>
      </c>
      <c r="G120" t="s">
        <v>166</v>
      </c>
      <c r="H120" t="s">
        <v>9</v>
      </c>
      <c r="I120" t="s">
        <v>1520</v>
      </c>
      <c r="J120">
        <v>24</v>
      </c>
      <c r="K120" t="s">
        <v>1521</v>
      </c>
      <c r="L120" t="s">
        <v>1521</v>
      </c>
      <c r="M120">
        <v>0</v>
      </c>
      <c r="N120">
        <v>1</v>
      </c>
      <c r="O120">
        <v>2</v>
      </c>
      <c r="P120" t="s">
        <v>21</v>
      </c>
      <c r="Q120" t="s">
        <v>1528</v>
      </c>
      <c r="R120" t="s">
        <v>1515</v>
      </c>
    </row>
    <row r="121" spans="1:18" x14ac:dyDescent="0.45">
      <c r="A121">
        <v>120</v>
      </c>
      <c r="B121">
        <v>0</v>
      </c>
      <c r="C121" t="s">
        <v>1519</v>
      </c>
      <c r="D121" t="s">
        <v>1552</v>
      </c>
      <c r="E121" t="s">
        <v>854</v>
      </c>
      <c r="F121" t="s">
        <v>724</v>
      </c>
      <c r="G121" t="s">
        <v>68</v>
      </c>
      <c r="H121" t="s">
        <v>10</v>
      </c>
      <c r="I121" t="s">
        <v>1523</v>
      </c>
      <c r="J121">
        <v>2</v>
      </c>
      <c r="K121" t="s">
        <v>1524</v>
      </c>
      <c r="L121" t="s">
        <v>1524</v>
      </c>
      <c r="M121">
        <v>4</v>
      </c>
      <c r="N121">
        <v>2</v>
      </c>
      <c r="O121">
        <v>7</v>
      </c>
      <c r="P121">
        <v>31.274999999999999</v>
      </c>
      <c r="Q121" t="s">
        <v>1528</v>
      </c>
      <c r="R121" t="s">
        <v>1514</v>
      </c>
    </row>
    <row r="122" spans="1:18" x14ac:dyDescent="0.45">
      <c r="A122">
        <v>121</v>
      </c>
      <c r="B122">
        <v>0</v>
      </c>
      <c r="C122" t="s">
        <v>1519</v>
      </c>
      <c r="D122" t="s">
        <v>1554</v>
      </c>
      <c r="E122" t="s">
        <v>855</v>
      </c>
      <c r="F122" t="s">
        <v>722</v>
      </c>
      <c r="G122" t="s">
        <v>167</v>
      </c>
      <c r="H122" t="s">
        <v>9</v>
      </c>
      <c r="I122" t="s">
        <v>1520</v>
      </c>
      <c r="J122">
        <v>21</v>
      </c>
      <c r="K122" t="s">
        <v>1521</v>
      </c>
      <c r="L122" t="s">
        <v>1521</v>
      </c>
      <c r="M122">
        <v>2</v>
      </c>
      <c r="N122">
        <v>0</v>
      </c>
      <c r="O122">
        <v>3</v>
      </c>
      <c r="P122">
        <v>73.5</v>
      </c>
      <c r="Q122" t="s">
        <v>1528</v>
      </c>
      <c r="R122" t="s">
        <v>1514</v>
      </c>
    </row>
    <row r="123" spans="1:18" x14ac:dyDescent="0.45">
      <c r="A123">
        <v>122</v>
      </c>
      <c r="B123">
        <v>0</v>
      </c>
      <c r="C123" t="s">
        <v>1519</v>
      </c>
      <c r="D123" t="s">
        <v>1552</v>
      </c>
      <c r="E123" t="s">
        <v>856</v>
      </c>
      <c r="F123" t="s">
        <v>722</v>
      </c>
      <c r="G123" t="s">
        <v>168</v>
      </c>
      <c r="H123" t="s">
        <v>9</v>
      </c>
      <c r="I123" t="s">
        <v>1520</v>
      </c>
      <c r="J123">
        <v>28</v>
      </c>
      <c r="K123" t="s">
        <v>1521</v>
      </c>
      <c r="L123" t="s">
        <v>1521</v>
      </c>
      <c r="M123">
        <v>0</v>
      </c>
      <c r="N123">
        <v>0</v>
      </c>
      <c r="O123">
        <v>1</v>
      </c>
      <c r="P123" t="s">
        <v>12</v>
      </c>
      <c r="Q123" t="s">
        <v>1528</v>
      </c>
      <c r="R123" t="s">
        <v>1514</v>
      </c>
    </row>
    <row r="124" spans="1:18" x14ac:dyDescent="0.45">
      <c r="A124">
        <v>123</v>
      </c>
      <c r="B124">
        <v>0</v>
      </c>
      <c r="C124" t="s">
        <v>1519</v>
      </c>
      <c r="D124" t="s">
        <v>1554</v>
      </c>
      <c r="E124" t="s">
        <v>857</v>
      </c>
      <c r="F124" t="s">
        <v>722</v>
      </c>
      <c r="G124" t="s">
        <v>64</v>
      </c>
      <c r="H124" t="s">
        <v>9</v>
      </c>
      <c r="I124" t="s">
        <v>1520</v>
      </c>
      <c r="J124">
        <v>32.5</v>
      </c>
      <c r="K124" t="s">
        <v>1521</v>
      </c>
      <c r="L124" t="s">
        <v>1521</v>
      </c>
      <c r="M124">
        <v>1</v>
      </c>
      <c r="N124">
        <v>0</v>
      </c>
      <c r="O124">
        <v>2</v>
      </c>
      <c r="P124" t="s">
        <v>14</v>
      </c>
      <c r="Q124" t="s">
        <v>1528</v>
      </c>
      <c r="R124" t="s">
        <v>1515</v>
      </c>
    </row>
    <row r="125" spans="1:18" x14ac:dyDescent="0.45">
      <c r="A125">
        <v>124</v>
      </c>
      <c r="B125">
        <v>1</v>
      </c>
      <c r="C125" t="s">
        <v>1</v>
      </c>
      <c r="D125" t="s">
        <v>1554</v>
      </c>
      <c r="E125" t="s">
        <v>858</v>
      </c>
      <c r="F125" t="s">
        <v>724</v>
      </c>
      <c r="G125" t="s">
        <v>169</v>
      </c>
      <c r="H125" t="s">
        <v>10</v>
      </c>
      <c r="I125" t="s">
        <v>1523</v>
      </c>
      <c r="J125">
        <v>32.5</v>
      </c>
      <c r="K125" t="s">
        <v>1521</v>
      </c>
      <c r="L125" t="s">
        <v>1521</v>
      </c>
      <c r="M125">
        <v>0</v>
      </c>
      <c r="N125">
        <v>0</v>
      </c>
      <c r="O125">
        <v>1</v>
      </c>
      <c r="P125">
        <v>13</v>
      </c>
      <c r="Q125" t="s">
        <v>1528</v>
      </c>
      <c r="R125" t="s">
        <v>1514</v>
      </c>
    </row>
    <row r="126" spans="1:18" x14ac:dyDescent="0.45">
      <c r="A126">
        <v>125</v>
      </c>
      <c r="B126">
        <v>0</v>
      </c>
      <c r="C126" t="s">
        <v>1519</v>
      </c>
      <c r="D126" t="s">
        <v>1553</v>
      </c>
      <c r="E126" t="s">
        <v>859</v>
      </c>
      <c r="F126" t="s">
        <v>722</v>
      </c>
      <c r="G126" t="s">
        <v>152</v>
      </c>
      <c r="H126" t="s">
        <v>9</v>
      </c>
      <c r="I126" t="s">
        <v>1520</v>
      </c>
      <c r="J126">
        <v>54</v>
      </c>
      <c r="K126" t="s">
        <v>1521</v>
      </c>
      <c r="L126" t="s">
        <v>1521</v>
      </c>
      <c r="M126">
        <v>0</v>
      </c>
      <c r="N126">
        <v>1</v>
      </c>
      <c r="O126">
        <v>2</v>
      </c>
      <c r="P126">
        <v>77.287499999999994</v>
      </c>
      <c r="Q126" t="s">
        <v>1528</v>
      </c>
      <c r="R126" t="s">
        <v>1514</v>
      </c>
    </row>
    <row r="127" spans="1:18" x14ac:dyDescent="0.45">
      <c r="A127">
        <v>126</v>
      </c>
      <c r="B127">
        <v>1</v>
      </c>
      <c r="C127" t="s">
        <v>1</v>
      </c>
      <c r="D127" t="s">
        <v>1552</v>
      </c>
      <c r="E127" t="s">
        <v>860</v>
      </c>
      <c r="F127" t="s">
        <v>725</v>
      </c>
      <c r="G127" t="s">
        <v>92</v>
      </c>
      <c r="H127" t="s">
        <v>9</v>
      </c>
      <c r="I127" t="s">
        <v>1520</v>
      </c>
      <c r="J127">
        <v>12</v>
      </c>
      <c r="K127" t="s">
        <v>1524</v>
      </c>
      <c r="L127" t="s">
        <v>1524</v>
      </c>
      <c r="M127">
        <v>1</v>
      </c>
      <c r="N127">
        <v>0</v>
      </c>
      <c r="O127">
        <v>2</v>
      </c>
      <c r="P127">
        <v>11.2417</v>
      </c>
      <c r="Q127" t="s">
        <v>1528</v>
      </c>
      <c r="R127" t="s">
        <v>1515</v>
      </c>
    </row>
    <row r="128" spans="1:18" x14ac:dyDescent="0.45">
      <c r="A128">
        <v>127</v>
      </c>
      <c r="B128">
        <v>0</v>
      </c>
      <c r="C128" t="s">
        <v>1519</v>
      </c>
      <c r="D128" t="s">
        <v>1552</v>
      </c>
      <c r="E128" t="s">
        <v>861</v>
      </c>
      <c r="F128" t="s">
        <v>722</v>
      </c>
      <c r="G128" t="s">
        <v>170</v>
      </c>
      <c r="H128" t="s">
        <v>9</v>
      </c>
      <c r="I128" t="s">
        <v>1520</v>
      </c>
      <c r="J128">
        <v>28</v>
      </c>
      <c r="K128" t="s">
        <v>1521</v>
      </c>
      <c r="L128" t="s">
        <v>1521</v>
      </c>
      <c r="M128">
        <v>0</v>
      </c>
      <c r="N128">
        <v>0</v>
      </c>
      <c r="O128">
        <v>1</v>
      </c>
      <c r="P128">
        <v>7.75</v>
      </c>
      <c r="Q128" t="s">
        <v>1528</v>
      </c>
      <c r="R128" t="s">
        <v>1516</v>
      </c>
    </row>
    <row r="129" spans="1:18" x14ac:dyDescent="0.45">
      <c r="A129">
        <v>128</v>
      </c>
      <c r="B129">
        <v>1</v>
      </c>
      <c r="C129" t="s">
        <v>1</v>
      </c>
      <c r="D129" t="s">
        <v>1552</v>
      </c>
      <c r="E129" t="s">
        <v>862</v>
      </c>
      <c r="F129" t="s">
        <v>722</v>
      </c>
      <c r="G129" t="s">
        <v>171</v>
      </c>
      <c r="H129" t="s">
        <v>9</v>
      </c>
      <c r="I129" t="s">
        <v>1520</v>
      </c>
      <c r="J129">
        <v>24</v>
      </c>
      <c r="K129" t="s">
        <v>1521</v>
      </c>
      <c r="L129" t="s">
        <v>1521</v>
      </c>
      <c r="M129">
        <v>0</v>
      </c>
      <c r="N129">
        <v>0</v>
      </c>
      <c r="O129">
        <v>1</v>
      </c>
      <c r="P129">
        <v>7.1417000000000002</v>
      </c>
      <c r="Q129" t="s">
        <v>1528</v>
      </c>
      <c r="R129" t="s">
        <v>1514</v>
      </c>
    </row>
    <row r="130" spans="1:18" x14ac:dyDescent="0.45">
      <c r="A130">
        <v>129</v>
      </c>
      <c r="B130">
        <v>1</v>
      </c>
      <c r="C130" t="s">
        <v>1</v>
      </c>
      <c r="D130" t="s">
        <v>1552</v>
      </c>
      <c r="E130" t="s">
        <v>863</v>
      </c>
      <c r="F130" t="s">
        <v>724</v>
      </c>
      <c r="G130" t="s">
        <v>172</v>
      </c>
      <c r="H130" t="s">
        <v>10</v>
      </c>
      <c r="I130" t="s">
        <v>1523</v>
      </c>
      <c r="J130">
        <v>28</v>
      </c>
      <c r="K130" t="s">
        <v>1521</v>
      </c>
      <c r="L130" t="s">
        <v>1521</v>
      </c>
      <c r="M130">
        <v>1</v>
      </c>
      <c r="N130">
        <v>1</v>
      </c>
      <c r="O130">
        <v>3</v>
      </c>
      <c r="P130">
        <v>22.3583</v>
      </c>
      <c r="Q130" t="s">
        <v>1528</v>
      </c>
      <c r="R130" t="s">
        <v>1515</v>
      </c>
    </row>
    <row r="131" spans="1:18" x14ac:dyDescent="0.45">
      <c r="A131">
        <v>130</v>
      </c>
      <c r="B131">
        <v>0</v>
      </c>
      <c r="C131" t="s">
        <v>1519</v>
      </c>
      <c r="D131" t="s">
        <v>1552</v>
      </c>
      <c r="E131" t="s">
        <v>864</v>
      </c>
      <c r="F131" t="s">
        <v>722</v>
      </c>
      <c r="G131" t="s">
        <v>173</v>
      </c>
      <c r="H131" t="s">
        <v>9</v>
      </c>
      <c r="I131" t="s">
        <v>1520</v>
      </c>
      <c r="J131">
        <v>45</v>
      </c>
      <c r="K131" t="s">
        <v>1521</v>
      </c>
      <c r="L131" t="s">
        <v>1521</v>
      </c>
      <c r="M131">
        <v>0</v>
      </c>
      <c r="N131">
        <v>0</v>
      </c>
      <c r="O131">
        <v>1</v>
      </c>
      <c r="P131">
        <v>6.9749999999999996</v>
      </c>
      <c r="Q131" t="s">
        <v>1528</v>
      </c>
      <c r="R131" t="s">
        <v>1514</v>
      </c>
    </row>
    <row r="132" spans="1:18" x14ac:dyDescent="0.45">
      <c r="A132">
        <v>131</v>
      </c>
      <c r="B132">
        <v>0</v>
      </c>
      <c r="C132" t="s">
        <v>1519</v>
      </c>
      <c r="D132" t="s">
        <v>1552</v>
      </c>
      <c r="E132" t="s">
        <v>865</v>
      </c>
      <c r="F132" t="s">
        <v>722</v>
      </c>
      <c r="G132" t="s">
        <v>174</v>
      </c>
      <c r="H132" t="s">
        <v>9</v>
      </c>
      <c r="I132" t="s">
        <v>1520</v>
      </c>
      <c r="J132">
        <v>33</v>
      </c>
      <c r="K132" t="s">
        <v>1521</v>
      </c>
      <c r="L132" t="s">
        <v>1521</v>
      </c>
      <c r="M132">
        <v>0</v>
      </c>
      <c r="N132">
        <v>0</v>
      </c>
      <c r="O132">
        <v>1</v>
      </c>
      <c r="P132">
        <v>7.8958000000000004</v>
      </c>
      <c r="Q132" t="s">
        <v>1528</v>
      </c>
      <c r="R132" t="s">
        <v>1515</v>
      </c>
    </row>
    <row r="133" spans="1:18" x14ac:dyDescent="0.45">
      <c r="A133">
        <v>132</v>
      </c>
      <c r="B133">
        <v>0</v>
      </c>
      <c r="C133" t="s">
        <v>1519</v>
      </c>
      <c r="D133" t="s">
        <v>1552</v>
      </c>
      <c r="E133" t="s">
        <v>866</v>
      </c>
      <c r="F133" t="s">
        <v>722</v>
      </c>
      <c r="G133" t="s">
        <v>175</v>
      </c>
      <c r="H133" t="s">
        <v>9</v>
      </c>
      <c r="I133" t="s">
        <v>1520</v>
      </c>
      <c r="J133">
        <v>20</v>
      </c>
      <c r="K133" t="s">
        <v>1521</v>
      </c>
      <c r="L133" t="s">
        <v>1521</v>
      </c>
      <c r="M133">
        <v>0</v>
      </c>
      <c r="N133">
        <v>0</v>
      </c>
      <c r="O133">
        <v>1</v>
      </c>
      <c r="P133" t="s">
        <v>22</v>
      </c>
      <c r="Q133" t="s">
        <v>1528</v>
      </c>
      <c r="R133" t="s">
        <v>1514</v>
      </c>
    </row>
    <row r="134" spans="1:18" x14ac:dyDescent="0.45">
      <c r="A134">
        <v>133</v>
      </c>
      <c r="B134">
        <v>0</v>
      </c>
      <c r="C134" t="s">
        <v>1519</v>
      </c>
      <c r="D134" t="s">
        <v>1552</v>
      </c>
      <c r="E134" t="s">
        <v>867</v>
      </c>
      <c r="F134" t="s">
        <v>723</v>
      </c>
      <c r="G134" t="s">
        <v>176</v>
      </c>
      <c r="H134" t="s">
        <v>10</v>
      </c>
      <c r="I134" t="s">
        <v>1523</v>
      </c>
      <c r="J134">
        <v>47</v>
      </c>
      <c r="K134" t="s">
        <v>1521</v>
      </c>
      <c r="L134" t="s">
        <v>1521</v>
      </c>
      <c r="M134">
        <v>1</v>
      </c>
      <c r="N134">
        <v>0</v>
      </c>
      <c r="O134">
        <v>2</v>
      </c>
      <c r="P134">
        <v>14.5</v>
      </c>
      <c r="Q134" t="s">
        <v>1528</v>
      </c>
      <c r="R134" t="s">
        <v>1514</v>
      </c>
    </row>
    <row r="135" spans="1:18" x14ac:dyDescent="0.45">
      <c r="A135">
        <v>134</v>
      </c>
      <c r="B135">
        <v>1</v>
      </c>
      <c r="C135" t="s">
        <v>1</v>
      </c>
      <c r="D135" t="s">
        <v>1554</v>
      </c>
      <c r="E135" t="s">
        <v>868</v>
      </c>
      <c r="F135" t="s">
        <v>723</v>
      </c>
      <c r="G135" t="s">
        <v>177</v>
      </c>
      <c r="H135" t="s">
        <v>10</v>
      </c>
      <c r="I135" t="s">
        <v>1523</v>
      </c>
      <c r="J135">
        <v>29</v>
      </c>
      <c r="K135" t="s">
        <v>1521</v>
      </c>
      <c r="L135" t="s">
        <v>1521</v>
      </c>
      <c r="M135">
        <v>1</v>
      </c>
      <c r="N135">
        <v>0</v>
      </c>
      <c r="O135">
        <v>2</v>
      </c>
      <c r="P135">
        <v>26</v>
      </c>
      <c r="Q135" t="s">
        <v>1528</v>
      </c>
      <c r="R135" t="s">
        <v>1514</v>
      </c>
    </row>
    <row r="136" spans="1:18" x14ac:dyDescent="0.45">
      <c r="A136">
        <v>135</v>
      </c>
      <c r="B136">
        <v>0</v>
      </c>
      <c r="C136" t="s">
        <v>1519</v>
      </c>
      <c r="D136" t="s">
        <v>1554</v>
      </c>
      <c r="E136" t="s">
        <v>869</v>
      </c>
      <c r="F136" t="s">
        <v>722</v>
      </c>
      <c r="G136" t="s">
        <v>178</v>
      </c>
      <c r="H136" t="s">
        <v>9</v>
      </c>
      <c r="I136" t="s">
        <v>1520</v>
      </c>
      <c r="J136">
        <v>25</v>
      </c>
      <c r="K136" t="s">
        <v>1521</v>
      </c>
      <c r="L136" t="s">
        <v>1521</v>
      </c>
      <c r="M136">
        <v>0</v>
      </c>
      <c r="N136">
        <v>0</v>
      </c>
      <c r="O136">
        <v>1</v>
      </c>
      <c r="P136">
        <v>13</v>
      </c>
      <c r="Q136" t="s">
        <v>1528</v>
      </c>
      <c r="R136" t="s">
        <v>1514</v>
      </c>
    </row>
    <row r="137" spans="1:18" x14ac:dyDescent="0.45">
      <c r="A137">
        <v>136</v>
      </c>
      <c r="B137">
        <v>0</v>
      </c>
      <c r="C137" t="s">
        <v>1519</v>
      </c>
      <c r="D137" t="s">
        <v>1554</v>
      </c>
      <c r="E137" t="s">
        <v>870</v>
      </c>
      <c r="F137" t="s">
        <v>722</v>
      </c>
      <c r="G137" t="s">
        <v>179</v>
      </c>
      <c r="H137" t="s">
        <v>9</v>
      </c>
      <c r="I137" t="s">
        <v>1520</v>
      </c>
      <c r="J137">
        <v>23</v>
      </c>
      <c r="K137" t="s">
        <v>1521</v>
      </c>
      <c r="L137" t="s">
        <v>1521</v>
      </c>
      <c r="M137">
        <v>0</v>
      </c>
      <c r="N137">
        <v>0</v>
      </c>
      <c r="O137">
        <v>1</v>
      </c>
      <c r="P137" t="s">
        <v>23</v>
      </c>
      <c r="Q137" t="s">
        <v>1528</v>
      </c>
      <c r="R137" t="s">
        <v>1515</v>
      </c>
    </row>
    <row r="138" spans="1:18" x14ac:dyDescent="0.45">
      <c r="A138">
        <v>137</v>
      </c>
      <c r="B138">
        <v>1</v>
      </c>
      <c r="C138" t="s">
        <v>1</v>
      </c>
      <c r="D138" t="s">
        <v>1553</v>
      </c>
      <c r="E138" t="s">
        <v>871</v>
      </c>
      <c r="F138" t="s">
        <v>724</v>
      </c>
      <c r="G138" t="s">
        <v>180</v>
      </c>
      <c r="H138" t="s">
        <v>10</v>
      </c>
      <c r="I138" t="s">
        <v>1523</v>
      </c>
      <c r="J138">
        <v>19</v>
      </c>
      <c r="K138" t="s">
        <v>1521</v>
      </c>
      <c r="L138" t="s">
        <v>1521</v>
      </c>
      <c r="M138">
        <v>0</v>
      </c>
      <c r="N138">
        <v>2</v>
      </c>
      <c r="O138">
        <v>3</v>
      </c>
      <c r="P138">
        <v>26.283300000000001</v>
      </c>
      <c r="Q138" t="s">
        <v>1528</v>
      </c>
      <c r="R138" t="s">
        <v>1514</v>
      </c>
    </row>
    <row r="139" spans="1:18" x14ac:dyDescent="0.45">
      <c r="A139">
        <v>138</v>
      </c>
      <c r="B139">
        <v>0</v>
      </c>
      <c r="C139" t="s">
        <v>1519</v>
      </c>
      <c r="D139" t="s">
        <v>1553</v>
      </c>
      <c r="E139" t="s">
        <v>872</v>
      </c>
      <c r="F139" t="s">
        <v>722</v>
      </c>
      <c r="G139" t="s">
        <v>58</v>
      </c>
      <c r="H139" t="s">
        <v>9</v>
      </c>
      <c r="I139" t="s">
        <v>1520</v>
      </c>
      <c r="J139">
        <v>37</v>
      </c>
      <c r="K139" t="s">
        <v>1521</v>
      </c>
      <c r="L139" t="s">
        <v>1521</v>
      </c>
      <c r="M139">
        <v>1</v>
      </c>
      <c r="N139">
        <v>0</v>
      </c>
      <c r="O139">
        <v>2</v>
      </c>
      <c r="P139">
        <v>53.1</v>
      </c>
      <c r="Q139" t="s">
        <v>1528</v>
      </c>
      <c r="R139" t="s">
        <v>1514</v>
      </c>
    </row>
    <row r="140" spans="1:18" x14ac:dyDescent="0.45">
      <c r="A140">
        <v>139</v>
      </c>
      <c r="B140">
        <v>0</v>
      </c>
      <c r="C140" t="s">
        <v>1519</v>
      </c>
      <c r="D140" t="s">
        <v>1552</v>
      </c>
      <c r="E140" t="s">
        <v>873</v>
      </c>
      <c r="F140" t="s">
        <v>722</v>
      </c>
      <c r="G140" t="s">
        <v>181</v>
      </c>
      <c r="H140" t="s">
        <v>9</v>
      </c>
      <c r="I140" t="s">
        <v>1520</v>
      </c>
      <c r="J140">
        <v>16</v>
      </c>
      <c r="K140" t="s">
        <v>1525</v>
      </c>
      <c r="L140" t="s">
        <v>1525</v>
      </c>
      <c r="M140">
        <v>0</v>
      </c>
      <c r="N140">
        <v>0</v>
      </c>
      <c r="O140">
        <v>1</v>
      </c>
      <c r="P140">
        <v>9.2166999999999994</v>
      </c>
      <c r="Q140" t="s">
        <v>1528</v>
      </c>
      <c r="R140" t="s">
        <v>1514</v>
      </c>
    </row>
    <row r="141" spans="1:18" x14ac:dyDescent="0.45">
      <c r="A141">
        <v>140</v>
      </c>
      <c r="B141">
        <v>0</v>
      </c>
      <c r="C141" t="s">
        <v>1519</v>
      </c>
      <c r="D141" t="s">
        <v>1553</v>
      </c>
      <c r="E141" t="s">
        <v>874</v>
      </c>
      <c r="F141" t="s">
        <v>722</v>
      </c>
      <c r="G141" t="s">
        <v>182</v>
      </c>
      <c r="H141" t="s">
        <v>9</v>
      </c>
      <c r="I141" t="s">
        <v>1520</v>
      </c>
      <c r="J141">
        <v>24</v>
      </c>
      <c r="K141" t="s">
        <v>1521</v>
      </c>
      <c r="L141" t="s">
        <v>1521</v>
      </c>
      <c r="M141">
        <v>0</v>
      </c>
      <c r="N141">
        <v>0</v>
      </c>
      <c r="O141">
        <v>1</v>
      </c>
      <c r="P141">
        <v>79.2</v>
      </c>
      <c r="Q141" t="s">
        <v>1528</v>
      </c>
      <c r="R141" t="s">
        <v>1515</v>
      </c>
    </row>
    <row r="142" spans="1:18" x14ac:dyDescent="0.45">
      <c r="A142">
        <v>141</v>
      </c>
      <c r="B142">
        <v>0</v>
      </c>
      <c r="C142" t="s">
        <v>1519</v>
      </c>
      <c r="D142" t="s">
        <v>1552</v>
      </c>
      <c r="E142" t="s">
        <v>875</v>
      </c>
      <c r="F142" t="s">
        <v>723</v>
      </c>
      <c r="G142" t="s">
        <v>183</v>
      </c>
      <c r="H142" t="s">
        <v>10</v>
      </c>
      <c r="I142" t="s">
        <v>1523</v>
      </c>
      <c r="J142">
        <v>28</v>
      </c>
      <c r="K142" t="s">
        <v>1521</v>
      </c>
      <c r="L142" t="s">
        <v>1521</v>
      </c>
      <c r="M142">
        <v>0</v>
      </c>
      <c r="N142">
        <v>2</v>
      </c>
      <c r="O142">
        <v>3</v>
      </c>
      <c r="P142">
        <v>15.245799999999999</v>
      </c>
      <c r="Q142" t="s">
        <v>1528</v>
      </c>
      <c r="R142" t="s">
        <v>1515</v>
      </c>
    </row>
    <row r="143" spans="1:18" x14ac:dyDescent="0.45">
      <c r="A143">
        <v>142</v>
      </c>
      <c r="B143">
        <v>1</v>
      </c>
      <c r="C143" t="s">
        <v>1</v>
      </c>
      <c r="D143" t="s">
        <v>1552</v>
      </c>
      <c r="E143" t="s">
        <v>876</v>
      </c>
      <c r="F143" t="s">
        <v>724</v>
      </c>
      <c r="G143" t="s">
        <v>184</v>
      </c>
      <c r="H143" t="s">
        <v>10</v>
      </c>
      <c r="I143" t="s">
        <v>1523</v>
      </c>
      <c r="J143">
        <v>22</v>
      </c>
      <c r="K143" t="s">
        <v>1521</v>
      </c>
      <c r="L143" t="s">
        <v>1521</v>
      </c>
      <c r="M143">
        <v>0</v>
      </c>
      <c r="N143">
        <v>0</v>
      </c>
      <c r="O143">
        <v>1</v>
      </c>
      <c r="P143">
        <v>7.75</v>
      </c>
      <c r="Q143" t="s">
        <v>1528</v>
      </c>
      <c r="R143" t="s">
        <v>1514</v>
      </c>
    </row>
    <row r="144" spans="1:18" x14ac:dyDescent="0.45">
      <c r="A144">
        <v>143</v>
      </c>
      <c r="B144">
        <v>1</v>
      </c>
      <c r="C144" t="s">
        <v>1</v>
      </c>
      <c r="D144" t="s">
        <v>1552</v>
      </c>
      <c r="E144" t="s">
        <v>877</v>
      </c>
      <c r="F144" t="s">
        <v>723</v>
      </c>
      <c r="G144" t="s">
        <v>185</v>
      </c>
      <c r="H144" t="s">
        <v>10</v>
      </c>
      <c r="I144" t="s">
        <v>1523</v>
      </c>
      <c r="J144">
        <v>24</v>
      </c>
      <c r="K144" t="s">
        <v>1521</v>
      </c>
      <c r="L144" t="s">
        <v>1521</v>
      </c>
      <c r="M144">
        <v>1</v>
      </c>
      <c r="N144">
        <v>0</v>
      </c>
      <c r="O144">
        <v>2</v>
      </c>
      <c r="P144">
        <v>15.85</v>
      </c>
      <c r="Q144" t="s">
        <v>1528</v>
      </c>
      <c r="R144" t="s">
        <v>1514</v>
      </c>
    </row>
    <row r="145" spans="1:18" x14ac:dyDescent="0.45">
      <c r="A145">
        <v>144</v>
      </c>
      <c r="B145">
        <v>0</v>
      </c>
      <c r="C145" t="s">
        <v>1519</v>
      </c>
      <c r="D145" t="s">
        <v>1552</v>
      </c>
      <c r="E145" t="s">
        <v>878</v>
      </c>
      <c r="F145" t="s">
        <v>722</v>
      </c>
      <c r="G145" t="s">
        <v>186</v>
      </c>
      <c r="H145" t="s">
        <v>9</v>
      </c>
      <c r="I145" t="s">
        <v>1520</v>
      </c>
      <c r="J145">
        <v>19</v>
      </c>
      <c r="K145" t="s">
        <v>1521</v>
      </c>
      <c r="L145" t="s">
        <v>1521</v>
      </c>
      <c r="M145">
        <v>0</v>
      </c>
      <c r="N145">
        <v>0</v>
      </c>
      <c r="O145">
        <v>1</v>
      </c>
      <c r="P145">
        <v>6.75</v>
      </c>
      <c r="Q145" t="s">
        <v>1528</v>
      </c>
      <c r="R145" t="s">
        <v>1516</v>
      </c>
    </row>
    <row r="146" spans="1:18" x14ac:dyDescent="0.45">
      <c r="A146">
        <v>145</v>
      </c>
      <c r="B146">
        <v>0</v>
      </c>
      <c r="C146" t="s">
        <v>1519</v>
      </c>
      <c r="D146" t="s">
        <v>1554</v>
      </c>
      <c r="E146" t="s">
        <v>879</v>
      </c>
      <c r="F146" t="s">
        <v>722</v>
      </c>
      <c r="G146" t="s">
        <v>187</v>
      </c>
      <c r="H146" t="s">
        <v>9</v>
      </c>
      <c r="I146" t="s">
        <v>1520</v>
      </c>
      <c r="J146">
        <v>18</v>
      </c>
      <c r="K146" t="s">
        <v>1521</v>
      </c>
      <c r="L146" t="s">
        <v>1521</v>
      </c>
      <c r="M146">
        <v>0</v>
      </c>
      <c r="N146">
        <v>0</v>
      </c>
      <c r="O146">
        <v>1</v>
      </c>
      <c r="P146">
        <v>11.5</v>
      </c>
      <c r="Q146" t="s">
        <v>1528</v>
      </c>
      <c r="R146" t="s">
        <v>1514</v>
      </c>
    </row>
    <row r="147" spans="1:18" x14ac:dyDescent="0.45">
      <c r="A147">
        <v>146</v>
      </c>
      <c r="B147">
        <v>0</v>
      </c>
      <c r="C147" t="s">
        <v>1519</v>
      </c>
      <c r="D147" t="s">
        <v>1554</v>
      </c>
      <c r="E147" t="s">
        <v>880</v>
      </c>
      <c r="F147" t="s">
        <v>722</v>
      </c>
      <c r="G147" t="s">
        <v>188</v>
      </c>
      <c r="H147" t="s">
        <v>9</v>
      </c>
      <c r="I147" t="s">
        <v>1520</v>
      </c>
      <c r="J147">
        <v>19</v>
      </c>
      <c r="K147" t="s">
        <v>1521</v>
      </c>
      <c r="L147" t="s">
        <v>1521</v>
      </c>
      <c r="M147">
        <v>1</v>
      </c>
      <c r="N147">
        <v>1</v>
      </c>
      <c r="O147">
        <v>3</v>
      </c>
      <c r="P147">
        <v>36.75</v>
      </c>
      <c r="Q147" t="s">
        <v>1528</v>
      </c>
      <c r="R147" t="s">
        <v>1514</v>
      </c>
    </row>
    <row r="148" spans="1:18" x14ac:dyDescent="0.45">
      <c r="A148">
        <v>147</v>
      </c>
      <c r="B148">
        <v>1</v>
      </c>
      <c r="C148" t="s">
        <v>1</v>
      </c>
      <c r="D148" t="s">
        <v>1552</v>
      </c>
      <c r="E148" t="s">
        <v>881</v>
      </c>
      <c r="F148" t="s">
        <v>722</v>
      </c>
      <c r="G148" t="s">
        <v>68</v>
      </c>
      <c r="H148" t="s">
        <v>9</v>
      </c>
      <c r="I148" t="s">
        <v>1520</v>
      </c>
      <c r="J148">
        <v>27</v>
      </c>
      <c r="K148" t="s">
        <v>1521</v>
      </c>
      <c r="L148" t="s">
        <v>1521</v>
      </c>
      <c r="M148">
        <v>0</v>
      </c>
      <c r="N148">
        <v>0</v>
      </c>
      <c r="O148">
        <v>1</v>
      </c>
      <c r="P148">
        <v>7.7957999999999998</v>
      </c>
      <c r="Q148" t="s">
        <v>1528</v>
      </c>
      <c r="R148" t="s">
        <v>1514</v>
      </c>
    </row>
    <row r="149" spans="1:18" x14ac:dyDescent="0.45">
      <c r="A149">
        <v>148</v>
      </c>
      <c r="B149">
        <v>0</v>
      </c>
      <c r="C149" t="s">
        <v>1519</v>
      </c>
      <c r="D149" t="s">
        <v>1552</v>
      </c>
      <c r="E149" t="s">
        <v>882</v>
      </c>
      <c r="F149" t="s">
        <v>724</v>
      </c>
      <c r="G149" t="s">
        <v>137</v>
      </c>
      <c r="H149" t="s">
        <v>10</v>
      </c>
      <c r="I149" t="s">
        <v>1523</v>
      </c>
      <c r="J149">
        <v>9</v>
      </c>
      <c r="K149" t="s">
        <v>1524</v>
      </c>
      <c r="L149" t="s">
        <v>1524</v>
      </c>
      <c r="M149">
        <v>2</v>
      </c>
      <c r="N149">
        <v>2</v>
      </c>
      <c r="O149">
        <v>5</v>
      </c>
      <c r="P149">
        <v>34.375</v>
      </c>
      <c r="Q149" t="s">
        <v>1528</v>
      </c>
      <c r="R149" t="s">
        <v>1514</v>
      </c>
    </row>
    <row r="150" spans="1:18" x14ac:dyDescent="0.45">
      <c r="A150">
        <v>149</v>
      </c>
      <c r="B150">
        <v>0</v>
      </c>
      <c r="C150" t="s">
        <v>1519</v>
      </c>
      <c r="D150" t="s">
        <v>1554</v>
      </c>
      <c r="E150" t="s">
        <v>883</v>
      </c>
      <c r="F150" t="s">
        <v>722</v>
      </c>
      <c r="G150" t="s">
        <v>189</v>
      </c>
      <c r="H150" t="s">
        <v>9</v>
      </c>
      <c r="I150" t="s">
        <v>1520</v>
      </c>
      <c r="J150">
        <v>36.5</v>
      </c>
      <c r="K150" t="s">
        <v>1521</v>
      </c>
      <c r="L150" t="s">
        <v>1521</v>
      </c>
      <c r="M150">
        <v>0</v>
      </c>
      <c r="N150">
        <v>2</v>
      </c>
      <c r="O150">
        <v>3</v>
      </c>
      <c r="P150">
        <v>26</v>
      </c>
      <c r="Q150" t="s">
        <v>1528</v>
      </c>
      <c r="R150" t="s">
        <v>1514</v>
      </c>
    </row>
    <row r="151" spans="1:18" x14ac:dyDescent="0.45">
      <c r="A151">
        <v>150</v>
      </c>
      <c r="B151">
        <v>0</v>
      </c>
      <c r="C151" t="s">
        <v>1519</v>
      </c>
      <c r="D151" t="s">
        <v>1554</v>
      </c>
      <c r="E151" t="s">
        <v>884</v>
      </c>
      <c r="F151" t="s">
        <v>727</v>
      </c>
      <c r="G151" t="s">
        <v>190</v>
      </c>
      <c r="H151" t="s">
        <v>9</v>
      </c>
      <c r="I151" t="s">
        <v>1520</v>
      </c>
      <c r="J151">
        <v>42</v>
      </c>
      <c r="K151" t="s">
        <v>1521</v>
      </c>
      <c r="L151" t="s">
        <v>1521</v>
      </c>
      <c r="M151">
        <v>0</v>
      </c>
      <c r="N151">
        <v>0</v>
      </c>
      <c r="O151">
        <v>1</v>
      </c>
      <c r="P151">
        <v>13</v>
      </c>
      <c r="Q151" t="s">
        <v>1528</v>
      </c>
      <c r="R151" t="s">
        <v>1514</v>
      </c>
    </row>
    <row r="152" spans="1:18" x14ac:dyDescent="0.45">
      <c r="A152">
        <v>151</v>
      </c>
      <c r="B152">
        <v>0</v>
      </c>
      <c r="C152" t="s">
        <v>1519</v>
      </c>
      <c r="D152" t="s">
        <v>1554</v>
      </c>
      <c r="E152" t="s">
        <v>885</v>
      </c>
      <c r="F152" t="s">
        <v>727</v>
      </c>
      <c r="G152" t="s">
        <v>191</v>
      </c>
      <c r="H152" t="s">
        <v>9</v>
      </c>
      <c r="I152" t="s">
        <v>1520</v>
      </c>
      <c r="J152">
        <v>51</v>
      </c>
      <c r="K152" t="s">
        <v>1521</v>
      </c>
      <c r="L152" t="s">
        <v>1521</v>
      </c>
      <c r="M152">
        <v>0</v>
      </c>
      <c r="N152">
        <v>0</v>
      </c>
      <c r="O152">
        <v>1</v>
      </c>
      <c r="P152">
        <v>12.525</v>
      </c>
      <c r="Q152" t="s">
        <v>1528</v>
      </c>
      <c r="R152" t="s">
        <v>1514</v>
      </c>
    </row>
    <row r="153" spans="1:18" x14ac:dyDescent="0.45">
      <c r="A153">
        <v>152</v>
      </c>
      <c r="B153">
        <v>1</v>
      </c>
      <c r="C153" t="s">
        <v>1</v>
      </c>
      <c r="D153" t="s">
        <v>1553</v>
      </c>
      <c r="E153" t="s">
        <v>886</v>
      </c>
      <c r="F153" t="s">
        <v>723</v>
      </c>
      <c r="G153" t="s">
        <v>192</v>
      </c>
      <c r="H153" t="s">
        <v>10</v>
      </c>
      <c r="I153" t="s">
        <v>1523</v>
      </c>
      <c r="J153">
        <v>22</v>
      </c>
      <c r="K153" t="s">
        <v>1521</v>
      </c>
      <c r="L153" t="s">
        <v>1521</v>
      </c>
      <c r="M153">
        <v>1</v>
      </c>
      <c r="N153">
        <v>0</v>
      </c>
      <c r="O153">
        <v>2</v>
      </c>
      <c r="P153">
        <v>66.599999999999994</v>
      </c>
      <c r="Q153" t="s">
        <v>1528</v>
      </c>
      <c r="R153" t="s">
        <v>1514</v>
      </c>
    </row>
    <row r="154" spans="1:18" x14ac:dyDescent="0.45">
      <c r="A154">
        <v>153</v>
      </c>
      <c r="B154">
        <v>0</v>
      </c>
      <c r="C154" t="s">
        <v>1519</v>
      </c>
      <c r="D154" t="s">
        <v>1552</v>
      </c>
      <c r="E154" t="s">
        <v>887</v>
      </c>
      <c r="F154" t="s">
        <v>722</v>
      </c>
      <c r="G154" t="s">
        <v>193</v>
      </c>
      <c r="H154" t="s">
        <v>9</v>
      </c>
      <c r="I154" t="s">
        <v>1520</v>
      </c>
      <c r="J154">
        <v>55.5</v>
      </c>
      <c r="K154" t="s">
        <v>1521</v>
      </c>
      <c r="L154" t="s">
        <v>1521</v>
      </c>
      <c r="M154">
        <v>0</v>
      </c>
      <c r="N154">
        <v>0</v>
      </c>
      <c r="O154">
        <v>1</v>
      </c>
      <c r="P154" t="s">
        <v>12</v>
      </c>
      <c r="Q154" t="s">
        <v>1528</v>
      </c>
      <c r="R154" t="s">
        <v>1514</v>
      </c>
    </row>
    <row r="155" spans="1:18" x14ac:dyDescent="0.45">
      <c r="A155">
        <v>154</v>
      </c>
      <c r="B155">
        <v>0</v>
      </c>
      <c r="C155" t="s">
        <v>1519</v>
      </c>
      <c r="D155" t="s">
        <v>1552</v>
      </c>
      <c r="E155" t="s">
        <v>888</v>
      </c>
      <c r="F155" t="s">
        <v>722</v>
      </c>
      <c r="G155" t="s">
        <v>194</v>
      </c>
      <c r="H155" t="s">
        <v>9</v>
      </c>
      <c r="I155" t="s">
        <v>1520</v>
      </c>
      <c r="J155">
        <v>40.5</v>
      </c>
      <c r="K155" t="s">
        <v>1521</v>
      </c>
      <c r="L155" t="s">
        <v>1521</v>
      </c>
      <c r="M155">
        <v>0</v>
      </c>
      <c r="N155">
        <v>2</v>
      </c>
      <c r="O155">
        <v>3</v>
      </c>
      <c r="P155">
        <v>14.5</v>
      </c>
      <c r="Q155" t="s">
        <v>1528</v>
      </c>
      <c r="R155" t="s">
        <v>1514</v>
      </c>
    </row>
    <row r="156" spans="1:18" x14ac:dyDescent="0.45">
      <c r="A156">
        <v>155</v>
      </c>
      <c r="B156">
        <v>0</v>
      </c>
      <c r="C156" t="s">
        <v>1519</v>
      </c>
      <c r="D156" t="s">
        <v>1552</v>
      </c>
      <c r="E156" t="s">
        <v>889</v>
      </c>
      <c r="F156" t="s">
        <v>722</v>
      </c>
      <c r="G156" t="s">
        <v>195</v>
      </c>
      <c r="H156" t="s">
        <v>9</v>
      </c>
      <c r="I156" t="s">
        <v>1520</v>
      </c>
      <c r="J156">
        <v>28</v>
      </c>
      <c r="K156" t="s">
        <v>1521</v>
      </c>
      <c r="L156" t="s">
        <v>1521</v>
      </c>
      <c r="M156">
        <v>0</v>
      </c>
      <c r="N156">
        <v>0</v>
      </c>
      <c r="O156">
        <v>1</v>
      </c>
      <c r="P156">
        <v>7.3125</v>
      </c>
      <c r="Q156" t="s">
        <v>1528</v>
      </c>
      <c r="R156" t="s">
        <v>1514</v>
      </c>
    </row>
    <row r="157" spans="1:18" x14ac:dyDescent="0.45">
      <c r="A157">
        <v>156</v>
      </c>
      <c r="B157">
        <v>0</v>
      </c>
      <c r="C157" t="s">
        <v>1519</v>
      </c>
      <c r="D157" t="s">
        <v>1553</v>
      </c>
      <c r="E157" t="s">
        <v>890</v>
      </c>
      <c r="F157" t="s">
        <v>722</v>
      </c>
      <c r="G157" t="s">
        <v>72</v>
      </c>
      <c r="H157" t="s">
        <v>9</v>
      </c>
      <c r="I157" t="s">
        <v>1520</v>
      </c>
      <c r="J157">
        <v>51</v>
      </c>
      <c r="K157" t="s">
        <v>1521</v>
      </c>
      <c r="L157" t="s">
        <v>1521</v>
      </c>
      <c r="M157">
        <v>0</v>
      </c>
      <c r="N157">
        <v>1</v>
      </c>
      <c r="O157">
        <v>2</v>
      </c>
      <c r="P157">
        <v>61.379199999999997</v>
      </c>
      <c r="Q157" t="s">
        <v>1528</v>
      </c>
      <c r="R157" t="s">
        <v>1515</v>
      </c>
    </row>
    <row r="158" spans="1:18" x14ac:dyDescent="0.45">
      <c r="A158">
        <v>157</v>
      </c>
      <c r="B158">
        <v>1</v>
      </c>
      <c r="C158" t="s">
        <v>1</v>
      </c>
      <c r="D158" t="s">
        <v>1552</v>
      </c>
      <c r="E158" t="s">
        <v>891</v>
      </c>
      <c r="F158" t="s">
        <v>724</v>
      </c>
      <c r="G158" t="s">
        <v>196</v>
      </c>
      <c r="H158" t="s">
        <v>10</v>
      </c>
      <c r="I158" t="s">
        <v>1523</v>
      </c>
      <c r="J158">
        <v>16</v>
      </c>
      <c r="K158" t="s">
        <v>1525</v>
      </c>
      <c r="L158" t="s">
        <v>1525</v>
      </c>
      <c r="M158">
        <v>0</v>
      </c>
      <c r="N158">
        <v>0</v>
      </c>
      <c r="O158">
        <v>1</v>
      </c>
      <c r="P158">
        <v>7.7332999999999998</v>
      </c>
      <c r="Q158" t="s">
        <v>1528</v>
      </c>
      <c r="R158" t="s">
        <v>1516</v>
      </c>
    </row>
    <row r="159" spans="1:18" x14ac:dyDescent="0.45">
      <c r="A159">
        <v>158</v>
      </c>
      <c r="B159">
        <v>0</v>
      </c>
      <c r="C159" t="s">
        <v>1519</v>
      </c>
      <c r="D159" t="s">
        <v>1552</v>
      </c>
      <c r="E159" t="s">
        <v>892</v>
      </c>
      <c r="F159" t="s">
        <v>722</v>
      </c>
      <c r="G159" t="s">
        <v>197</v>
      </c>
      <c r="H159" t="s">
        <v>9</v>
      </c>
      <c r="I159" t="s">
        <v>1520</v>
      </c>
      <c r="J159">
        <v>30</v>
      </c>
      <c r="K159" t="s">
        <v>1521</v>
      </c>
      <c r="L159" t="s">
        <v>1521</v>
      </c>
      <c r="M159">
        <v>0</v>
      </c>
      <c r="N159">
        <v>0</v>
      </c>
      <c r="O159">
        <v>1</v>
      </c>
      <c r="P159" t="s">
        <v>12</v>
      </c>
      <c r="Q159" t="s">
        <v>1528</v>
      </c>
      <c r="R159" t="s">
        <v>1514</v>
      </c>
    </row>
    <row r="160" spans="1:18" x14ac:dyDescent="0.45">
      <c r="A160">
        <v>159</v>
      </c>
      <c r="B160">
        <v>0</v>
      </c>
      <c r="C160" t="s">
        <v>1519</v>
      </c>
      <c r="D160" t="s">
        <v>1552</v>
      </c>
      <c r="E160" t="s">
        <v>893</v>
      </c>
      <c r="F160" t="s">
        <v>722</v>
      </c>
      <c r="G160" t="s">
        <v>198</v>
      </c>
      <c r="H160" t="s">
        <v>9</v>
      </c>
      <c r="I160" t="s">
        <v>1520</v>
      </c>
      <c r="J160">
        <v>28</v>
      </c>
      <c r="K160" t="s">
        <v>1521</v>
      </c>
      <c r="L160" t="s">
        <v>1521</v>
      </c>
      <c r="M160">
        <v>0</v>
      </c>
      <c r="N160">
        <v>0</v>
      </c>
      <c r="O160">
        <v>1</v>
      </c>
      <c r="P160">
        <v>8.6624999999999996</v>
      </c>
      <c r="Q160" t="s">
        <v>1528</v>
      </c>
      <c r="R160" t="s">
        <v>1514</v>
      </c>
    </row>
    <row r="161" spans="1:18" x14ac:dyDescent="0.45">
      <c r="A161">
        <v>160</v>
      </c>
      <c r="B161">
        <v>0</v>
      </c>
      <c r="C161" t="s">
        <v>1519</v>
      </c>
      <c r="D161" t="s">
        <v>1552</v>
      </c>
      <c r="E161" t="s">
        <v>894</v>
      </c>
      <c r="F161" t="s">
        <v>725</v>
      </c>
      <c r="G161" t="s">
        <v>199</v>
      </c>
      <c r="H161" t="s">
        <v>9</v>
      </c>
      <c r="I161" t="s">
        <v>1520</v>
      </c>
      <c r="J161">
        <v>28</v>
      </c>
      <c r="K161" t="s">
        <v>1521</v>
      </c>
      <c r="L161" t="s">
        <v>1521</v>
      </c>
      <c r="M161">
        <v>8</v>
      </c>
      <c r="N161">
        <v>2</v>
      </c>
      <c r="O161">
        <v>11</v>
      </c>
      <c r="P161">
        <v>69.55</v>
      </c>
      <c r="Q161" t="s">
        <v>1528</v>
      </c>
      <c r="R161" t="s">
        <v>1514</v>
      </c>
    </row>
    <row r="162" spans="1:18" x14ac:dyDescent="0.45">
      <c r="A162">
        <v>161</v>
      </c>
      <c r="B162">
        <v>0</v>
      </c>
      <c r="C162" t="s">
        <v>1519</v>
      </c>
      <c r="D162" t="s">
        <v>1552</v>
      </c>
      <c r="E162" t="s">
        <v>895</v>
      </c>
      <c r="F162" t="s">
        <v>722</v>
      </c>
      <c r="G162" t="s">
        <v>200</v>
      </c>
      <c r="H162" t="s">
        <v>9</v>
      </c>
      <c r="I162" t="s">
        <v>1520</v>
      </c>
      <c r="J162">
        <v>44</v>
      </c>
      <c r="K162" t="s">
        <v>1521</v>
      </c>
      <c r="L162" t="s">
        <v>1521</v>
      </c>
      <c r="M162">
        <v>0</v>
      </c>
      <c r="N162">
        <v>1</v>
      </c>
      <c r="O162">
        <v>2</v>
      </c>
      <c r="P162">
        <v>16.100000000000001</v>
      </c>
      <c r="Q162" t="s">
        <v>1528</v>
      </c>
      <c r="R162" t="s">
        <v>1514</v>
      </c>
    </row>
    <row r="163" spans="1:18" x14ac:dyDescent="0.45">
      <c r="A163">
        <v>162</v>
      </c>
      <c r="B163">
        <v>1</v>
      </c>
      <c r="C163" t="s">
        <v>1</v>
      </c>
      <c r="D163" t="s">
        <v>1554</v>
      </c>
      <c r="E163" t="s">
        <v>896</v>
      </c>
      <c r="F163" t="s">
        <v>723</v>
      </c>
      <c r="G163" t="s">
        <v>201</v>
      </c>
      <c r="H163" t="s">
        <v>10</v>
      </c>
      <c r="I163" t="s">
        <v>1523</v>
      </c>
      <c r="J163">
        <v>40</v>
      </c>
      <c r="K163" t="s">
        <v>1521</v>
      </c>
      <c r="L163" t="s">
        <v>1521</v>
      </c>
      <c r="M163">
        <v>0</v>
      </c>
      <c r="N163">
        <v>0</v>
      </c>
      <c r="O163">
        <v>1</v>
      </c>
      <c r="P163">
        <v>15.75</v>
      </c>
      <c r="Q163" t="s">
        <v>1528</v>
      </c>
      <c r="R163" t="s">
        <v>1514</v>
      </c>
    </row>
    <row r="164" spans="1:18" x14ac:dyDescent="0.45">
      <c r="A164">
        <v>163</v>
      </c>
      <c r="B164">
        <v>0</v>
      </c>
      <c r="C164" t="s">
        <v>1519</v>
      </c>
      <c r="D164" t="s">
        <v>1552</v>
      </c>
      <c r="E164" t="s">
        <v>897</v>
      </c>
      <c r="F164" t="s">
        <v>722</v>
      </c>
      <c r="G164" t="s">
        <v>202</v>
      </c>
      <c r="H164" t="s">
        <v>9</v>
      </c>
      <c r="I164" t="s">
        <v>1520</v>
      </c>
      <c r="J164">
        <v>26</v>
      </c>
      <c r="K164" t="s">
        <v>1521</v>
      </c>
      <c r="L164" t="s">
        <v>1521</v>
      </c>
      <c r="M164">
        <v>0</v>
      </c>
      <c r="N164">
        <v>0</v>
      </c>
      <c r="O164">
        <v>1</v>
      </c>
      <c r="P164">
        <v>7.7750000000000004</v>
      </c>
      <c r="Q164" t="s">
        <v>1528</v>
      </c>
      <c r="R164" t="s">
        <v>1514</v>
      </c>
    </row>
    <row r="165" spans="1:18" x14ac:dyDescent="0.45">
      <c r="A165">
        <v>164</v>
      </c>
      <c r="B165">
        <v>0</v>
      </c>
      <c r="C165" t="s">
        <v>1519</v>
      </c>
      <c r="D165" t="s">
        <v>1552</v>
      </c>
      <c r="E165" t="s">
        <v>898</v>
      </c>
      <c r="F165" t="s">
        <v>722</v>
      </c>
      <c r="G165" t="s">
        <v>203</v>
      </c>
      <c r="H165" t="s">
        <v>9</v>
      </c>
      <c r="I165" t="s">
        <v>1520</v>
      </c>
      <c r="J165">
        <v>17</v>
      </c>
      <c r="K165" t="s">
        <v>1525</v>
      </c>
      <c r="L165" t="s">
        <v>1525</v>
      </c>
      <c r="M165">
        <v>0</v>
      </c>
      <c r="N165">
        <v>0</v>
      </c>
      <c r="O165">
        <v>1</v>
      </c>
      <c r="P165">
        <v>8.6624999999999996</v>
      </c>
      <c r="Q165" t="s">
        <v>1528</v>
      </c>
      <c r="R165" t="s">
        <v>1514</v>
      </c>
    </row>
    <row r="166" spans="1:18" x14ac:dyDescent="0.45">
      <c r="A166">
        <v>165</v>
      </c>
      <c r="B166">
        <v>0</v>
      </c>
      <c r="C166" t="s">
        <v>1519</v>
      </c>
      <c r="D166" t="s">
        <v>1552</v>
      </c>
      <c r="E166" t="s">
        <v>899</v>
      </c>
      <c r="F166" t="s">
        <v>725</v>
      </c>
      <c r="G166" t="s">
        <v>103</v>
      </c>
      <c r="H166" t="s">
        <v>9</v>
      </c>
      <c r="I166" t="s">
        <v>1520</v>
      </c>
      <c r="J166">
        <v>1</v>
      </c>
      <c r="K166" t="s">
        <v>1524</v>
      </c>
      <c r="L166" t="s">
        <v>1524</v>
      </c>
      <c r="M166">
        <v>4</v>
      </c>
      <c r="N166">
        <v>1</v>
      </c>
      <c r="O166">
        <v>6</v>
      </c>
      <c r="P166">
        <v>39.6875</v>
      </c>
      <c r="Q166" t="s">
        <v>1528</v>
      </c>
      <c r="R166" t="s">
        <v>1514</v>
      </c>
    </row>
    <row r="167" spans="1:18" x14ac:dyDescent="0.45">
      <c r="A167">
        <v>166</v>
      </c>
      <c r="B167">
        <v>1</v>
      </c>
      <c r="C167" t="s">
        <v>1</v>
      </c>
      <c r="D167" t="s">
        <v>1552</v>
      </c>
      <c r="E167" t="s">
        <v>900</v>
      </c>
      <c r="F167" t="s">
        <v>725</v>
      </c>
      <c r="G167" t="s">
        <v>204</v>
      </c>
      <c r="H167" t="s">
        <v>9</v>
      </c>
      <c r="I167" t="s">
        <v>1520</v>
      </c>
      <c r="J167">
        <v>9</v>
      </c>
      <c r="K167" t="s">
        <v>1524</v>
      </c>
      <c r="L167" t="s">
        <v>1524</v>
      </c>
      <c r="M167">
        <v>0</v>
      </c>
      <c r="N167">
        <v>2</v>
      </c>
      <c r="O167">
        <v>3</v>
      </c>
      <c r="P167" t="s">
        <v>24</v>
      </c>
      <c r="Q167" t="s">
        <v>1528</v>
      </c>
      <c r="R167" t="s">
        <v>1514</v>
      </c>
    </row>
    <row r="168" spans="1:18" x14ac:dyDescent="0.45">
      <c r="A168">
        <v>167</v>
      </c>
      <c r="B168">
        <v>1</v>
      </c>
      <c r="C168" t="s">
        <v>1</v>
      </c>
      <c r="D168" t="s">
        <v>1553</v>
      </c>
      <c r="E168" t="s">
        <v>753</v>
      </c>
      <c r="F168" t="s">
        <v>723</v>
      </c>
      <c r="G168" t="s">
        <v>205</v>
      </c>
      <c r="H168" t="s">
        <v>10</v>
      </c>
      <c r="I168" t="s">
        <v>1523</v>
      </c>
      <c r="J168">
        <v>28</v>
      </c>
      <c r="K168" t="s">
        <v>1521</v>
      </c>
      <c r="L168" t="s">
        <v>1521</v>
      </c>
      <c r="M168">
        <v>0</v>
      </c>
      <c r="N168">
        <v>1</v>
      </c>
      <c r="O168">
        <v>2</v>
      </c>
      <c r="P168">
        <v>55</v>
      </c>
      <c r="Q168" t="s">
        <v>1528</v>
      </c>
      <c r="R168" t="s">
        <v>1514</v>
      </c>
    </row>
    <row r="169" spans="1:18" x14ac:dyDescent="0.45">
      <c r="A169">
        <v>168</v>
      </c>
      <c r="B169">
        <v>0</v>
      </c>
      <c r="C169" t="s">
        <v>1519</v>
      </c>
      <c r="D169" t="s">
        <v>1552</v>
      </c>
      <c r="E169" t="s">
        <v>901</v>
      </c>
      <c r="F169" t="s">
        <v>723</v>
      </c>
      <c r="G169" t="s">
        <v>116</v>
      </c>
      <c r="H169" t="s">
        <v>10</v>
      </c>
      <c r="I169" t="s">
        <v>1523</v>
      </c>
      <c r="J169">
        <v>45</v>
      </c>
      <c r="K169" t="s">
        <v>1521</v>
      </c>
      <c r="L169" t="s">
        <v>1521</v>
      </c>
      <c r="M169">
        <v>1</v>
      </c>
      <c r="N169">
        <v>4</v>
      </c>
      <c r="O169">
        <v>6</v>
      </c>
      <c r="P169">
        <v>27.9</v>
      </c>
      <c r="Q169" t="s">
        <v>1528</v>
      </c>
      <c r="R169" t="s">
        <v>1514</v>
      </c>
    </row>
    <row r="170" spans="1:18" x14ac:dyDescent="0.45">
      <c r="A170">
        <v>169</v>
      </c>
      <c r="B170">
        <v>0</v>
      </c>
      <c r="C170" t="s">
        <v>1519</v>
      </c>
      <c r="D170" t="s">
        <v>1553</v>
      </c>
      <c r="E170" t="s">
        <v>902</v>
      </c>
      <c r="F170" t="s">
        <v>722</v>
      </c>
      <c r="G170" t="s">
        <v>206</v>
      </c>
      <c r="H170" t="s">
        <v>9</v>
      </c>
      <c r="I170" t="s">
        <v>1520</v>
      </c>
      <c r="J170">
        <v>28</v>
      </c>
      <c r="K170" t="s">
        <v>1521</v>
      </c>
      <c r="L170" t="s">
        <v>1521</v>
      </c>
      <c r="M170">
        <v>0</v>
      </c>
      <c r="N170">
        <v>0</v>
      </c>
      <c r="O170">
        <v>1</v>
      </c>
      <c r="P170">
        <v>25.925000000000001</v>
      </c>
      <c r="Q170" t="s">
        <v>1528</v>
      </c>
      <c r="R170" t="s">
        <v>1514</v>
      </c>
    </row>
    <row r="171" spans="1:18" x14ac:dyDescent="0.45">
      <c r="A171">
        <v>170</v>
      </c>
      <c r="B171">
        <v>0</v>
      </c>
      <c r="C171" t="s">
        <v>1519</v>
      </c>
      <c r="D171" t="s">
        <v>1552</v>
      </c>
      <c r="E171" t="s">
        <v>811</v>
      </c>
      <c r="F171" t="s">
        <v>722</v>
      </c>
      <c r="G171" t="s">
        <v>207</v>
      </c>
      <c r="H171" t="s">
        <v>9</v>
      </c>
      <c r="I171" t="s">
        <v>1520</v>
      </c>
      <c r="J171">
        <v>28</v>
      </c>
      <c r="K171" t="s">
        <v>1521</v>
      </c>
      <c r="L171" t="s">
        <v>1521</v>
      </c>
      <c r="M171">
        <v>0</v>
      </c>
      <c r="N171">
        <v>0</v>
      </c>
      <c r="O171">
        <v>1</v>
      </c>
      <c r="P171">
        <v>56.495800000000003</v>
      </c>
      <c r="Q171" t="s">
        <v>1528</v>
      </c>
      <c r="R171" t="s">
        <v>1514</v>
      </c>
    </row>
    <row r="172" spans="1:18" x14ac:dyDescent="0.45">
      <c r="A172">
        <v>171</v>
      </c>
      <c r="B172">
        <v>0</v>
      </c>
      <c r="C172" t="s">
        <v>1519</v>
      </c>
      <c r="D172" t="s">
        <v>1553</v>
      </c>
      <c r="E172" t="s">
        <v>903</v>
      </c>
      <c r="F172" t="s">
        <v>722</v>
      </c>
      <c r="G172" t="s">
        <v>208</v>
      </c>
      <c r="H172" t="s">
        <v>9</v>
      </c>
      <c r="I172" t="s">
        <v>1520</v>
      </c>
      <c r="J172">
        <v>61</v>
      </c>
      <c r="K172" t="s">
        <v>1527</v>
      </c>
      <c r="L172" t="s">
        <v>1527</v>
      </c>
      <c r="M172">
        <v>0</v>
      </c>
      <c r="N172">
        <v>0</v>
      </c>
      <c r="O172">
        <v>1</v>
      </c>
      <c r="P172">
        <v>33.5</v>
      </c>
      <c r="Q172" t="s">
        <v>1528</v>
      </c>
      <c r="R172" t="s">
        <v>1514</v>
      </c>
    </row>
    <row r="173" spans="1:18" x14ac:dyDescent="0.45">
      <c r="A173">
        <v>172</v>
      </c>
      <c r="B173">
        <v>0</v>
      </c>
      <c r="C173" t="s">
        <v>1519</v>
      </c>
      <c r="D173" t="s">
        <v>1552</v>
      </c>
      <c r="E173" t="s">
        <v>904</v>
      </c>
      <c r="F173" t="s">
        <v>725</v>
      </c>
      <c r="G173" t="s">
        <v>71</v>
      </c>
      <c r="H173" t="s">
        <v>9</v>
      </c>
      <c r="I173" t="s">
        <v>1520</v>
      </c>
      <c r="J173">
        <v>4</v>
      </c>
      <c r="K173" t="s">
        <v>1524</v>
      </c>
      <c r="L173" t="s">
        <v>1524</v>
      </c>
      <c r="M173">
        <v>4</v>
      </c>
      <c r="N173">
        <v>1</v>
      </c>
      <c r="O173">
        <v>6</v>
      </c>
      <c r="P173">
        <v>29.125</v>
      </c>
      <c r="Q173" t="s">
        <v>1528</v>
      </c>
      <c r="R173" t="s">
        <v>1516</v>
      </c>
    </row>
    <row r="174" spans="1:18" x14ac:dyDescent="0.45">
      <c r="A174">
        <v>173</v>
      </c>
      <c r="B174">
        <v>1</v>
      </c>
      <c r="C174" t="s">
        <v>1</v>
      </c>
      <c r="D174" t="s">
        <v>1552</v>
      </c>
      <c r="E174" t="s">
        <v>905</v>
      </c>
      <c r="F174" t="s">
        <v>724</v>
      </c>
      <c r="G174" t="s">
        <v>63</v>
      </c>
      <c r="H174" t="s">
        <v>10</v>
      </c>
      <c r="I174" t="s">
        <v>1523</v>
      </c>
      <c r="J174">
        <v>1</v>
      </c>
      <c r="K174" t="s">
        <v>1524</v>
      </c>
      <c r="L174" t="s">
        <v>1524</v>
      </c>
      <c r="M174">
        <v>1</v>
      </c>
      <c r="N174">
        <v>1</v>
      </c>
      <c r="O174">
        <v>3</v>
      </c>
      <c r="P174">
        <v>11.1333</v>
      </c>
      <c r="Q174" t="s">
        <v>1528</v>
      </c>
      <c r="R174" t="s">
        <v>1514</v>
      </c>
    </row>
    <row r="175" spans="1:18" x14ac:dyDescent="0.45">
      <c r="A175">
        <v>174</v>
      </c>
      <c r="B175">
        <v>0</v>
      </c>
      <c r="C175" t="s">
        <v>1519</v>
      </c>
      <c r="D175" t="s">
        <v>1552</v>
      </c>
      <c r="E175" t="s">
        <v>906</v>
      </c>
      <c r="F175" t="s">
        <v>722</v>
      </c>
      <c r="G175" t="s">
        <v>209</v>
      </c>
      <c r="H175" t="s">
        <v>9</v>
      </c>
      <c r="I175" t="s">
        <v>1520</v>
      </c>
      <c r="J175">
        <v>21</v>
      </c>
      <c r="K175" t="s">
        <v>1521</v>
      </c>
      <c r="L175" t="s">
        <v>1521</v>
      </c>
      <c r="M175">
        <v>0</v>
      </c>
      <c r="N175">
        <v>0</v>
      </c>
      <c r="O175">
        <v>1</v>
      </c>
      <c r="P175">
        <v>7.9249999999999998</v>
      </c>
      <c r="Q175" t="s">
        <v>1528</v>
      </c>
      <c r="R175" t="s">
        <v>1514</v>
      </c>
    </row>
    <row r="176" spans="1:18" x14ac:dyDescent="0.45">
      <c r="A176">
        <v>175</v>
      </c>
      <c r="B176">
        <v>0</v>
      </c>
      <c r="C176" t="s">
        <v>1519</v>
      </c>
      <c r="D176" t="s">
        <v>1553</v>
      </c>
      <c r="E176" t="s">
        <v>907</v>
      </c>
      <c r="F176" t="s">
        <v>722</v>
      </c>
      <c r="G176" t="s">
        <v>210</v>
      </c>
      <c r="H176" t="s">
        <v>9</v>
      </c>
      <c r="I176" t="s">
        <v>1520</v>
      </c>
      <c r="J176">
        <v>56</v>
      </c>
      <c r="K176" t="s">
        <v>1521</v>
      </c>
      <c r="L176" t="s">
        <v>1521</v>
      </c>
      <c r="M176">
        <v>0</v>
      </c>
      <c r="N176">
        <v>0</v>
      </c>
      <c r="O176">
        <v>1</v>
      </c>
      <c r="P176" t="s">
        <v>25</v>
      </c>
      <c r="Q176" t="s">
        <v>1528</v>
      </c>
      <c r="R176" t="s">
        <v>1515</v>
      </c>
    </row>
    <row r="177" spans="1:18" x14ac:dyDescent="0.45">
      <c r="A177">
        <v>176</v>
      </c>
      <c r="B177">
        <v>0</v>
      </c>
      <c r="C177" t="s">
        <v>1519</v>
      </c>
      <c r="D177" t="s">
        <v>1552</v>
      </c>
      <c r="E177" t="s">
        <v>908</v>
      </c>
      <c r="F177" t="s">
        <v>722</v>
      </c>
      <c r="G177" t="s">
        <v>211</v>
      </c>
      <c r="H177" t="s">
        <v>9</v>
      </c>
      <c r="I177" t="s">
        <v>1520</v>
      </c>
      <c r="J177">
        <v>18</v>
      </c>
      <c r="K177" t="s">
        <v>1521</v>
      </c>
      <c r="L177" t="s">
        <v>1521</v>
      </c>
      <c r="M177">
        <v>1</v>
      </c>
      <c r="N177">
        <v>1</v>
      </c>
      <c r="O177">
        <v>3</v>
      </c>
      <c r="P177">
        <v>7.8541999999999996</v>
      </c>
      <c r="Q177" t="s">
        <v>1528</v>
      </c>
      <c r="R177" t="s">
        <v>1514</v>
      </c>
    </row>
    <row r="178" spans="1:18" x14ac:dyDescent="0.45">
      <c r="A178">
        <v>177</v>
      </c>
      <c r="B178">
        <v>0</v>
      </c>
      <c r="C178" t="s">
        <v>1519</v>
      </c>
      <c r="D178" t="s">
        <v>1552</v>
      </c>
      <c r="E178" t="s">
        <v>909</v>
      </c>
      <c r="F178" t="s">
        <v>725</v>
      </c>
      <c r="G178" t="s">
        <v>212</v>
      </c>
      <c r="H178" t="s">
        <v>9</v>
      </c>
      <c r="I178" t="s">
        <v>1520</v>
      </c>
      <c r="J178">
        <v>28</v>
      </c>
      <c r="K178" t="s">
        <v>1521</v>
      </c>
      <c r="L178" t="s">
        <v>1521</v>
      </c>
      <c r="M178">
        <v>3</v>
      </c>
      <c r="N178">
        <v>1</v>
      </c>
      <c r="O178">
        <v>5</v>
      </c>
      <c r="P178">
        <v>25.466699999999999</v>
      </c>
      <c r="Q178" t="s">
        <v>1528</v>
      </c>
      <c r="R178" t="s">
        <v>1514</v>
      </c>
    </row>
    <row r="179" spans="1:18" x14ac:dyDescent="0.45">
      <c r="A179">
        <v>178</v>
      </c>
      <c r="B179">
        <v>0</v>
      </c>
      <c r="C179" t="s">
        <v>1519</v>
      </c>
      <c r="D179" t="s">
        <v>1553</v>
      </c>
      <c r="E179" t="s">
        <v>910</v>
      </c>
      <c r="F179" t="s">
        <v>724</v>
      </c>
      <c r="G179" t="s">
        <v>213</v>
      </c>
      <c r="H179" t="s">
        <v>10</v>
      </c>
      <c r="I179" t="s">
        <v>1523</v>
      </c>
      <c r="J179">
        <v>50</v>
      </c>
      <c r="K179" t="s">
        <v>1521</v>
      </c>
      <c r="L179" t="s">
        <v>1521</v>
      </c>
      <c r="M179">
        <v>0</v>
      </c>
      <c r="N179">
        <v>0</v>
      </c>
      <c r="O179">
        <v>1</v>
      </c>
      <c r="P179">
        <v>28.712499999999999</v>
      </c>
      <c r="Q179" t="s">
        <v>1528</v>
      </c>
      <c r="R179" t="s">
        <v>1515</v>
      </c>
    </row>
    <row r="180" spans="1:18" x14ac:dyDescent="0.45">
      <c r="A180">
        <v>179</v>
      </c>
      <c r="B180">
        <v>0</v>
      </c>
      <c r="C180" t="s">
        <v>1519</v>
      </c>
      <c r="D180" t="s">
        <v>1554</v>
      </c>
      <c r="E180" t="s">
        <v>911</v>
      </c>
      <c r="F180" t="s">
        <v>722</v>
      </c>
      <c r="G180" t="s">
        <v>214</v>
      </c>
      <c r="H180" t="s">
        <v>9</v>
      </c>
      <c r="I180" t="s">
        <v>1520</v>
      </c>
      <c r="J180">
        <v>30</v>
      </c>
      <c r="K180" t="s">
        <v>1521</v>
      </c>
      <c r="L180" t="s">
        <v>1521</v>
      </c>
      <c r="M180">
        <v>0</v>
      </c>
      <c r="N180">
        <v>0</v>
      </c>
      <c r="O180">
        <v>1</v>
      </c>
      <c r="P180">
        <v>13</v>
      </c>
      <c r="Q180" t="s">
        <v>1528</v>
      </c>
      <c r="R180" t="s">
        <v>1514</v>
      </c>
    </row>
    <row r="181" spans="1:18" x14ac:dyDescent="0.45">
      <c r="A181">
        <v>180</v>
      </c>
      <c r="B181">
        <v>0</v>
      </c>
      <c r="C181" t="s">
        <v>1519</v>
      </c>
      <c r="D181" t="s">
        <v>1552</v>
      </c>
      <c r="E181" t="s">
        <v>912</v>
      </c>
      <c r="F181" t="s">
        <v>722</v>
      </c>
      <c r="G181" t="s">
        <v>215</v>
      </c>
      <c r="H181" t="s">
        <v>9</v>
      </c>
      <c r="I181" t="s">
        <v>1520</v>
      </c>
      <c r="J181">
        <v>36</v>
      </c>
      <c r="K181" t="s">
        <v>1521</v>
      </c>
      <c r="L181" t="s">
        <v>1521</v>
      </c>
      <c r="M181">
        <v>0</v>
      </c>
      <c r="N181">
        <v>0</v>
      </c>
      <c r="O181">
        <v>1</v>
      </c>
      <c r="P181">
        <v>14.4542</v>
      </c>
      <c r="Q181" t="s">
        <v>1528</v>
      </c>
      <c r="R181" t="s">
        <v>1514</v>
      </c>
    </row>
    <row r="182" spans="1:18" x14ac:dyDescent="0.45">
      <c r="A182">
        <v>181</v>
      </c>
      <c r="B182">
        <v>0</v>
      </c>
      <c r="C182" t="s">
        <v>1519</v>
      </c>
      <c r="D182" t="s">
        <v>1552</v>
      </c>
      <c r="E182" t="s">
        <v>913</v>
      </c>
      <c r="F182" t="s">
        <v>724</v>
      </c>
      <c r="G182" t="s">
        <v>199</v>
      </c>
      <c r="H182" t="s">
        <v>10</v>
      </c>
      <c r="I182" t="s">
        <v>1523</v>
      </c>
      <c r="J182">
        <v>28</v>
      </c>
      <c r="K182" t="s">
        <v>1521</v>
      </c>
      <c r="L182" t="s">
        <v>1521</v>
      </c>
      <c r="M182">
        <v>8</v>
      </c>
      <c r="N182">
        <v>2</v>
      </c>
      <c r="O182">
        <v>11</v>
      </c>
      <c r="P182">
        <v>69.55</v>
      </c>
      <c r="Q182" t="s">
        <v>1528</v>
      </c>
      <c r="R182" t="s">
        <v>1514</v>
      </c>
    </row>
    <row r="183" spans="1:18" x14ac:dyDescent="0.45">
      <c r="A183">
        <v>182</v>
      </c>
      <c r="B183">
        <v>0</v>
      </c>
      <c r="C183" t="s">
        <v>1519</v>
      </c>
      <c r="D183" t="s">
        <v>1554</v>
      </c>
      <c r="E183" t="s">
        <v>914</v>
      </c>
      <c r="F183" t="s">
        <v>722</v>
      </c>
      <c r="G183" t="s">
        <v>216</v>
      </c>
      <c r="H183" t="s">
        <v>9</v>
      </c>
      <c r="I183" t="s">
        <v>1520</v>
      </c>
      <c r="J183">
        <v>28</v>
      </c>
      <c r="K183" t="s">
        <v>1521</v>
      </c>
      <c r="L183" t="s">
        <v>1521</v>
      </c>
      <c r="M183">
        <v>0</v>
      </c>
      <c r="N183">
        <v>0</v>
      </c>
      <c r="O183">
        <v>1</v>
      </c>
      <c r="P183" t="s">
        <v>26</v>
      </c>
      <c r="Q183" t="s">
        <v>1528</v>
      </c>
      <c r="R183" t="s">
        <v>1515</v>
      </c>
    </row>
    <row r="184" spans="1:18" x14ac:dyDescent="0.45">
      <c r="A184">
        <v>183</v>
      </c>
      <c r="B184">
        <v>0</v>
      </c>
      <c r="C184" t="s">
        <v>1519</v>
      </c>
      <c r="D184" t="s">
        <v>1552</v>
      </c>
      <c r="E184" t="s">
        <v>915</v>
      </c>
      <c r="F184" t="s">
        <v>725</v>
      </c>
      <c r="G184" t="s">
        <v>79</v>
      </c>
      <c r="H184" t="s">
        <v>9</v>
      </c>
      <c r="I184" t="s">
        <v>1520</v>
      </c>
      <c r="J184">
        <v>9</v>
      </c>
      <c r="K184" t="s">
        <v>1524</v>
      </c>
      <c r="L184" t="s">
        <v>1524</v>
      </c>
      <c r="M184">
        <v>4</v>
      </c>
      <c r="N184">
        <v>2</v>
      </c>
      <c r="O184">
        <v>7</v>
      </c>
      <c r="P184">
        <v>31.387499999999999</v>
      </c>
      <c r="Q184" t="s">
        <v>1528</v>
      </c>
      <c r="R184" t="s">
        <v>1514</v>
      </c>
    </row>
    <row r="185" spans="1:18" x14ac:dyDescent="0.45">
      <c r="A185">
        <v>184</v>
      </c>
      <c r="B185">
        <v>1</v>
      </c>
      <c r="C185" t="s">
        <v>1</v>
      </c>
      <c r="D185" t="s">
        <v>1554</v>
      </c>
      <c r="E185" t="s">
        <v>916</v>
      </c>
      <c r="F185" t="s">
        <v>725</v>
      </c>
      <c r="G185" t="s">
        <v>217</v>
      </c>
      <c r="H185" t="s">
        <v>9</v>
      </c>
      <c r="I185" t="s">
        <v>1520</v>
      </c>
      <c r="J185">
        <v>1</v>
      </c>
      <c r="K185" t="s">
        <v>1524</v>
      </c>
      <c r="L185" t="s">
        <v>1524</v>
      </c>
      <c r="M185">
        <v>2</v>
      </c>
      <c r="N185">
        <v>1</v>
      </c>
      <c r="O185">
        <v>4</v>
      </c>
      <c r="P185">
        <v>39</v>
      </c>
      <c r="Q185" t="s">
        <v>1528</v>
      </c>
      <c r="R185" t="s">
        <v>1514</v>
      </c>
    </row>
    <row r="186" spans="1:18" x14ac:dyDescent="0.45">
      <c r="A186">
        <v>185</v>
      </c>
      <c r="B186">
        <v>1</v>
      </c>
      <c r="C186" t="s">
        <v>1</v>
      </c>
      <c r="D186" t="s">
        <v>1552</v>
      </c>
      <c r="E186" t="s">
        <v>917</v>
      </c>
      <c r="F186" t="s">
        <v>724</v>
      </c>
      <c r="G186" t="s">
        <v>218</v>
      </c>
      <c r="H186" t="s">
        <v>10</v>
      </c>
      <c r="I186" t="s">
        <v>1523</v>
      </c>
      <c r="J186">
        <v>4</v>
      </c>
      <c r="K186" t="s">
        <v>1524</v>
      </c>
      <c r="L186" t="s">
        <v>1524</v>
      </c>
      <c r="M186">
        <v>0</v>
      </c>
      <c r="N186">
        <v>2</v>
      </c>
      <c r="O186">
        <v>3</v>
      </c>
      <c r="P186" t="s">
        <v>27</v>
      </c>
      <c r="Q186" t="s">
        <v>1528</v>
      </c>
      <c r="R186" t="s">
        <v>1514</v>
      </c>
    </row>
    <row r="187" spans="1:18" x14ac:dyDescent="0.45">
      <c r="A187">
        <v>186</v>
      </c>
      <c r="B187">
        <v>0</v>
      </c>
      <c r="C187" t="s">
        <v>1519</v>
      </c>
      <c r="D187" t="s">
        <v>1553</v>
      </c>
      <c r="E187" t="s">
        <v>918</v>
      </c>
      <c r="F187" t="s">
        <v>722</v>
      </c>
      <c r="G187" t="s">
        <v>219</v>
      </c>
      <c r="H187" t="s">
        <v>9</v>
      </c>
      <c r="I187" t="s">
        <v>1520</v>
      </c>
      <c r="J187">
        <v>28</v>
      </c>
      <c r="K187" t="s">
        <v>1521</v>
      </c>
      <c r="L187" t="s">
        <v>1521</v>
      </c>
      <c r="M187">
        <v>0</v>
      </c>
      <c r="N187">
        <v>0</v>
      </c>
      <c r="O187">
        <v>1</v>
      </c>
      <c r="P187">
        <v>514.45420000000001</v>
      </c>
      <c r="Q187" t="s">
        <v>1528</v>
      </c>
      <c r="R187" t="s">
        <v>1514</v>
      </c>
    </row>
    <row r="188" spans="1:18" x14ac:dyDescent="0.45">
      <c r="A188">
        <v>187</v>
      </c>
      <c r="B188">
        <v>1</v>
      </c>
      <c r="C188" t="s">
        <v>1</v>
      </c>
      <c r="D188" t="s">
        <v>1552</v>
      </c>
      <c r="E188" t="s">
        <v>886</v>
      </c>
      <c r="F188" t="s">
        <v>723</v>
      </c>
      <c r="G188" t="s">
        <v>220</v>
      </c>
      <c r="H188" t="s">
        <v>10</v>
      </c>
      <c r="I188" t="s">
        <v>1523</v>
      </c>
      <c r="J188">
        <v>28</v>
      </c>
      <c r="K188" t="s">
        <v>1521</v>
      </c>
      <c r="L188" t="s">
        <v>1521</v>
      </c>
      <c r="M188">
        <v>1</v>
      </c>
      <c r="N188">
        <v>0</v>
      </c>
      <c r="O188">
        <v>2</v>
      </c>
      <c r="P188">
        <v>15.5</v>
      </c>
      <c r="Q188" t="s">
        <v>1528</v>
      </c>
      <c r="R188" t="s">
        <v>1516</v>
      </c>
    </row>
    <row r="189" spans="1:18" x14ac:dyDescent="0.45">
      <c r="A189">
        <v>188</v>
      </c>
      <c r="B189">
        <v>1</v>
      </c>
      <c r="C189" t="s">
        <v>1</v>
      </c>
      <c r="D189" t="s">
        <v>1553</v>
      </c>
      <c r="E189" t="s">
        <v>919</v>
      </c>
      <c r="F189" t="s">
        <v>722</v>
      </c>
      <c r="G189" t="s">
        <v>221</v>
      </c>
      <c r="H189" t="s">
        <v>9</v>
      </c>
      <c r="I189" t="s">
        <v>1520</v>
      </c>
      <c r="J189">
        <v>45</v>
      </c>
      <c r="K189" t="s">
        <v>1521</v>
      </c>
      <c r="L189" t="s">
        <v>1521</v>
      </c>
      <c r="M189">
        <v>0</v>
      </c>
      <c r="N189">
        <v>0</v>
      </c>
      <c r="O189">
        <v>1</v>
      </c>
      <c r="P189">
        <v>26.55</v>
      </c>
      <c r="Q189" t="s">
        <v>1528</v>
      </c>
      <c r="R189" t="s">
        <v>1514</v>
      </c>
    </row>
    <row r="190" spans="1:18" x14ac:dyDescent="0.45">
      <c r="A190">
        <v>189</v>
      </c>
      <c r="B190">
        <v>0</v>
      </c>
      <c r="C190" t="s">
        <v>1519</v>
      </c>
      <c r="D190" t="s">
        <v>1552</v>
      </c>
      <c r="E190" t="s">
        <v>920</v>
      </c>
      <c r="F190" t="s">
        <v>722</v>
      </c>
      <c r="G190" t="s">
        <v>222</v>
      </c>
      <c r="H190" t="s">
        <v>9</v>
      </c>
      <c r="I190" t="s">
        <v>1520</v>
      </c>
      <c r="J190">
        <v>40</v>
      </c>
      <c r="K190" t="s">
        <v>1521</v>
      </c>
      <c r="L190" t="s">
        <v>1521</v>
      </c>
      <c r="M190">
        <v>1</v>
      </c>
      <c r="N190">
        <v>1</v>
      </c>
      <c r="O190">
        <v>3</v>
      </c>
      <c r="P190">
        <v>15.5</v>
      </c>
      <c r="Q190" t="s">
        <v>1528</v>
      </c>
      <c r="R190" t="s">
        <v>1516</v>
      </c>
    </row>
    <row r="191" spans="1:18" x14ac:dyDescent="0.45">
      <c r="A191">
        <v>190</v>
      </c>
      <c r="B191">
        <v>0</v>
      </c>
      <c r="C191" t="s">
        <v>1519</v>
      </c>
      <c r="D191" t="s">
        <v>1552</v>
      </c>
      <c r="E191" t="s">
        <v>921</v>
      </c>
      <c r="F191" t="s">
        <v>722</v>
      </c>
      <c r="G191" t="s">
        <v>223</v>
      </c>
      <c r="H191" t="s">
        <v>9</v>
      </c>
      <c r="I191" t="s">
        <v>1520</v>
      </c>
      <c r="J191">
        <v>36</v>
      </c>
      <c r="K191" t="s">
        <v>1521</v>
      </c>
      <c r="L191" t="s">
        <v>1521</v>
      </c>
      <c r="M191">
        <v>0</v>
      </c>
      <c r="N191">
        <v>0</v>
      </c>
      <c r="O191">
        <v>1</v>
      </c>
      <c r="P191">
        <v>7.8958000000000004</v>
      </c>
      <c r="Q191" t="s">
        <v>1528</v>
      </c>
      <c r="R191" t="s">
        <v>1514</v>
      </c>
    </row>
    <row r="192" spans="1:18" x14ac:dyDescent="0.45">
      <c r="A192">
        <v>191</v>
      </c>
      <c r="B192">
        <v>1</v>
      </c>
      <c r="C192" t="s">
        <v>1</v>
      </c>
      <c r="D192" t="s">
        <v>1554</v>
      </c>
      <c r="E192" t="s">
        <v>753</v>
      </c>
      <c r="F192" t="s">
        <v>723</v>
      </c>
      <c r="G192" t="s">
        <v>224</v>
      </c>
      <c r="H192" t="s">
        <v>10</v>
      </c>
      <c r="I192" t="s">
        <v>1523</v>
      </c>
      <c r="J192">
        <v>32</v>
      </c>
      <c r="K192" t="s">
        <v>1521</v>
      </c>
      <c r="L192" t="s">
        <v>1521</v>
      </c>
      <c r="M192">
        <v>0</v>
      </c>
      <c r="N192">
        <v>0</v>
      </c>
      <c r="O192">
        <v>1</v>
      </c>
      <c r="P192">
        <v>13</v>
      </c>
      <c r="Q192" t="s">
        <v>1528</v>
      </c>
      <c r="R192" t="s">
        <v>1514</v>
      </c>
    </row>
    <row r="193" spans="1:18" x14ac:dyDescent="0.45">
      <c r="A193">
        <v>192</v>
      </c>
      <c r="B193">
        <v>0</v>
      </c>
      <c r="C193" t="s">
        <v>1519</v>
      </c>
      <c r="D193" t="s">
        <v>1554</v>
      </c>
      <c r="E193" t="s">
        <v>922</v>
      </c>
      <c r="F193" t="s">
        <v>722</v>
      </c>
      <c r="G193" t="s">
        <v>225</v>
      </c>
      <c r="H193" t="s">
        <v>9</v>
      </c>
      <c r="I193" t="s">
        <v>1520</v>
      </c>
      <c r="J193">
        <v>19</v>
      </c>
      <c r="K193" t="s">
        <v>1521</v>
      </c>
      <c r="L193" t="s">
        <v>1521</v>
      </c>
      <c r="M193">
        <v>0</v>
      </c>
      <c r="N193">
        <v>0</v>
      </c>
      <c r="O193">
        <v>1</v>
      </c>
      <c r="P193">
        <v>13</v>
      </c>
      <c r="Q193" t="s">
        <v>1528</v>
      </c>
      <c r="R193" t="s">
        <v>1514</v>
      </c>
    </row>
    <row r="194" spans="1:18" x14ac:dyDescent="0.45">
      <c r="A194">
        <v>193</v>
      </c>
      <c r="B194">
        <v>1</v>
      </c>
      <c r="C194" t="s">
        <v>1</v>
      </c>
      <c r="D194" t="s">
        <v>1552</v>
      </c>
      <c r="E194" t="s">
        <v>923</v>
      </c>
      <c r="F194" t="s">
        <v>724</v>
      </c>
      <c r="G194" t="s">
        <v>226</v>
      </c>
      <c r="H194" t="s">
        <v>10</v>
      </c>
      <c r="I194" t="s">
        <v>1523</v>
      </c>
      <c r="J194">
        <v>19</v>
      </c>
      <c r="K194" t="s">
        <v>1521</v>
      </c>
      <c r="L194" t="s">
        <v>1521</v>
      </c>
      <c r="M194">
        <v>1</v>
      </c>
      <c r="N194">
        <v>0</v>
      </c>
      <c r="O194">
        <v>2</v>
      </c>
      <c r="P194">
        <v>7.8541999999999996</v>
      </c>
      <c r="Q194" t="s">
        <v>1528</v>
      </c>
      <c r="R194" t="s">
        <v>1514</v>
      </c>
    </row>
    <row r="195" spans="1:18" x14ac:dyDescent="0.45">
      <c r="A195">
        <v>194</v>
      </c>
      <c r="B195">
        <v>1</v>
      </c>
      <c r="C195" t="s">
        <v>1</v>
      </c>
      <c r="D195" t="s">
        <v>1554</v>
      </c>
      <c r="E195" t="s">
        <v>924</v>
      </c>
      <c r="F195" t="s">
        <v>725</v>
      </c>
      <c r="G195" t="s">
        <v>189</v>
      </c>
      <c r="H195" t="s">
        <v>9</v>
      </c>
      <c r="I195" t="s">
        <v>1520</v>
      </c>
      <c r="J195">
        <v>3</v>
      </c>
      <c r="K195" t="s">
        <v>1524</v>
      </c>
      <c r="L195" t="s">
        <v>1524</v>
      </c>
      <c r="M195">
        <v>1</v>
      </c>
      <c r="N195">
        <v>1</v>
      </c>
      <c r="O195">
        <v>3</v>
      </c>
      <c r="P195">
        <v>26</v>
      </c>
      <c r="Q195" t="s">
        <v>1528</v>
      </c>
      <c r="R195" t="s">
        <v>1514</v>
      </c>
    </row>
    <row r="196" spans="1:18" x14ac:dyDescent="0.45">
      <c r="A196">
        <v>195</v>
      </c>
      <c r="B196">
        <v>1</v>
      </c>
      <c r="C196" t="s">
        <v>1</v>
      </c>
      <c r="D196" t="s">
        <v>1553</v>
      </c>
      <c r="E196" t="s">
        <v>925</v>
      </c>
      <c r="F196" t="s">
        <v>723</v>
      </c>
      <c r="G196" t="s">
        <v>227</v>
      </c>
      <c r="H196" t="s">
        <v>10</v>
      </c>
      <c r="I196" t="s">
        <v>1523</v>
      </c>
      <c r="J196">
        <v>44</v>
      </c>
      <c r="K196" t="s">
        <v>1521</v>
      </c>
      <c r="L196" t="s">
        <v>1521</v>
      </c>
      <c r="M196">
        <v>0</v>
      </c>
      <c r="N196">
        <v>0</v>
      </c>
      <c r="O196">
        <v>1</v>
      </c>
      <c r="P196" t="s">
        <v>16</v>
      </c>
      <c r="Q196" t="s">
        <v>1528</v>
      </c>
      <c r="R196" t="s">
        <v>1515</v>
      </c>
    </row>
    <row r="197" spans="1:18" x14ac:dyDescent="0.45">
      <c r="A197">
        <v>196</v>
      </c>
      <c r="B197">
        <v>1</v>
      </c>
      <c r="C197" t="s">
        <v>1</v>
      </c>
      <c r="D197" t="s">
        <v>1553</v>
      </c>
      <c r="E197" t="s">
        <v>926</v>
      </c>
      <c r="F197" t="s">
        <v>724</v>
      </c>
      <c r="G197" t="s">
        <v>228</v>
      </c>
      <c r="H197" t="s">
        <v>10</v>
      </c>
      <c r="I197" t="s">
        <v>1523</v>
      </c>
      <c r="J197">
        <v>58</v>
      </c>
      <c r="K197" t="s">
        <v>1521</v>
      </c>
      <c r="L197" t="s">
        <v>1521</v>
      </c>
      <c r="M197">
        <v>0</v>
      </c>
      <c r="N197">
        <v>0</v>
      </c>
      <c r="O197">
        <v>1</v>
      </c>
      <c r="P197" t="s">
        <v>17</v>
      </c>
      <c r="Q197" t="s">
        <v>1528</v>
      </c>
      <c r="R197" t="s">
        <v>1515</v>
      </c>
    </row>
    <row r="198" spans="1:18" x14ac:dyDescent="0.45">
      <c r="A198">
        <v>197</v>
      </c>
      <c r="B198">
        <v>0</v>
      </c>
      <c r="C198" t="s">
        <v>1519</v>
      </c>
      <c r="D198" t="s">
        <v>1552</v>
      </c>
      <c r="E198" t="s">
        <v>927</v>
      </c>
      <c r="F198" t="s">
        <v>722</v>
      </c>
      <c r="G198" t="s">
        <v>229</v>
      </c>
      <c r="H198" t="s">
        <v>9</v>
      </c>
      <c r="I198" t="s">
        <v>1520</v>
      </c>
      <c r="J198">
        <v>28</v>
      </c>
      <c r="K198" t="s">
        <v>1521</v>
      </c>
      <c r="L198" t="s">
        <v>1521</v>
      </c>
      <c r="M198">
        <v>0</v>
      </c>
      <c r="N198">
        <v>0</v>
      </c>
      <c r="O198">
        <v>1</v>
      </c>
      <c r="P198">
        <v>7.75</v>
      </c>
      <c r="Q198" t="s">
        <v>1528</v>
      </c>
      <c r="R198" t="s">
        <v>1516</v>
      </c>
    </row>
    <row r="199" spans="1:18" x14ac:dyDescent="0.45">
      <c r="A199">
        <v>198</v>
      </c>
      <c r="B199">
        <v>0</v>
      </c>
      <c r="C199" t="s">
        <v>1519</v>
      </c>
      <c r="D199" t="s">
        <v>1552</v>
      </c>
      <c r="E199" t="s">
        <v>928</v>
      </c>
      <c r="F199" t="s">
        <v>722</v>
      </c>
      <c r="G199" t="s">
        <v>195</v>
      </c>
      <c r="H199" t="s">
        <v>9</v>
      </c>
      <c r="I199" t="s">
        <v>1520</v>
      </c>
      <c r="J199">
        <v>42</v>
      </c>
      <c r="K199" t="s">
        <v>1521</v>
      </c>
      <c r="L199" t="s">
        <v>1521</v>
      </c>
      <c r="M199">
        <v>0</v>
      </c>
      <c r="N199">
        <v>1</v>
      </c>
      <c r="O199">
        <v>2</v>
      </c>
      <c r="P199" t="s">
        <v>28</v>
      </c>
      <c r="Q199" t="s">
        <v>1528</v>
      </c>
      <c r="R199" t="s">
        <v>1514</v>
      </c>
    </row>
    <row r="200" spans="1:18" x14ac:dyDescent="0.45">
      <c r="A200">
        <v>199</v>
      </c>
      <c r="B200">
        <v>1</v>
      </c>
      <c r="C200" t="s">
        <v>1</v>
      </c>
      <c r="D200" t="s">
        <v>1552</v>
      </c>
      <c r="E200" t="s">
        <v>929</v>
      </c>
      <c r="F200" t="s">
        <v>724</v>
      </c>
      <c r="G200" t="s">
        <v>230</v>
      </c>
      <c r="H200" t="s">
        <v>10</v>
      </c>
      <c r="I200" t="s">
        <v>1523</v>
      </c>
      <c r="J200">
        <v>28</v>
      </c>
      <c r="K200" t="s">
        <v>1521</v>
      </c>
      <c r="L200" t="s">
        <v>1521</v>
      </c>
      <c r="M200">
        <v>0</v>
      </c>
      <c r="N200">
        <v>0</v>
      </c>
      <c r="O200">
        <v>1</v>
      </c>
      <c r="P200">
        <v>7.75</v>
      </c>
      <c r="Q200" t="s">
        <v>1528</v>
      </c>
      <c r="R200" t="s">
        <v>1516</v>
      </c>
    </row>
    <row r="201" spans="1:18" x14ac:dyDescent="0.45">
      <c r="A201">
        <v>200</v>
      </c>
      <c r="B201">
        <v>0</v>
      </c>
      <c r="C201" t="s">
        <v>1519</v>
      </c>
      <c r="D201" t="s">
        <v>1554</v>
      </c>
      <c r="E201" t="s">
        <v>930</v>
      </c>
      <c r="F201" t="s">
        <v>724</v>
      </c>
      <c r="G201" t="s">
        <v>231</v>
      </c>
      <c r="H201" t="s">
        <v>10</v>
      </c>
      <c r="I201" t="s">
        <v>1523</v>
      </c>
      <c r="J201">
        <v>24</v>
      </c>
      <c r="K201" t="s">
        <v>1521</v>
      </c>
      <c r="L201" t="s">
        <v>1521</v>
      </c>
      <c r="M201">
        <v>0</v>
      </c>
      <c r="N201">
        <v>0</v>
      </c>
      <c r="O201">
        <v>1</v>
      </c>
      <c r="P201">
        <v>13</v>
      </c>
      <c r="Q201" t="s">
        <v>1528</v>
      </c>
      <c r="R201" t="s">
        <v>1514</v>
      </c>
    </row>
    <row r="202" spans="1:18" x14ac:dyDescent="0.45">
      <c r="A202">
        <v>201</v>
      </c>
      <c r="B202">
        <v>0</v>
      </c>
      <c r="C202" t="s">
        <v>1519</v>
      </c>
      <c r="D202" t="s">
        <v>1552</v>
      </c>
      <c r="E202" t="s">
        <v>931</v>
      </c>
      <c r="F202" t="s">
        <v>722</v>
      </c>
      <c r="G202" t="s">
        <v>232</v>
      </c>
      <c r="H202" t="s">
        <v>9</v>
      </c>
      <c r="I202" t="s">
        <v>1520</v>
      </c>
      <c r="J202">
        <v>28</v>
      </c>
      <c r="K202" t="s">
        <v>1521</v>
      </c>
      <c r="L202" t="s">
        <v>1521</v>
      </c>
      <c r="M202">
        <v>0</v>
      </c>
      <c r="N202">
        <v>0</v>
      </c>
      <c r="O202">
        <v>1</v>
      </c>
      <c r="P202">
        <v>9.5</v>
      </c>
      <c r="Q202" t="s">
        <v>1528</v>
      </c>
      <c r="R202" t="s">
        <v>1514</v>
      </c>
    </row>
    <row r="203" spans="1:18" x14ac:dyDescent="0.45">
      <c r="A203">
        <v>202</v>
      </c>
      <c r="B203">
        <v>0</v>
      </c>
      <c r="C203" t="s">
        <v>1519</v>
      </c>
      <c r="D203" t="s">
        <v>1552</v>
      </c>
      <c r="E203" t="s">
        <v>932</v>
      </c>
      <c r="F203" t="s">
        <v>722</v>
      </c>
      <c r="G203" t="s">
        <v>199</v>
      </c>
      <c r="H203" t="s">
        <v>9</v>
      </c>
      <c r="I203" t="s">
        <v>1520</v>
      </c>
      <c r="J203">
        <v>28</v>
      </c>
      <c r="K203" t="s">
        <v>1521</v>
      </c>
      <c r="L203" t="s">
        <v>1521</v>
      </c>
      <c r="M203">
        <v>8</v>
      </c>
      <c r="N203">
        <v>2</v>
      </c>
      <c r="O203">
        <v>11</v>
      </c>
      <c r="P203">
        <v>69.55</v>
      </c>
      <c r="Q203" t="s">
        <v>1528</v>
      </c>
      <c r="R203" t="s">
        <v>1514</v>
      </c>
    </row>
    <row r="204" spans="1:18" x14ac:dyDescent="0.45">
      <c r="A204">
        <v>203</v>
      </c>
      <c r="B204">
        <v>0</v>
      </c>
      <c r="C204" t="s">
        <v>1519</v>
      </c>
      <c r="D204" t="s">
        <v>1552</v>
      </c>
      <c r="E204" t="s">
        <v>933</v>
      </c>
      <c r="F204" t="s">
        <v>722</v>
      </c>
      <c r="G204" t="s">
        <v>233</v>
      </c>
      <c r="H204" t="s">
        <v>9</v>
      </c>
      <c r="I204" t="s">
        <v>1520</v>
      </c>
      <c r="J204">
        <v>34</v>
      </c>
      <c r="K204" t="s">
        <v>1521</v>
      </c>
      <c r="L204" t="s">
        <v>1521</v>
      </c>
      <c r="M204">
        <v>0</v>
      </c>
      <c r="N204">
        <v>0</v>
      </c>
      <c r="O204">
        <v>1</v>
      </c>
      <c r="P204">
        <v>6.4958</v>
      </c>
      <c r="Q204" t="s">
        <v>1528</v>
      </c>
      <c r="R204" t="s">
        <v>1514</v>
      </c>
    </row>
    <row r="205" spans="1:18" x14ac:dyDescent="0.45">
      <c r="A205">
        <v>204</v>
      </c>
      <c r="B205">
        <v>0</v>
      </c>
      <c r="C205" t="s">
        <v>1519</v>
      </c>
      <c r="D205" t="s">
        <v>1552</v>
      </c>
      <c r="E205" t="s">
        <v>934</v>
      </c>
      <c r="F205" t="s">
        <v>722</v>
      </c>
      <c r="G205" t="s">
        <v>234</v>
      </c>
      <c r="H205" t="s">
        <v>9</v>
      </c>
      <c r="I205" t="s">
        <v>1520</v>
      </c>
      <c r="J205">
        <v>45.5</v>
      </c>
      <c r="K205" t="s">
        <v>1521</v>
      </c>
      <c r="L205" t="s">
        <v>1521</v>
      </c>
      <c r="M205">
        <v>0</v>
      </c>
      <c r="N205">
        <v>0</v>
      </c>
      <c r="O205">
        <v>1</v>
      </c>
      <c r="P205">
        <v>7.2249999999999996</v>
      </c>
      <c r="Q205" t="s">
        <v>1528</v>
      </c>
      <c r="R205" t="s">
        <v>1515</v>
      </c>
    </row>
    <row r="206" spans="1:18" x14ac:dyDescent="0.45">
      <c r="A206">
        <v>205</v>
      </c>
      <c r="B206">
        <v>1</v>
      </c>
      <c r="C206" t="s">
        <v>1</v>
      </c>
      <c r="D206" t="s">
        <v>1552</v>
      </c>
      <c r="E206" t="s">
        <v>935</v>
      </c>
      <c r="F206" t="s">
        <v>722</v>
      </c>
      <c r="G206" t="s">
        <v>235</v>
      </c>
      <c r="H206" t="s">
        <v>9</v>
      </c>
      <c r="I206" t="s">
        <v>1520</v>
      </c>
      <c r="J206">
        <v>18</v>
      </c>
      <c r="K206" t="s">
        <v>1521</v>
      </c>
      <c r="L206" t="s">
        <v>1521</v>
      </c>
      <c r="M206">
        <v>0</v>
      </c>
      <c r="N206">
        <v>0</v>
      </c>
      <c r="O206">
        <v>1</v>
      </c>
      <c r="P206" t="s">
        <v>12</v>
      </c>
      <c r="Q206" t="s">
        <v>1528</v>
      </c>
      <c r="R206" t="s">
        <v>1514</v>
      </c>
    </row>
    <row r="207" spans="1:18" x14ac:dyDescent="0.45">
      <c r="A207">
        <v>206</v>
      </c>
      <c r="B207">
        <v>0</v>
      </c>
      <c r="C207" t="s">
        <v>1519</v>
      </c>
      <c r="D207" t="s">
        <v>1552</v>
      </c>
      <c r="E207" t="s">
        <v>936</v>
      </c>
      <c r="F207" t="s">
        <v>724</v>
      </c>
      <c r="G207" t="s">
        <v>236</v>
      </c>
      <c r="H207" t="s">
        <v>10</v>
      </c>
      <c r="I207" t="s">
        <v>1523</v>
      </c>
      <c r="J207">
        <v>2</v>
      </c>
      <c r="K207" t="s">
        <v>1524</v>
      </c>
      <c r="L207" t="s">
        <v>1524</v>
      </c>
      <c r="M207">
        <v>0</v>
      </c>
      <c r="N207">
        <v>1</v>
      </c>
      <c r="O207">
        <v>2</v>
      </c>
      <c r="P207" t="s">
        <v>29</v>
      </c>
      <c r="Q207" t="s">
        <v>1528</v>
      </c>
      <c r="R207" t="s">
        <v>1514</v>
      </c>
    </row>
    <row r="208" spans="1:18" x14ac:dyDescent="0.45">
      <c r="A208">
        <v>207</v>
      </c>
      <c r="B208">
        <v>0</v>
      </c>
      <c r="C208" t="s">
        <v>1519</v>
      </c>
      <c r="D208" t="s">
        <v>1552</v>
      </c>
      <c r="E208" t="s">
        <v>937</v>
      </c>
      <c r="F208" t="s">
        <v>722</v>
      </c>
      <c r="G208" t="s">
        <v>136</v>
      </c>
      <c r="H208" t="s">
        <v>9</v>
      </c>
      <c r="I208" t="s">
        <v>1520</v>
      </c>
      <c r="J208">
        <v>32</v>
      </c>
      <c r="K208" t="s">
        <v>1521</v>
      </c>
      <c r="L208" t="s">
        <v>1521</v>
      </c>
      <c r="M208">
        <v>1</v>
      </c>
      <c r="N208">
        <v>0</v>
      </c>
      <c r="O208">
        <v>2</v>
      </c>
      <c r="P208">
        <v>15.85</v>
      </c>
      <c r="Q208" t="s">
        <v>1528</v>
      </c>
      <c r="R208" t="s">
        <v>1514</v>
      </c>
    </row>
    <row r="209" spans="1:18" x14ac:dyDescent="0.45">
      <c r="A209">
        <v>208</v>
      </c>
      <c r="B209">
        <v>1</v>
      </c>
      <c r="C209" t="s">
        <v>1</v>
      </c>
      <c r="D209" t="s">
        <v>1552</v>
      </c>
      <c r="E209" t="s">
        <v>938</v>
      </c>
      <c r="F209" t="s">
        <v>722</v>
      </c>
      <c r="G209" t="s">
        <v>237</v>
      </c>
      <c r="H209" t="s">
        <v>9</v>
      </c>
      <c r="I209" t="s">
        <v>1520</v>
      </c>
      <c r="J209">
        <v>26</v>
      </c>
      <c r="K209" t="s">
        <v>1521</v>
      </c>
      <c r="L209" t="s">
        <v>1521</v>
      </c>
      <c r="M209">
        <v>0</v>
      </c>
      <c r="N209">
        <v>0</v>
      </c>
      <c r="O209">
        <v>1</v>
      </c>
      <c r="P209">
        <v>18.787500000000001</v>
      </c>
      <c r="Q209" t="s">
        <v>1528</v>
      </c>
      <c r="R209" t="s">
        <v>1515</v>
      </c>
    </row>
    <row r="210" spans="1:18" x14ac:dyDescent="0.45">
      <c r="A210">
        <v>209</v>
      </c>
      <c r="B210">
        <v>1</v>
      </c>
      <c r="C210" t="s">
        <v>1</v>
      </c>
      <c r="D210" t="s">
        <v>1552</v>
      </c>
      <c r="E210" t="s">
        <v>939</v>
      </c>
      <c r="F210" t="s">
        <v>724</v>
      </c>
      <c r="G210" t="s">
        <v>238</v>
      </c>
      <c r="H210" t="s">
        <v>10</v>
      </c>
      <c r="I210" t="s">
        <v>1523</v>
      </c>
      <c r="J210">
        <v>16</v>
      </c>
      <c r="K210" t="s">
        <v>1525</v>
      </c>
      <c r="L210" t="s">
        <v>1525</v>
      </c>
      <c r="M210">
        <v>0</v>
      </c>
      <c r="N210">
        <v>0</v>
      </c>
      <c r="O210">
        <v>1</v>
      </c>
      <c r="P210">
        <v>7.75</v>
      </c>
      <c r="Q210" t="s">
        <v>1528</v>
      </c>
      <c r="R210" t="s">
        <v>1516</v>
      </c>
    </row>
    <row r="211" spans="1:18" x14ac:dyDescent="0.45">
      <c r="A211">
        <v>210</v>
      </c>
      <c r="B211">
        <v>1</v>
      </c>
      <c r="C211" t="s">
        <v>1</v>
      </c>
      <c r="D211" t="s">
        <v>1553</v>
      </c>
      <c r="E211" t="s">
        <v>940</v>
      </c>
      <c r="F211" t="s">
        <v>722</v>
      </c>
      <c r="G211" t="s">
        <v>239</v>
      </c>
      <c r="H211" t="s">
        <v>9</v>
      </c>
      <c r="I211" t="s">
        <v>1520</v>
      </c>
      <c r="J211">
        <v>40</v>
      </c>
      <c r="K211" t="s">
        <v>1521</v>
      </c>
      <c r="L211" t="s">
        <v>1521</v>
      </c>
      <c r="M211">
        <v>0</v>
      </c>
      <c r="N211">
        <v>0</v>
      </c>
      <c r="O211">
        <v>1</v>
      </c>
      <c r="P211">
        <v>31</v>
      </c>
      <c r="Q211" t="s">
        <v>1528</v>
      </c>
      <c r="R211" t="s">
        <v>1515</v>
      </c>
    </row>
    <row r="212" spans="1:18" x14ac:dyDescent="0.45">
      <c r="A212">
        <v>211</v>
      </c>
      <c r="B212">
        <v>0</v>
      </c>
      <c r="C212" t="s">
        <v>1519</v>
      </c>
      <c r="D212" t="s">
        <v>1552</v>
      </c>
      <c r="E212" t="s">
        <v>941</v>
      </c>
      <c r="F212" t="s">
        <v>722</v>
      </c>
      <c r="G212" t="s">
        <v>240</v>
      </c>
      <c r="H212" t="s">
        <v>9</v>
      </c>
      <c r="I212" t="s">
        <v>1520</v>
      </c>
      <c r="J212">
        <v>24</v>
      </c>
      <c r="K212" t="s">
        <v>1521</v>
      </c>
      <c r="L212" t="s">
        <v>1521</v>
      </c>
      <c r="M212">
        <v>0</v>
      </c>
      <c r="N212">
        <v>0</v>
      </c>
      <c r="O212">
        <v>1</v>
      </c>
      <c r="P212" t="s">
        <v>22</v>
      </c>
      <c r="Q212" t="s">
        <v>1528</v>
      </c>
      <c r="R212" t="s">
        <v>1514</v>
      </c>
    </row>
    <row r="213" spans="1:18" x14ac:dyDescent="0.45">
      <c r="A213">
        <v>212</v>
      </c>
      <c r="B213">
        <v>1</v>
      </c>
      <c r="C213" t="s">
        <v>1</v>
      </c>
      <c r="D213" t="s">
        <v>1554</v>
      </c>
      <c r="E213" t="s">
        <v>942</v>
      </c>
      <c r="F213" t="s">
        <v>724</v>
      </c>
      <c r="G213" t="s">
        <v>241</v>
      </c>
      <c r="H213" t="s">
        <v>10</v>
      </c>
      <c r="I213" t="s">
        <v>1523</v>
      </c>
      <c r="J213">
        <v>35</v>
      </c>
      <c r="K213" t="s">
        <v>1521</v>
      </c>
      <c r="L213" t="s">
        <v>1521</v>
      </c>
      <c r="M213">
        <v>0</v>
      </c>
      <c r="N213">
        <v>0</v>
      </c>
      <c r="O213">
        <v>1</v>
      </c>
      <c r="P213">
        <v>21</v>
      </c>
      <c r="Q213" t="s">
        <v>1528</v>
      </c>
      <c r="R213" t="s">
        <v>1514</v>
      </c>
    </row>
    <row r="214" spans="1:18" x14ac:dyDescent="0.45">
      <c r="A214">
        <v>213</v>
      </c>
      <c r="B214">
        <v>0</v>
      </c>
      <c r="C214" t="s">
        <v>1519</v>
      </c>
      <c r="D214" t="s">
        <v>1552</v>
      </c>
      <c r="E214" t="s">
        <v>943</v>
      </c>
      <c r="F214" t="s">
        <v>722</v>
      </c>
      <c r="G214" t="s">
        <v>242</v>
      </c>
      <c r="H214" t="s">
        <v>9</v>
      </c>
      <c r="I214" t="s">
        <v>1520</v>
      </c>
      <c r="J214">
        <v>22</v>
      </c>
      <c r="K214" t="s">
        <v>1521</v>
      </c>
      <c r="L214" t="s">
        <v>1521</v>
      </c>
      <c r="M214">
        <v>0</v>
      </c>
      <c r="N214">
        <v>0</v>
      </c>
      <c r="O214">
        <v>1</v>
      </c>
      <c r="P214">
        <v>7.25</v>
      </c>
      <c r="Q214" t="s">
        <v>1528</v>
      </c>
      <c r="R214" t="s">
        <v>1514</v>
      </c>
    </row>
    <row r="215" spans="1:18" x14ac:dyDescent="0.45">
      <c r="A215">
        <v>214</v>
      </c>
      <c r="B215">
        <v>0</v>
      </c>
      <c r="C215" t="s">
        <v>1519</v>
      </c>
      <c r="D215" t="s">
        <v>1554</v>
      </c>
      <c r="E215" t="s">
        <v>944</v>
      </c>
      <c r="F215" t="s">
        <v>722</v>
      </c>
      <c r="G215" t="s">
        <v>243</v>
      </c>
      <c r="H215" t="s">
        <v>9</v>
      </c>
      <c r="I215" t="s">
        <v>1520</v>
      </c>
      <c r="J215">
        <v>30</v>
      </c>
      <c r="K215" t="s">
        <v>1521</v>
      </c>
      <c r="L215" t="s">
        <v>1521</v>
      </c>
      <c r="M215">
        <v>0</v>
      </c>
      <c r="N215">
        <v>0</v>
      </c>
      <c r="O215">
        <v>1</v>
      </c>
      <c r="P215">
        <v>13</v>
      </c>
      <c r="Q215" t="s">
        <v>1528</v>
      </c>
      <c r="R215" t="s">
        <v>1514</v>
      </c>
    </row>
    <row r="216" spans="1:18" x14ac:dyDescent="0.45">
      <c r="A216">
        <v>215</v>
      </c>
      <c r="B216">
        <v>0</v>
      </c>
      <c r="C216" t="s">
        <v>1519</v>
      </c>
      <c r="D216" t="s">
        <v>1552</v>
      </c>
      <c r="E216" t="s">
        <v>945</v>
      </c>
      <c r="F216" t="s">
        <v>722</v>
      </c>
      <c r="G216" t="s">
        <v>244</v>
      </c>
      <c r="H216" t="s">
        <v>9</v>
      </c>
      <c r="I216" t="s">
        <v>1520</v>
      </c>
      <c r="J216">
        <v>28</v>
      </c>
      <c r="K216" t="s">
        <v>1521</v>
      </c>
      <c r="L216" t="s">
        <v>1521</v>
      </c>
      <c r="M216">
        <v>1</v>
      </c>
      <c r="N216">
        <v>0</v>
      </c>
      <c r="O216">
        <v>2</v>
      </c>
      <c r="P216">
        <v>7.75</v>
      </c>
      <c r="Q216" t="s">
        <v>1528</v>
      </c>
      <c r="R216" t="s">
        <v>1516</v>
      </c>
    </row>
    <row r="217" spans="1:18" x14ac:dyDescent="0.45">
      <c r="A217">
        <v>216</v>
      </c>
      <c r="B217">
        <v>1</v>
      </c>
      <c r="C217" t="s">
        <v>1</v>
      </c>
      <c r="D217" t="s">
        <v>1553</v>
      </c>
      <c r="E217" t="s">
        <v>946</v>
      </c>
      <c r="F217" t="s">
        <v>724</v>
      </c>
      <c r="G217" t="s">
        <v>245</v>
      </c>
      <c r="H217" t="s">
        <v>10</v>
      </c>
      <c r="I217" t="s">
        <v>1523</v>
      </c>
      <c r="J217">
        <v>31</v>
      </c>
      <c r="K217" t="s">
        <v>1521</v>
      </c>
      <c r="L217" t="s">
        <v>1521</v>
      </c>
      <c r="M217">
        <v>1</v>
      </c>
      <c r="N217">
        <v>0</v>
      </c>
      <c r="O217">
        <v>2</v>
      </c>
      <c r="P217">
        <v>113.27500000000001</v>
      </c>
      <c r="Q217" t="s">
        <v>1528</v>
      </c>
      <c r="R217" t="s">
        <v>1515</v>
      </c>
    </row>
    <row r="218" spans="1:18" x14ac:dyDescent="0.45">
      <c r="A218">
        <v>217</v>
      </c>
      <c r="B218">
        <v>1</v>
      </c>
      <c r="C218" t="s">
        <v>1</v>
      </c>
      <c r="D218" t="s">
        <v>1552</v>
      </c>
      <c r="E218" t="s">
        <v>947</v>
      </c>
      <c r="F218" t="s">
        <v>724</v>
      </c>
      <c r="G218" t="s">
        <v>246</v>
      </c>
      <c r="H218" t="s">
        <v>10</v>
      </c>
      <c r="I218" t="s">
        <v>1523</v>
      </c>
      <c r="J218">
        <v>27</v>
      </c>
      <c r="K218" t="s">
        <v>1521</v>
      </c>
      <c r="L218" t="s">
        <v>1521</v>
      </c>
      <c r="M218">
        <v>0</v>
      </c>
      <c r="N218">
        <v>0</v>
      </c>
      <c r="O218">
        <v>1</v>
      </c>
      <c r="P218">
        <v>7.9249999999999998</v>
      </c>
      <c r="Q218" t="s">
        <v>1528</v>
      </c>
      <c r="R218" t="s">
        <v>1514</v>
      </c>
    </row>
    <row r="219" spans="1:18" x14ac:dyDescent="0.45">
      <c r="A219">
        <v>218</v>
      </c>
      <c r="B219">
        <v>0</v>
      </c>
      <c r="C219" t="s">
        <v>1519</v>
      </c>
      <c r="D219" t="s">
        <v>1554</v>
      </c>
      <c r="E219" t="s">
        <v>948</v>
      </c>
      <c r="F219" t="s">
        <v>722</v>
      </c>
      <c r="G219" t="s">
        <v>247</v>
      </c>
      <c r="H219" t="s">
        <v>9</v>
      </c>
      <c r="I219" t="s">
        <v>1520</v>
      </c>
      <c r="J219">
        <v>42</v>
      </c>
      <c r="K219" t="s">
        <v>1521</v>
      </c>
      <c r="L219" t="s">
        <v>1521</v>
      </c>
      <c r="M219">
        <v>1</v>
      </c>
      <c r="N219">
        <v>0</v>
      </c>
      <c r="O219">
        <v>2</v>
      </c>
      <c r="P219">
        <v>27</v>
      </c>
      <c r="Q219" t="s">
        <v>1528</v>
      </c>
      <c r="R219" t="s">
        <v>1514</v>
      </c>
    </row>
    <row r="220" spans="1:18" x14ac:dyDescent="0.45">
      <c r="A220">
        <v>219</v>
      </c>
      <c r="B220">
        <v>1</v>
      </c>
      <c r="C220" t="s">
        <v>1</v>
      </c>
      <c r="D220" t="s">
        <v>1553</v>
      </c>
      <c r="E220" t="s">
        <v>949</v>
      </c>
      <c r="F220" t="s">
        <v>724</v>
      </c>
      <c r="G220" t="s">
        <v>248</v>
      </c>
      <c r="H220" t="s">
        <v>10</v>
      </c>
      <c r="I220" t="s">
        <v>1523</v>
      </c>
      <c r="J220">
        <v>32</v>
      </c>
      <c r="K220" t="s">
        <v>1521</v>
      </c>
      <c r="L220" t="s">
        <v>1521</v>
      </c>
      <c r="M220">
        <v>0</v>
      </c>
      <c r="N220">
        <v>0</v>
      </c>
      <c r="O220">
        <v>1</v>
      </c>
      <c r="P220">
        <v>76.291700000000006</v>
      </c>
      <c r="Q220" t="s">
        <v>1528</v>
      </c>
      <c r="R220" t="s">
        <v>1515</v>
      </c>
    </row>
    <row r="221" spans="1:18" x14ac:dyDescent="0.45">
      <c r="A221">
        <v>220</v>
      </c>
      <c r="B221">
        <v>0</v>
      </c>
      <c r="C221" t="s">
        <v>1519</v>
      </c>
      <c r="D221" t="s">
        <v>1554</v>
      </c>
      <c r="E221" t="s">
        <v>950</v>
      </c>
      <c r="F221" t="s">
        <v>722</v>
      </c>
      <c r="G221" t="s">
        <v>115</v>
      </c>
      <c r="H221" t="s">
        <v>9</v>
      </c>
      <c r="I221" t="s">
        <v>1520</v>
      </c>
      <c r="J221">
        <v>30</v>
      </c>
      <c r="K221" t="s">
        <v>1521</v>
      </c>
      <c r="L221" t="s">
        <v>1521</v>
      </c>
      <c r="M221">
        <v>0</v>
      </c>
      <c r="N221">
        <v>0</v>
      </c>
      <c r="O221">
        <v>1</v>
      </c>
      <c r="P221" t="s">
        <v>18</v>
      </c>
      <c r="Q221" t="s">
        <v>1528</v>
      </c>
      <c r="R221" t="s">
        <v>1514</v>
      </c>
    </row>
    <row r="222" spans="1:18" x14ac:dyDescent="0.45">
      <c r="A222">
        <v>221</v>
      </c>
      <c r="B222">
        <v>1</v>
      </c>
      <c r="C222" t="s">
        <v>1</v>
      </c>
      <c r="D222" t="s">
        <v>1552</v>
      </c>
      <c r="E222" t="s">
        <v>951</v>
      </c>
      <c r="F222" t="s">
        <v>722</v>
      </c>
      <c r="G222" t="s">
        <v>249</v>
      </c>
      <c r="H222" t="s">
        <v>9</v>
      </c>
      <c r="I222" t="s">
        <v>1520</v>
      </c>
      <c r="J222">
        <v>16</v>
      </c>
      <c r="K222" t="s">
        <v>1525</v>
      </c>
      <c r="L222" t="s">
        <v>1525</v>
      </c>
      <c r="M222">
        <v>0</v>
      </c>
      <c r="N222">
        <v>0</v>
      </c>
      <c r="O222">
        <v>1</v>
      </c>
      <c r="P222" t="s">
        <v>12</v>
      </c>
      <c r="Q222" t="s">
        <v>1528</v>
      </c>
      <c r="R222" t="s">
        <v>1514</v>
      </c>
    </row>
    <row r="223" spans="1:18" x14ac:dyDescent="0.45">
      <c r="A223">
        <v>222</v>
      </c>
      <c r="B223">
        <v>0</v>
      </c>
      <c r="C223" t="s">
        <v>1519</v>
      </c>
      <c r="D223" t="s">
        <v>1554</v>
      </c>
      <c r="E223" t="s">
        <v>952</v>
      </c>
      <c r="F223" t="s">
        <v>722</v>
      </c>
      <c r="G223" t="s">
        <v>250</v>
      </c>
      <c r="H223" t="s">
        <v>9</v>
      </c>
      <c r="I223" t="s">
        <v>1520</v>
      </c>
      <c r="J223">
        <v>27</v>
      </c>
      <c r="K223" t="s">
        <v>1521</v>
      </c>
      <c r="L223" t="s">
        <v>1521</v>
      </c>
      <c r="M223">
        <v>0</v>
      </c>
      <c r="N223">
        <v>0</v>
      </c>
      <c r="O223">
        <v>1</v>
      </c>
      <c r="P223">
        <v>13</v>
      </c>
      <c r="Q223" t="s">
        <v>1528</v>
      </c>
      <c r="R223" t="s">
        <v>1514</v>
      </c>
    </row>
    <row r="224" spans="1:18" x14ac:dyDescent="0.45">
      <c r="A224">
        <v>223</v>
      </c>
      <c r="B224">
        <v>0</v>
      </c>
      <c r="C224" t="s">
        <v>1519</v>
      </c>
      <c r="D224" t="s">
        <v>1552</v>
      </c>
      <c r="E224" t="s">
        <v>953</v>
      </c>
      <c r="F224" t="s">
        <v>722</v>
      </c>
      <c r="G224" t="s">
        <v>251</v>
      </c>
      <c r="H224" t="s">
        <v>9</v>
      </c>
      <c r="I224" t="s">
        <v>1520</v>
      </c>
      <c r="J224">
        <v>51</v>
      </c>
      <c r="K224" t="s">
        <v>1521</v>
      </c>
      <c r="L224" t="s">
        <v>1521</v>
      </c>
      <c r="M224">
        <v>0</v>
      </c>
      <c r="N224">
        <v>0</v>
      </c>
      <c r="O224">
        <v>1</v>
      </c>
      <c r="P224" t="s">
        <v>12</v>
      </c>
      <c r="Q224" t="s">
        <v>1528</v>
      </c>
      <c r="R224" t="s">
        <v>1514</v>
      </c>
    </row>
    <row r="225" spans="1:18" x14ac:dyDescent="0.45">
      <c r="A225">
        <v>224</v>
      </c>
      <c r="B225">
        <v>0</v>
      </c>
      <c r="C225" t="s">
        <v>1519</v>
      </c>
      <c r="D225" t="s">
        <v>1552</v>
      </c>
      <c r="E225" t="s">
        <v>954</v>
      </c>
      <c r="F225" t="s">
        <v>722</v>
      </c>
      <c r="G225" t="s">
        <v>252</v>
      </c>
      <c r="H225" t="s">
        <v>9</v>
      </c>
      <c r="I225" t="s">
        <v>1520</v>
      </c>
      <c r="J225">
        <v>28</v>
      </c>
      <c r="K225" t="s">
        <v>1521</v>
      </c>
      <c r="L225" t="s">
        <v>1521</v>
      </c>
      <c r="M225">
        <v>0</v>
      </c>
      <c r="N225">
        <v>0</v>
      </c>
      <c r="O225">
        <v>1</v>
      </c>
      <c r="P225">
        <v>7.8958000000000004</v>
      </c>
      <c r="Q225" t="s">
        <v>1528</v>
      </c>
      <c r="R225" t="s">
        <v>1514</v>
      </c>
    </row>
    <row r="226" spans="1:18" x14ac:dyDescent="0.45">
      <c r="A226">
        <v>225</v>
      </c>
      <c r="B226">
        <v>1</v>
      </c>
      <c r="C226" t="s">
        <v>1</v>
      </c>
      <c r="D226" t="s">
        <v>1553</v>
      </c>
      <c r="E226" t="s">
        <v>955</v>
      </c>
      <c r="F226" t="s">
        <v>722</v>
      </c>
      <c r="G226" t="s">
        <v>253</v>
      </c>
      <c r="H226" t="s">
        <v>9</v>
      </c>
      <c r="I226" t="s">
        <v>1520</v>
      </c>
      <c r="J226">
        <v>38</v>
      </c>
      <c r="K226" t="s">
        <v>1521</v>
      </c>
      <c r="L226" t="s">
        <v>1521</v>
      </c>
      <c r="M226">
        <v>1</v>
      </c>
      <c r="N226">
        <v>0</v>
      </c>
      <c r="O226">
        <v>2</v>
      </c>
      <c r="P226">
        <v>914.45420000000001</v>
      </c>
      <c r="Q226" t="s">
        <v>1528</v>
      </c>
      <c r="R226" t="s">
        <v>1514</v>
      </c>
    </row>
    <row r="227" spans="1:18" x14ac:dyDescent="0.45">
      <c r="A227">
        <v>226</v>
      </c>
      <c r="B227">
        <v>0</v>
      </c>
      <c r="C227" t="s">
        <v>1519</v>
      </c>
      <c r="D227" t="s">
        <v>1552</v>
      </c>
      <c r="E227" t="s">
        <v>956</v>
      </c>
      <c r="F227" t="s">
        <v>722</v>
      </c>
      <c r="G227" t="s">
        <v>254</v>
      </c>
      <c r="H227" t="s">
        <v>9</v>
      </c>
      <c r="I227" t="s">
        <v>1520</v>
      </c>
      <c r="J227">
        <v>22</v>
      </c>
      <c r="K227" t="s">
        <v>1521</v>
      </c>
      <c r="L227" t="s">
        <v>1521</v>
      </c>
      <c r="M227">
        <v>0</v>
      </c>
      <c r="N227">
        <v>0</v>
      </c>
      <c r="O227">
        <v>1</v>
      </c>
      <c r="P227">
        <v>9.35</v>
      </c>
      <c r="Q227" t="s">
        <v>1528</v>
      </c>
      <c r="R227" t="s">
        <v>1514</v>
      </c>
    </row>
    <row r="228" spans="1:18" x14ac:dyDescent="0.45">
      <c r="A228">
        <v>227</v>
      </c>
      <c r="B228">
        <v>1</v>
      </c>
      <c r="C228" t="s">
        <v>1</v>
      </c>
      <c r="D228" t="s">
        <v>1554</v>
      </c>
      <c r="E228" t="s">
        <v>783</v>
      </c>
      <c r="F228" t="s">
        <v>722</v>
      </c>
      <c r="G228" t="s">
        <v>255</v>
      </c>
      <c r="H228" t="s">
        <v>9</v>
      </c>
      <c r="I228" t="s">
        <v>1520</v>
      </c>
      <c r="J228">
        <v>19</v>
      </c>
      <c r="K228" t="s">
        <v>1521</v>
      </c>
      <c r="L228" t="s">
        <v>1521</v>
      </c>
      <c r="M228">
        <v>0</v>
      </c>
      <c r="N228">
        <v>0</v>
      </c>
      <c r="O228">
        <v>1</v>
      </c>
      <c r="P228" t="s">
        <v>18</v>
      </c>
      <c r="Q228" t="s">
        <v>1528</v>
      </c>
      <c r="R228" t="s">
        <v>1514</v>
      </c>
    </row>
    <row r="229" spans="1:18" x14ac:dyDescent="0.45">
      <c r="A229">
        <v>228</v>
      </c>
      <c r="B229">
        <v>0</v>
      </c>
      <c r="C229" t="s">
        <v>1519</v>
      </c>
      <c r="D229" t="s">
        <v>1552</v>
      </c>
      <c r="E229" t="s">
        <v>957</v>
      </c>
      <c r="F229" t="s">
        <v>722</v>
      </c>
      <c r="G229" t="s">
        <v>256</v>
      </c>
      <c r="H229" t="s">
        <v>9</v>
      </c>
      <c r="I229" t="s">
        <v>1520</v>
      </c>
      <c r="J229">
        <v>20.5</v>
      </c>
      <c r="K229" t="s">
        <v>1521</v>
      </c>
      <c r="L229" t="s">
        <v>1521</v>
      </c>
      <c r="M229">
        <v>0</v>
      </c>
      <c r="N229">
        <v>0</v>
      </c>
      <c r="O229">
        <v>1</v>
      </c>
      <c r="P229">
        <v>7.25</v>
      </c>
      <c r="Q229" t="s">
        <v>1528</v>
      </c>
      <c r="R229" t="s">
        <v>1514</v>
      </c>
    </row>
    <row r="230" spans="1:18" x14ac:dyDescent="0.45">
      <c r="A230">
        <v>229</v>
      </c>
      <c r="B230">
        <v>0</v>
      </c>
      <c r="C230" t="s">
        <v>1519</v>
      </c>
      <c r="D230" t="s">
        <v>1554</v>
      </c>
      <c r="E230" t="s">
        <v>958</v>
      </c>
      <c r="F230" t="s">
        <v>722</v>
      </c>
      <c r="G230" t="s">
        <v>257</v>
      </c>
      <c r="H230" t="s">
        <v>9</v>
      </c>
      <c r="I230" t="s">
        <v>1520</v>
      </c>
      <c r="J230">
        <v>18</v>
      </c>
      <c r="K230" t="s">
        <v>1521</v>
      </c>
      <c r="L230" t="s">
        <v>1521</v>
      </c>
      <c r="M230">
        <v>0</v>
      </c>
      <c r="N230">
        <v>0</v>
      </c>
      <c r="O230">
        <v>1</v>
      </c>
      <c r="P230">
        <v>13</v>
      </c>
      <c r="Q230" t="s">
        <v>1528</v>
      </c>
      <c r="R230" t="s">
        <v>1514</v>
      </c>
    </row>
    <row r="231" spans="1:18" x14ac:dyDescent="0.45">
      <c r="A231">
        <v>230</v>
      </c>
      <c r="B231">
        <v>0</v>
      </c>
      <c r="C231" t="s">
        <v>1519</v>
      </c>
      <c r="D231" t="s">
        <v>1552</v>
      </c>
      <c r="E231" t="s">
        <v>959</v>
      </c>
      <c r="F231" t="s">
        <v>724</v>
      </c>
      <c r="G231" t="s">
        <v>212</v>
      </c>
      <c r="H231" t="s">
        <v>10</v>
      </c>
      <c r="I231" t="s">
        <v>1523</v>
      </c>
      <c r="J231">
        <v>28</v>
      </c>
      <c r="K231" t="s">
        <v>1521</v>
      </c>
      <c r="L231" t="s">
        <v>1521</v>
      </c>
      <c r="M231">
        <v>3</v>
      </c>
      <c r="N231">
        <v>1</v>
      </c>
      <c r="O231">
        <v>5</v>
      </c>
      <c r="P231">
        <v>25.466699999999999</v>
      </c>
      <c r="Q231" t="s">
        <v>1528</v>
      </c>
      <c r="R231" t="s">
        <v>1514</v>
      </c>
    </row>
    <row r="232" spans="1:18" x14ac:dyDescent="0.45">
      <c r="A232">
        <v>231</v>
      </c>
      <c r="B232">
        <v>1</v>
      </c>
      <c r="C232" t="s">
        <v>1</v>
      </c>
      <c r="D232" t="s">
        <v>1553</v>
      </c>
      <c r="E232" t="s">
        <v>960</v>
      </c>
      <c r="F232" t="s">
        <v>723</v>
      </c>
      <c r="G232" t="s">
        <v>115</v>
      </c>
      <c r="H232" t="s">
        <v>10</v>
      </c>
      <c r="I232" t="s">
        <v>1523</v>
      </c>
      <c r="J232">
        <v>35</v>
      </c>
      <c r="K232" t="s">
        <v>1521</v>
      </c>
      <c r="L232" t="s">
        <v>1521</v>
      </c>
      <c r="M232">
        <v>1</v>
      </c>
      <c r="N232">
        <v>0</v>
      </c>
      <c r="O232">
        <v>2</v>
      </c>
      <c r="P232">
        <v>83.474999999999994</v>
      </c>
      <c r="Q232" t="s">
        <v>1528</v>
      </c>
      <c r="R232" t="s">
        <v>1514</v>
      </c>
    </row>
    <row r="233" spans="1:18" x14ac:dyDescent="0.45">
      <c r="A233">
        <v>232</v>
      </c>
      <c r="B233">
        <v>0</v>
      </c>
      <c r="C233" t="s">
        <v>1519</v>
      </c>
      <c r="D233" t="s">
        <v>1552</v>
      </c>
      <c r="E233" t="s">
        <v>961</v>
      </c>
      <c r="F233" t="s">
        <v>722</v>
      </c>
      <c r="G233" t="s">
        <v>258</v>
      </c>
      <c r="H233" t="s">
        <v>9</v>
      </c>
      <c r="I233" t="s">
        <v>1520</v>
      </c>
      <c r="J233">
        <v>29</v>
      </c>
      <c r="K233" t="s">
        <v>1521</v>
      </c>
      <c r="L233" t="s">
        <v>1521</v>
      </c>
      <c r="M233">
        <v>0</v>
      </c>
      <c r="N233">
        <v>0</v>
      </c>
      <c r="O233">
        <v>1</v>
      </c>
      <c r="P233">
        <v>7.7750000000000004</v>
      </c>
      <c r="Q233" t="s">
        <v>1528</v>
      </c>
      <c r="R233" t="s">
        <v>1514</v>
      </c>
    </row>
    <row r="234" spans="1:18" x14ac:dyDescent="0.45">
      <c r="A234">
        <v>233</v>
      </c>
      <c r="B234">
        <v>0</v>
      </c>
      <c r="C234" t="s">
        <v>1519</v>
      </c>
      <c r="D234" t="s">
        <v>1554</v>
      </c>
      <c r="E234" t="s">
        <v>962</v>
      </c>
      <c r="F234" t="s">
        <v>722</v>
      </c>
      <c r="G234" t="s">
        <v>259</v>
      </c>
      <c r="H234" t="s">
        <v>9</v>
      </c>
      <c r="I234" t="s">
        <v>1520</v>
      </c>
      <c r="J234">
        <v>59</v>
      </c>
      <c r="K234" t="s">
        <v>1521</v>
      </c>
      <c r="L234" t="s">
        <v>1521</v>
      </c>
      <c r="M234">
        <v>0</v>
      </c>
      <c r="N234">
        <v>0</v>
      </c>
      <c r="O234">
        <v>1</v>
      </c>
      <c r="P234">
        <v>13.5</v>
      </c>
      <c r="Q234" t="s">
        <v>1528</v>
      </c>
      <c r="R234" t="s">
        <v>1514</v>
      </c>
    </row>
    <row r="235" spans="1:18" x14ac:dyDescent="0.45">
      <c r="A235">
        <v>234</v>
      </c>
      <c r="B235">
        <v>1</v>
      </c>
      <c r="C235" t="s">
        <v>1</v>
      </c>
      <c r="D235" t="s">
        <v>1552</v>
      </c>
      <c r="E235" t="s">
        <v>963</v>
      </c>
      <c r="F235" t="s">
        <v>724</v>
      </c>
      <c r="G235" t="s">
        <v>79</v>
      </c>
      <c r="H235" t="s">
        <v>10</v>
      </c>
      <c r="I235" t="s">
        <v>1523</v>
      </c>
      <c r="J235">
        <v>5</v>
      </c>
      <c r="K235" t="s">
        <v>1524</v>
      </c>
      <c r="L235" t="s">
        <v>1524</v>
      </c>
      <c r="M235">
        <v>4</v>
      </c>
      <c r="N235">
        <v>2</v>
      </c>
      <c r="O235">
        <v>7</v>
      </c>
      <c r="P235">
        <v>31.387499999999999</v>
      </c>
      <c r="Q235" t="s">
        <v>1528</v>
      </c>
      <c r="R235" t="s">
        <v>1514</v>
      </c>
    </row>
    <row r="236" spans="1:18" x14ac:dyDescent="0.45">
      <c r="A236">
        <v>235</v>
      </c>
      <c r="B236">
        <v>0</v>
      </c>
      <c r="C236" t="s">
        <v>1519</v>
      </c>
      <c r="D236" t="s">
        <v>1554</v>
      </c>
      <c r="E236" t="s">
        <v>964</v>
      </c>
      <c r="F236" t="s">
        <v>722</v>
      </c>
      <c r="G236" t="s">
        <v>260</v>
      </c>
      <c r="H236" t="s">
        <v>9</v>
      </c>
      <c r="I236" t="s">
        <v>1520</v>
      </c>
      <c r="J236">
        <v>24</v>
      </c>
      <c r="K236" t="s">
        <v>1521</v>
      </c>
      <c r="L236" t="s">
        <v>1521</v>
      </c>
      <c r="M236">
        <v>0</v>
      </c>
      <c r="N236">
        <v>0</v>
      </c>
      <c r="O236">
        <v>1</v>
      </c>
      <c r="P236" t="s">
        <v>18</v>
      </c>
      <c r="Q236" t="s">
        <v>1528</v>
      </c>
      <c r="R236" t="s">
        <v>1514</v>
      </c>
    </row>
    <row r="237" spans="1:18" x14ac:dyDescent="0.45">
      <c r="A237">
        <v>236</v>
      </c>
      <c r="B237">
        <v>0</v>
      </c>
      <c r="C237" t="s">
        <v>1519</v>
      </c>
      <c r="D237" t="s">
        <v>1552</v>
      </c>
      <c r="E237" t="s">
        <v>965</v>
      </c>
      <c r="F237" t="s">
        <v>724</v>
      </c>
      <c r="G237" t="s">
        <v>261</v>
      </c>
      <c r="H237" t="s">
        <v>10</v>
      </c>
      <c r="I237" t="s">
        <v>1523</v>
      </c>
      <c r="J237">
        <v>28</v>
      </c>
      <c r="K237" t="s">
        <v>1521</v>
      </c>
      <c r="L237" t="s">
        <v>1521</v>
      </c>
      <c r="M237">
        <v>0</v>
      </c>
      <c r="N237">
        <v>0</v>
      </c>
      <c r="O237">
        <v>1</v>
      </c>
      <c r="P237">
        <v>7.55</v>
      </c>
      <c r="Q237" t="s">
        <v>1528</v>
      </c>
      <c r="R237" t="s">
        <v>1514</v>
      </c>
    </row>
    <row r="238" spans="1:18" x14ac:dyDescent="0.45">
      <c r="A238">
        <v>237</v>
      </c>
      <c r="B238">
        <v>0</v>
      </c>
      <c r="C238" t="s">
        <v>1519</v>
      </c>
      <c r="D238" t="s">
        <v>1554</v>
      </c>
      <c r="E238" t="s">
        <v>966</v>
      </c>
      <c r="F238" t="s">
        <v>722</v>
      </c>
      <c r="G238" t="s">
        <v>262</v>
      </c>
      <c r="H238" t="s">
        <v>9</v>
      </c>
      <c r="I238" t="s">
        <v>1520</v>
      </c>
      <c r="J238">
        <v>44</v>
      </c>
      <c r="K238" t="s">
        <v>1521</v>
      </c>
      <c r="L238" t="s">
        <v>1521</v>
      </c>
      <c r="M238">
        <v>1</v>
      </c>
      <c r="N238">
        <v>0</v>
      </c>
      <c r="O238">
        <v>2</v>
      </c>
      <c r="P238">
        <v>26</v>
      </c>
      <c r="Q238" t="s">
        <v>1528</v>
      </c>
      <c r="R238" t="s">
        <v>1514</v>
      </c>
    </row>
    <row r="239" spans="1:18" x14ac:dyDescent="0.45">
      <c r="A239">
        <v>238</v>
      </c>
      <c r="B239">
        <v>1</v>
      </c>
      <c r="C239" t="s">
        <v>1</v>
      </c>
      <c r="D239" t="s">
        <v>1554</v>
      </c>
      <c r="E239" t="s">
        <v>967</v>
      </c>
      <c r="F239" t="s">
        <v>724</v>
      </c>
      <c r="G239" t="s">
        <v>263</v>
      </c>
      <c r="H239" t="s">
        <v>10</v>
      </c>
      <c r="I239" t="s">
        <v>1523</v>
      </c>
      <c r="J239">
        <v>8</v>
      </c>
      <c r="K239" t="s">
        <v>1524</v>
      </c>
      <c r="L239" t="s">
        <v>1524</v>
      </c>
      <c r="M239">
        <v>0</v>
      </c>
      <c r="N239">
        <v>2</v>
      </c>
      <c r="O239">
        <v>3</v>
      </c>
      <c r="P239">
        <v>26.25</v>
      </c>
      <c r="Q239" t="s">
        <v>1528</v>
      </c>
      <c r="R239" t="s">
        <v>1514</v>
      </c>
    </row>
    <row r="240" spans="1:18" x14ac:dyDescent="0.45">
      <c r="A240">
        <v>239</v>
      </c>
      <c r="B240">
        <v>0</v>
      </c>
      <c r="C240" t="s">
        <v>1519</v>
      </c>
      <c r="D240" t="s">
        <v>1554</v>
      </c>
      <c r="E240" t="s">
        <v>968</v>
      </c>
      <c r="F240" t="s">
        <v>722</v>
      </c>
      <c r="G240" t="s">
        <v>264</v>
      </c>
      <c r="H240" t="s">
        <v>9</v>
      </c>
      <c r="I240" t="s">
        <v>1520</v>
      </c>
      <c r="J240">
        <v>19</v>
      </c>
      <c r="K240" t="s">
        <v>1521</v>
      </c>
      <c r="L240" t="s">
        <v>1521</v>
      </c>
      <c r="M240">
        <v>0</v>
      </c>
      <c r="N240">
        <v>0</v>
      </c>
      <c r="O240">
        <v>1</v>
      </c>
      <c r="P240" t="s">
        <v>18</v>
      </c>
      <c r="Q240" t="s">
        <v>1528</v>
      </c>
      <c r="R240" t="s">
        <v>1514</v>
      </c>
    </row>
    <row r="241" spans="1:18" x14ac:dyDescent="0.45">
      <c r="A241">
        <v>240</v>
      </c>
      <c r="B241">
        <v>0</v>
      </c>
      <c r="C241" t="s">
        <v>1519</v>
      </c>
      <c r="D241" t="s">
        <v>1554</v>
      </c>
      <c r="E241" t="s">
        <v>953</v>
      </c>
      <c r="F241" t="s">
        <v>722</v>
      </c>
      <c r="G241" t="s">
        <v>265</v>
      </c>
      <c r="H241" t="s">
        <v>9</v>
      </c>
      <c r="I241" t="s">
        <v>1520</v>
      </c>
      <c r="J241">
        <v>33</v>
      </c>
      <c r="K241" t="s">
        <v>1521</v>
      </c>
      <c r="L241" t="s">
        <v>1521</v>
      </c>
      <c r="M241">
        <v>0</v>
      </c>
      <c r="N241">
        <v>0</v>
      </c>
      <c r="O241">
        <v>1</v>
      </c>
      <c r="P241">
        <v>12.275</v>
      </c>
      <c r="Q241" t="s">
        <v>1528</v>
      </c>
      <c r="R241" t="s">
        <v>1514</v>
      </c>
    </row>
    <row r="242" spans="1:18" x14ac:dyDescent="0.45">
      <c r="A242">
        <v>241</v>
      </c>
      <c r="B242">
        <v>0</v>
      </c>
      <c r="C242" t="s">
        <v>1519</v>
      </c>
      <c r="D242" t="s">
        <v>1552</v>
      </c>
      <c r="E242" t="s">
        <v>969</v>
      </c>
      <c r="F242" t="s">
        <v>724</v>
      </c>
      <c r="G242" t="s">
        <v>160</v>
      </c>
      <c r="H242" t="s">
        <v>10</v>
      </c>
      <c r="I242" t="s">
        <v>1523</v>
      </c>
      <c r="J242">
        <v>28</v>
      </c>
      <c r="K242" t="s">
        <v>1521</v>
      </c>
      <c r="L242" t="s">
        <v>1521</v>
      </c>
      <c r="M242">
        <v>1</v>
      </c>
      <c r="N242">
        <v>0</v>
      </c>
      <c r="O242">
        <v>2</v>
      </c>
      <c r="P242">
        <v>14.4542</v>
      </c>
      <c r="Q242" t="s">
        <v>1528</v>
      </c>
      <c r="R242" t="s">
        <v>1515</v>
      </c>
    </row>
    <row r="243" spans="1:18" x14ac:dyDescent="0.45">
      <c r="A243">
        <v>242</v>
      </c>
      <c r="B243">
        <v>1</v>
      </c>
      <c r="C243" t="s">
        <v>1</v>
      </c>
      <c r="D243" t="s">
        <v>1552</v>
      </c>
      <c r="E243" t="s">
        <v>970</v>
      </c>
      <c r="F243" t="s">
        <v>724</v>
      </c>
      <c r="G243" t="s">
        <v>266</v>
      </c>
      <c r="H243" t="s">
        <v>10</v>
      </c>
      <c r="I243" t="s">
        <v>1523</v>
      </c>
      <c r="J243">
        <v>28</v>
      </c>
      <c r="K243" t="s">
        <v>1521</v>
      </c>
      <c r="L243" t="s">
        <v>1521</v>
      </c>
      <c r="M243">
        <v>1</v>
      </c>
      <c r="N243">
        <v>0</v>
      </c>
      <c r="O243">
        <v>2</v>
      </c>
      <c r="P243">
        <v>15.5</v>
      </c>
      <c r="Q243" t="s">
        <v>1528</v>
      </c>
      <c r="R243" t="s">
        <v>1516</v>
      </c>
    </row>
    <row r="244" spans="1:18" x14ac:dyDescent="0.45">
      <c r="A244">
        <v>243</v>
      </c>
      <c r="B244">
        <v>0</v>
      </c>
      <c r="C244" t="s">
        <v>1519</v>
      </c>
      <c r="D244" t="s">
        <v>1554</v>
      </c>
      <c r="E244" t="s">
        <v>971</v>
      </c>
      <c r="F244" t="s">
        <v>722</v>
      </c>
      <c r="G244" t="s">
        <v>267</v>
      </c>
      <c r="H244" t="s">
        <v>9</v>
      </c>
      <c r="I244" t="s">
        <v>1520</v>
      </c>
      <c r="J244">
        <v>29</v>
      </c>
      <c r="K244" t="s">
        <v>1521</v>
      </c>
      <c r="L244" t="s">
        <v>1521</v>
      </c>
      <c r="M244">
        <v>0</v>
      </c>
      <c r="N244">
        <v>0</v>
      </c>
      <c r="O244">
        <v>1</v>
      </c>
      <c r="P244" t="s">
        <v>18</v>
      </c>
      <c r="Q244" t="s">
        <v>1528</v>
      </c>
      <c r="R244" t="s">
        <v>1514</v>
      </c>
    </row>
    <row r="245" spans="1:18" x14ac:dyDescent="0.45">
      <c r="A245">
        <v>244</v>
      </c>
      <c r="B245">
        <v>0</v>
      </c>
      <c r="C245" t="s">
        <v>1519</v>
      </c>
      <c r="D245" t="s">
        <v>1552</v>
      </c>
      <c r="E245" t="s">
        <v>972</v>
      </c>
      <c r="F245" t="s">
        <v>722</v>
      </c>
      <c r="G245" t="s">
        <v>268</v>
      </c>
      <c r="H245" t="s">
        <v>9</v>
      </c>
      <c r="I245" t="s">
        <v>1520</v>
      </c>
      <c r="J245">
        <v>22</v>
      </c>
      <c r="K245" t="s">
        <v>1521</v>
      </c>
      <c r="L245" t="s">
        <v>1521</v>
      </c>
      <c r="M245">
        <v>0</v>
      </c>
      <c r="N245">
        <v>0</v>
      </c>
      <c r="O245">
        <v>1</v>
      </c>
      <c r="P245">
        <v>7.125</v>
      </c>
      <c r="Q245" t="s">
        <v>1528</v>
      </c>
      <c r="R245" t="s">
        <v>1514</v>
      </c>
    </row>
    <row r="246" spans="1:18" x14ac:dyDescent="0.45">
      <c r="A246">
        <v>245</v>
      </c>
      <c r="B246">
        <v>0</v>
      </c>
      <c r="C246" t="s">
        <v>1519</v>
      </c>
      <c r="D246" t="s">
        <v>1552</v>
      </c>
      <c r="E246" t="s">
        <v>973</v>
      </c>
      <c r="F246" t="s">
        <v>722</v>
      </c>
      <c r="G246" t="s">
        <v>163</v>
      </c>
      <c r="H246" t="s">
        <v>9</v>
      </c>
      <c r="I246" t="s">
        <v>1520</v>
      </c>
      <c r="J246">
        <v>30</v>
      </c>
      <c r="K246" t="s">
        <v>1521</v>
      </c>
      <c r="L246" t="s">
        <v>1521</v>
      </c>
      <c r="M246">
        <v>0</v>
      </c>
      <c r="N246">
        <v>0</v>
      </c>
      <c r="O246">
        <v>1</v>
      </c>
      <c r="P246">
        <v>7.2249999999999996</v>
      </c>
      <c r="Q246" t="s">
        <v>1528</v>
      </c>
      <c r="R246" t="s">
        <v>1515</v>
      </c>
    </row>
    <row r="247" spans="1:18" x14ac:dyDescent="0.45">
      <c r="A247">
        <v>246</v>
      </c>
      <c r="B247">
        <v>0</v>
      </c>
      <c r="C247" t="s">
        <v>1519</v>
      </c>
      <c r="D247" t="s">
        <v>1553</v>
      </c>
      <c r="E247" t="s">
        <v>974</v>
      </c>
      <c r="F247" t="s">
        <v>728</v>
      </c>
      <c r="G247" t="s">
        <v>269</v>
      </c>
      <c r="H247" t="s">
        <v>9</v>
      </c>
      <c r="I247" t="s">
        <v>1520</v>
      </c>
      <c r="J247">
        <v>44</v>
      </c>
      <c r="K247" t="s">
        <v>1521</v>
      </c>
      <c r="L247" t="s">
        <v>1521</v>
      </c>
      <c r="M247">
        <v>2</v>
      </c>
      <c r="N247">
        <v>0</v>
      </c>
      <c r="O247">
        <v>3</v>
      </c>
      <c r="P247">
        <v>914.45420000000001</v>
      </c>
      <c r="Q247" t="s">
        <v>1528</v>
      </c>
      <c r="R247" t="s">
        <v>1516</v>
      </c>
    </row>
    <row r="248" spans="1:18" x14ac:dyDescent="0.45">
      <c r="A248">
        <v>247</v>
      </c>
      <c r="B248">
        <v>0</v>
      </c>
      <c r="C248" t="s">
        <v>1519</v>
      </c>
      <c r="D248" t="s">
        <v>1552</v>
      </c>
      <c r="E248" t="s">
        <v>975</v>
      </c>
      <c r="F248" t="s">
        <v>724</v>
      </c>
      <c r="G248" t="s">
        <v>270</v>
      </c>
      <c r="H248" t="s">
        <v>10</v>
      </c>
      <c r="I248" t="s">
        <v>1523</v>
      </c>
      <c r="J248">
        <v>25</v>
      </c>
      <c r="K248" t="s">
        <v>1521</v>
      </c>
      <c r="L248" t="s">
        <v>1521</v>
      </c>
      <c r="M248">
        <v>0</v>
      </c>
      <c r="N248">
        <v>0</v>
      </c>
      <c r="O248">
        <v>1</v>
      </c>
      <c r="P248">
        <v>7.7750000000000004</v>
      </c>
      <c r="Q248" t="s">
        <v>1528</v>
      </c>
      <c r="R248" t="s">
        <v>1514</v>
      </c>
    </row>
    <row r="249" spans="1:18" x14ac:dyDescent="0.45">
      <c r="A249">
        <v>248</v>
      </c>
      <c r="B249">
        <v>1</v>
      </c>
      <c r="C249" t="s">
        <v>1</v>
      </c>
      <c r="D249" t="s">
        <v>1554</v>
      </c>
      <c r="E249" t="s">
        <v>901</v>
      </c>
      <c r="F249" t="s">
        <v>723</v>
      </c>
      <c r="G249" t="s">
        <v>271</v>
      </c>
      <c r="H249" t="s">
        <v>10</v>
      </c>
      <c r="I249" t="s">
        <v>1523</v>
      </c>
      <c r="J249">
        <v>24</v>
      </c>
      <c r="K249" t="s">
        <v>1521</v>
      </c>
      <c r="L249" t="s">
        <v>1521</v>
      </c>
      <c r="M249">
        <v>0</v>
      </c>
      <c r="N249">
        <v>2</v>
      </c>
      <c r="O249">
        <v>3</v>
      </c>
      <c r="P249">
        <v>14.5</v>
      </c>
      <c r="Q249" t="s">
        <v>1528</v>
      </c>
      <c r="R249" t="s">
        <v>1514</v>
      </c>
    </row>
    <row r="250" spans="1:18" x14ac:dyDescent="0.45">
      <c r="A250">
        <v>249</v>
      </c>
      <c r="B250">
        <v>1</v>
      </c>
      <c r="C250" t="s">
        <v>1</v>
      </c>
      <c r="D250" t="s">
        <v>1553</v>
      </c>
      <c r="E250" t="s">
        <v>976</v>
      </c>
      <c r="F250" t="s">
        <v>722</v>
      </c>
      <c r="G250" t="s">
        <v>272</v>
      </c>
      <c r="H250" t="s">
        <v>9</v>
      </c>
      <c r="I250" t="s">
        <v>1520</v>
      </c>
      <c r="J250">
        <v>37</v>
      </c>
      <c r="K250" t="s">
        <v>1521</v>
      </c>
      <c r="L250" t="s">
        <v>1521</v>
      </c>
      <c r="M250">
        <v>1</v>
      </c>
      <c r="N250">
        <v>1</v>
      </c>
      <c r="O250">
        <v>3</v>
      </c>
      <c r="P250">
        <v>52.554200000000002</v>
      </c>
      <c r="Q250" t="s">
        <v>1528</v>
      </c>
      <c r="R250" t="s">
        <v>1514</v>
      </c>
    </row>
    <row r="251" spans="1:18" x14ac:dyDescent="0.45">
      <c r="A251">
        <v>250</v>
      </c>
      <c r="B251">
        <v>0</v>
      </c>
      <c r="C251" t="s">
        <v>1519</v>
      </c>
      <c r="D251" t="s">
        <v>1554</v>
      </c>
      <c r="E251" t="s">
        <v>977</v>
      </c>
      <c r="F251" t="s">
        <v>727</v>
      </c>
      <c r="G251" t="s">
        <v>273</v>
      </c>
      <c r="H251" t="s">
        <v>9</v>
      </c>
      <c r="I251" t="s">
        <v>1520</v>
      </c>
      <c r="J251">
        <v>54</v>
      </c>
      <c r="K251" t="s">
        <v>1521</v>
      </c>
      <c r="L251" t="s">
        <v>1521</v>
      </c>
      <c r="M251">
        <v>1</v>
      </c>
      <c r="N251">
        <v>0</v>
      </c>
      <c r="O251">
        <v>2</v>
      </c>
      <c r="P251">
        <v>26</v>
      </c>
      <c r="Q251" t="s">
        <v>1528</v>
      </c>
      <c r="R251" t="s">
        <v>1514</v>
      </c>
    </row>
    <row r="252" spans="1:18" x14ac:dyDescent="0.45">
      <c r="A252">
        <v>251</v>
      </c>
      <c r="B252">
        <v>0</v>
      </c>
      <c r="C252" t="s">
        <v>1519</v>
      </c>
      <c r="D252" t="s">
        <v>1552</v>
      </c>
      <c r="E252" t="s">
        <v>978</v>
      </c>
      <c r="F252" t="s">
        <v>722</v>
      </c>
      <c r="G252" t="s">
        <v>274</v>
      </c>
      <c r="H252" t="s">
        <v>9</v>
      </c>
      <c r="I252" t="s">
        <v>1520</v>
      </c>
      <c r="J252">
        <v>28</v>
      </c>
      <c r="K252" t="s">
        <v>1521</v>
      </c>
      <c r="L252" t="s">
        <v>1521</v>
      </c>
      <c r="M252">
        <v>0</v>
      </c>
      <c r="N252">
        <v>0</v>
      </c>
      <c r="O252">
        <v>1</v>
      </c>
      <c r="P252">
        <v>7.25</v>
      </c>
      <c r="Q252" t="s">
        <v>1528</v>
      </c>
      <c r="R252" t="s">
        <v>1514</v>
      </c>
    </row>
    <row r="253" spans="1:18" x14ac:dyDescent="0.45">
      <c r="A253">
        <v>252</v>
      </c>
      <c r="B253">
        <v>0</v>
      </c>
      <c r="C253" t="s">
        <v>1519</v>
      </c>
      <c r="D253" t="s">
        <v>1552</v>
      </c>
      <c r="E253" t="s">
        <v>979</v>
      </c>
      <c r="F253" t="s">
        <v>723</v>
      </c>
      <c r="G253" t="s">
        <v>236</v>
      </c>
      <c r="H253" t="s">
        <v>10</v>
      </c>
      <c r="I253" t="s">
        <v>1523</v>
      </c>
      <c r="J253">
        <v>29</v>
      </c>
      <c r="K253" t="s">
        <v>1521</v>
      </c>
      <c r="L253" t="s">
        <v>1521</v>
      </c>
      <c r="M253">
        <v>1</v>
      </c>
      <c r="N253">
        <v>1</v>
      </c>
      <c r="O253">
        <v>3</v>
      </c>
      <c r="P253" t="s">
        <v>29</v>
      </c>
      <c r="Q253" t="s">
        <v>1528</v>
      </c>
      <c r="R253" t="s">
        <v>1514</v>
      </c>
    </row>
    <row r="254" spans="1:18" x14ac:dyDescent="0.45">
      <c r="A254">
        <v>253</v>
      </c>
      <c r="B254">
        <v>0</v>
      </c>
      <c r="C254" t="s">
        <v>1519</v>
      </c>
      <c r="D254" t="s">
        <v>1553</v>
      </c>
      <c r="E254" t="s">
        <v>980</v>
      </c>
      <c r="F254" t="s">
        <v>722</v>
      </c>
      <c r="G254" t="s">
        <v>275</v>
      </c>
      <c r="H254" t="s">
        <v>9</v>
      </c>
      <c r="I254" t="s">
        <v>1520</v>
      </c>
      <c r="J254">
        <v>62</v>
      </c>
      <c r="K254" t="s">
        <v>1527</v>
      </c>
      <c r="L254" t="s">
        <v>1527</v>
      </c>
      <c r="M254">
        <v>0</v>
      </c>
      <c r="N254">
        <v>0</v>
      </c>
      <c r="O254">
        <v>1</v>
      </c>
      <c r="P254">
        <v>26.55</v>
      </c>
      <c r="Q254" t="s">
        <v>1528</v>
      </c>
      <c r="R254" t="s">
        <v>1514</v>
      </c>
    </row>
    <row r="255" spans="1:18" x14ac:dyDescent="0.45">
      <c r="A255">
        <v>254</v>
      </c>
      <c r="B255">
        <v>0</v>
      </c>
      <c r="C255" t="s">
        <v>1519</v>
      </c>
      <c r="D255" t="s">
        <v>1552</v>
      </c>
      <c r="E255" t="s">
        <v>981</v>
      </c>
      <c r="F255" t="s">
        <v>722</v>
      </c>
      <c r="G255" t="s">
        <v>276</v>
      </c>
      <c r="H255" t="s">
        <v>9</v>
      </c>
      <c r="I255" t="s">
        <v>1520</v>
      </c>
      <c r="J255">
        <v>30</v>
      </c>
      <c r="K255" t="s">
        <v>1521</v>
      </c>
      <c r="L255" t="s">
        <v>1521</v>
      </c>
      <c r="M255">
        <v>1</v>
      </c>
      <c r="N255">
        <v>0</v>
      </c>
      <c r="O255">
        <v>2</v>
      </c>
      <c r="P255">
        <v>16.100000000000001</v>
      </c>
      <c r="Q255" t="s">
        <v>1528</v>
      </c>
      <c r="R255" t="s">
        <v>1514</v>
      </c>
    </row>
    <row r="256" spans="1:18" x14ac:dyDescent="0.45">
      <c r="A256">
        <v>255</v>
      </c>
      <c r="B256">
        <v>0</v>
      </c>
      <c r="C256" t="s">
        <v>1519</v>
      </c>
      <c r="D256" t="s">
        <v>1552</v>
      </c>
      <c r="E256" t="s">
        <v>982</v>
      </c>
      <c r="F256" t="s">
        <v>723</v>
      </c>
      <c r="G256" t="s">
        <v>277</v>
      </c>
      <c r="H256" t="s">
        <v>10</v>
      </c>
      <c r="I256" t="s">
        <v>1523</v>
      </c>
      <c r="J256">
        <v>41</v>
      </c>
      <c r="K256" t="s">
        <v>1521</v>
      </c>
      <c r="L256" t="s">
        <v>1521</v>
      </c>
      <c r="M256">
        <v>0</v>
      </c>
      <c r="N256">
        <v>2</v>
      </c>
      <c r="O256">
        <v>3</v>
      </c>
      <c r="P256" t="s">
        <v>30</v>
      </c>
      <c r="Q256" t="s">
        <v>1528</v>
      </c>
      <c r="R256" t="s">
        <v>1514</v>
      </c>
    </row>
    <row r="257" spans="1:18" x14ac:dyDescent="0.45">
      <c r="A257">
        <v>256</v>
      </c>
      <c r="B257">
        <v>1</v>
      </c>
      <c r="C257" t="s">
        <v>1</v>
      </c>
      <c r="D257" t="s">
        <v>1552</v>
      </c>
      <c r="E257" t="s">
        <v>983</v>
      </c>
      <c r="F257" t="s">
        <v>723</v>
      </c>
      <c r="G257" t="s">
        <v>278</v>
      </c>
      <c r="H257" t="s">
        <v>10</v>
      </c>
      <c r="I257" t="s">
        <v>1523</v>
      </c>
      <c r="J257">
        <v>29</v>
      </c>
      <c r="K257" t="s">
        <v>1521</v>
      </c>
      <c r="L257" t="s">
        <v>1521</v>
      </c>
      <c r="M257">
        <v>0</v>
      </c>
      <c r="N257">
        <v>2</v>
      </c>
      <c r="O257">
        <v>3</v>
      </c>
      <c r="P257">
        <v>15.245799999999999</v>
      </c>
      <c r="Q257" t="s">
        <v>1528</v>
      </c>
      <c r="R257" t="s">
        <v>1515</v>
      </c>
    </row>
    <row r="258" spans="1:18" x14ac:dyDescent="0.45">
      <c r="A258">
        <v>257</v>
      </c>
      <c r="B258">
        <v>1</v>
      </c>
      <c r="C258" t="s">
        <v>1</v>
      </c>
      <c r="D258" t="s">
        <v>1553</v>
      </c>
      <c r="E258" t="s">
        <v>984</v>
      </c>
      <c r="F258" t="s">
        <v>723</v>
      </c>
      <c r="G258" t="s">
        <v>279</v>
      </c>
      <c r="H258" t="s">
        <v>10</v>
      </c>
      <c r="I258" t="s">
        <v>1523</v>
      </c>
      <c r="J258">
        <v>28</v>
      </c>
      <c r="K258" t="s">
        <v>1521</v>
      </c>
      <c r="L258" t="s">
        <v>1521</v>
      </c>
      <c r="M258">
        <v>0</v>
      </c>
      <c r="N258">
        <v>0</v>
      </c>
      <c r="O258">
        <v>1</v>
      </c>
      <c r="P258">
        <v>79.2</v>
      </c>
      <c r="Q258" t="s">
        <v>1528</v>
      </c>
      <c r="R258" t="s">
        <v>1515</v>
      </c>
    </row>
    <row r="259" spans="1:18" x14ac:dyDescent="0.45">
      <c r="A259">
        <v>258</v>
      </c>
      <c r="B259">
        <v>1</v>
      </c>
      <c r="C259" t="s">
        <v>1</v>
      </c>
      <c r="D259" t="s">
        <v>1553</v>
      </c>
      <c r="E259" t="s">
        <v>985</v>
      </c>
      <c r="F259" t="s">
        <v>724</v>
      </c>
      <c r="G259" t="s">
        <v>280</v>
      </c>
      <c r="H259" t="s">
        <v>10</v>
      </c>
      <c r="I259" t="s">
        <v>1523</v>
      </c>
      <c r="J259">
        <v>30</v>
      </c>
      <c r="K259" t="s">
        <v>1521</v>
      </c>
      <c r="L259" t="s">
        <v>1521</v>
      </c>
      <c r="M259">
        <v>0</v>
      </c>
      <c r="N259">
        <v>0</v>
      </c>
      <c r="O259">
        <v>1</v>
      </c>
      <c r="P259">
        <v>86.5</v>
      </c>
      <c r="Q259" t="s">
        <v>1528</v>
      </c>
      <c r="R259" t="s">
        <v>1514</v>
      </c>
    </row>
    <row r="260" spans="1:18" x14ac:dyDescent="0.45">
      <c r="A260">
        <v>259</v>
      </c>
      <c r="B260">
        <v>1</v>
      </c>
      <c r="C260" t="s">
        <v>1</v>
      </c>
      <c r="D260" t="s">
        <v>1553</v>
      </c>
      <c r="E260" t="s">
        <v>863</v>
      </c>
      <c r="F260" t="s">
        <v>724</v>
      </c>
      <c r="G260" t="s">
        <v>281</v>
      </c>
      <c r="H260" t="s">
        <v>10</v>
      </c>
      <c r="I260" t="s">
        <v>1523</v>
      </c>
      <c r="J260">
        <v>35</v>
      </c>
      <c r="K260" t="s">
        <v>1521</v>
      </c>
      <c r="L260" t="s">
        <v>1521</v>
      </c>
      <c r="M260">
        <v>0</v>
      </c>
      <c r="N260">
        <v>0</v>
      </c>
      <c r="O260">
        <v>1</v>
      </c>
      <c r="P260">
        <v>512.32920000000001</v>
      </c>
      <c r="Q260" t="s">
        <v>1528</v>
      </c>
      <c r="R260" t="s">
        <v>1515</v>
      </c>
    </row>
    <row r="261" spans="1:18" x14ac:dyDescent="0.45">
      <c r="A261">
        <v>260</v>
      </c>
      <c r="B261">
        <v>1</v>
      </c>
      <c r="C261" t="s">
        <v>1</v>
      </c>
      <c r="D261" t="s">
        <v>1554</v>
      </c>
      <c r="E261" t="s">
        <v>753</v>
      </c>
      <c r="F261" t="s">
        <v>723</v>
      </c>
      <c r="G261" t="s">
        <v>282</v>
      </c>
      <c r="H261" t="s">
        <v>10</v>
      </c>
      <c r="I261" t="s">
        <v>1523</v>
      </c>
      <c r="J261">
        <v>50</v>
      </c>
      <c r="K261" t="s">
        <v>1521</v>
      </c>
      <c r="L261" t="s">
        <v>1521</v>
      </c>
      <c r="M261">
        <v>0</v>
      </c>
      <c r="N261">
        <v>1</v>
      </c>
      <c r="O261">
        <v>2</v>
      </c>
      <c r="P261">
        <v>26</v>
      </c>
      <c r="Q261" t="s">
        <v>1528</v>
      </c>
      <c r="R261" t="s">
        <v>1514</v>
      </c>
    </row>
    <row r="262" spans="1:18" x14ac:dyDescent="0.45">
      <c r="A262">
        <v>261</v>
      </c>
      <c r="B262">
        <v>0</v>
      </c>
      <c r="C262" t="s">
        <v>1519</v>
      </c>
      <c r="D262" t="s">
        <v>1552</v>
      </c>
      <c r="E262" t="s">
        <v>986</v>
      </c>
      <c r="F262" t="s">
        <v>722</v>
      </c>
      <c r="G262" t="s">
        <v>210</v>
      </c>
      <c r="H262" t="s">
        <v>9</v>
      </c>
      <c r="I262" t="s">
        <v>1520</v>
      </c>
      <c r="J262">
        <v>28</v>
      </c>
      <c r="K262" t="s">
        <v>1521</v>
      </c>
      <c r="L262" t="s">
        <v>1521</v>
      </c>
      <c r="M262">
        <v>0</v>
      </c>
      <c r="N262">
        <v>0</v>
      </c>
      <c r="O262">
        <v>1</v>
      </c>
      <c r="P262">
        <v>7.75</v>
      </c>
      <c r="Q262" t="s">
        <v>1528</v>
      </c>
      <c r="R262" t="s">
        <v>1516</v>
      </c>
    </row>
    <row r="263" spans="1:18" x14ac:dyDescent="0.45">
      <c r="A263">
        <v>262</v>
      </c>
      <c r="B263">
        <v>1</v>
      </c>
      <c r="C263" t="s">
        <v>1</v>
      </c>
      <c r="D263" t="s">
        <v>1552</v>
      </c>
      <c r="E263" t="s">
        <v>987</v>
      </c>
      <c r="F263" t="s">
        <v>725</v>
      </c>
      <c r="G263" t="s">
        <v>79</v>
      </c>
      <c r="H263" t="s">
        <v>9</v>
      </c>
      <c r="I263" t="s">
        <v>1520</v>
      </c>
      <c r="J263">
        <v>3</v>
      </c>
      <c r="K263" t="s">
        <v>1524</v>
      </c>
      <c r="L263" t="s">
        <v>1524</v>
      </c>
      <c r="M263">
        <v>4</v>
      </c>
      <c r="N263">
        <v>2</v>
      </c>
      <c r="O263">
        <v>7</v>
      </c>
      <c r="P263">
        <v>31.387499999999999</v>
      </c>
      <c r="Q263" t="s">
        <v>1528</v>
      </c>
      <c r="R263" t="s">
        <v>1514</v>
      </c>
    </row>
    <row r="264" spans="1:18" x14ac:dyDescent="0.45">
      <c r="A264">
        <v>263</v>
      </c>
      <c r="B264">
        <v>0</v>
      </c>
      <c r="C264" t="s">
        <v>1519</v>
      </c>
      <c r="D264" t="s">
        <v>1553</v>
      </c>
      <c r="E264" t="s">
        <v>826</v>
      </c>
      <c r="F264" t="s">
        <v>722</v>
      </c>
      <c r="G264" t="s">
        <v>283</v>
      </c>
      <c r="H264" t="s">
        <v>9</v>
      </c>
      <c r="I264" t="s">
        <v>1520</v>
      </c>
      <c r="J264">
        <v>52</v>
      </c>
      <c r="K264" t="s">
        <v>1521</v>
      </c>
      <c r="L264" t="s">
        <v>1521</v>
      </c>
      <c r="M264">
        <v>1</v>
      </c>
      <c r="N264">
        <v>1</v>
      </c>
      <c r="O264">
        <v>3</v>
      </c>
      <c r="P264">
        <v>79.650000000000006</v>
      </c>
      <c r="Q264" t="s">
        <v>1528</v>
      </c>
      <c r="R264" t="s">
        <v>1514</v>
      </c>
    </row>
    <row r="265" spans="1:18" x14ac:dyDescent="0.45">
      <c r="A265">
        <v>264</v>
      </c>
      <c r="B265">
        <v>0</v>
      </c>
      <c r="C265" t="s">
        <v>1519</v>
      </c>
      <c r="D265" t="s">
        <v>1553</v>
      </c>
      <c r="E265" t="s">
        <v>922</v>
      </c>
      <c r="F265" t="s">
        <v>722</v>
      </c>
      <c r="G265" t="s">
        <v>284</v>
      </c>
      <c r="H265" t="s">
        <v>9</v>
      </c>
      <c r="I265" t="s">
        <v>1520</v>
      </c>
      <c r="J265">
        <v>40</v>
      </c>
      <c r="K265" t="s">
        <v>1521</v>
      </c>
      <c r="L265" t="s">
        <v>1521</v>
      </c>
      <c r="M265">
        <v>0</v>
      </c>
      <c r="N265">
        <v>0</v>
      </c>
      <c r="O265">
        <v>1</v>
      </c>
      <c r="P265">
        <v>14.4542</v>
      </c>
      <c r="Q265" t="s">
        <v>1528</v>
      </c>
      <c r="R265" t="s">
        <v>1514</v>
      </c>
    </row>
    <row r="266" spans="1:18" x14ac:dyDescent="0.45">
      <c r="A266">
        <v>265</v>
      </c>
      <c r="B266">
        <v>0</v>
      </c>
      <c r="C266" t="s">
        <v>1519</v>
      </c>
      <c r="D266" t="s">
        <v>1552</v>
      </c>
      <c r="E266" t="s">
        <v>988</v>
      </c>
      <c r="F266" t="s">
        <v>724</v>
      </c>
      <c r="G266" t="s">
        <v>285</v>
      </c>
      <c r="H266" t="s">
        <v>10</v>
      </c>
      <c r="I266" t="s">
        <v>1523</v>
      </c>
      <c r="J266">
        <v>28</v>
      </c>
      <c r="K266" t="s">
        <v>1521</v>
      </c>
      <c r="L266" t="s">
        <v>1521</v>
      </c>
      <c r="M266">
        <v>0</v>
      </c>
      <c r="N266">
        <v>0</v>
      </c>
      <c r="O266">
        <v>1</v>
      </c>
      <c r="P266">
        <v>7.75</v>
      </c>
      <c r="Q266" t="s">
        <v>1528</v>
      </c>
      <c r="R266" t="s">
        <v>1516</v>
      </c>
    </row>
    <row r="267" spans="1:18" x14ac:dyDescent="0.45">
      <c r="A267">
        <v>266</v>
      </c>
      <c r="B267">
        <v>0</v>
      </c>
      <c r="C267" t="s">
        <v>1519</v>
      </c>
      <c r="D267" t="s">
        <v>1554</v>
      </c>
      <c r="E267" t="s">
        <v>989</v>
      </c>
      <c r="F267" t="s">
        <v>722</v>
      </c>
      <c r="G267" t="s">
        <v>286</v>
      </c>
      <c r="H267" t="s">
        <v>9</v>
      </c>
      <c r="I267" t="s">
        <v>1520</v>
      </c>
      <c r="J267">
        <v>36</v>
      </c>
      <c r="K267" t="s">
        <v>1521</v>
      </c>
      <c r="L267" t="s">
        <v>1521</v>
      </c>
      <c r="M267">
        <v>0</v>
      </c>
      <c r="N267">
        <v>0</v>
      </c>
      <c r="O267">
        <v>1</v>
      </c>
      <c r="P267" t="s">
        <v>18</v>
      </c>
      <c r="Q267" t="s">
        <v>1528</v>
      </c>
      <c r="R267" t="s">
        <v>1514</v>
      </c>
    </row>
    <row r="268" spans="1:18" x14ac:dyDescent="0.45">
      <c r="A268">
        <v>267</v>
      </c>
      <c r="B268">
        <v>0</v>
      </c>
      <c r="C268" t="s">
        <v>1519</v>
      </c>
      <c r="D268" t="s">
        <v>1552</v>
      </c>
      <c r="E268" t="s">
        <v>990</v>
      </c>
      <c r="F268" t="s">
        <v>722</v>
      </c>
      <c r="G268" t="s">
        <v>103</v>
      </c>
      <c r="H268" t="s">
        <v>9</v>
      </c>
      <c r="I268" t="s">
        <v>1520</v>
      </c>
      <c r="J268">
        <v>16</v>
      </c>
      <c r="K268" t="s">
        <v>1525</v>
      </c>
      <c r="L268" t="s">
        <v>1525</v>
      </c>
      <c r="M268">
        <v>4</v>
      </c>
      <c r="N268">
        <v>1</v>
      </c>
      <c r="O268">
        <v>6</v>
      </c>
      <c r="P268">
        <v>39.6875</v>
      </c>
      <c r="Q268" t="s">
        <v>1528</v>
      </c>
      <c r="R268" t="s">
        <v>1514</v>
      </c>
    </row>
    <row r="269" spans="1:18" x14ac:dyDescent="0.45">
      <c r="A269">
        <v>268</v>
      </c>
      <c r="B269">
        <v>1</v>
      </c>
      <c r="C269" t="s">
        <v>1</v>
      </c>
      <c r="D269" t="s">
        <v>1552</v>
      </c>
      <c r="E269" t="s">
        <v>991</v>
      </c>
      <c r="F269" t="s">
        <v>722</v>
      </c>
      <c r="G269" t="s">
        <v>287</v>
      </c>
      <c r="H269" t="s">
        <v>9</v>
      </c>
      <c r="I269" t="s">
        <v>1520</v>
      </c>
      <c r="J269">
        <v>25</v>
      </c>
      <c r="K269" t="s">
        <v>1521</v>
      </c>
      <c r="L269" t="s">
        <v>1521</v>
      </c>
      <c r="M269">
        <v>1</v>
      </c>
      <c r="N269">
        <v>0</v>
      </c>
      <c r="O269">
        <v>2</v>
      </c>
      <c r="P269">
        <v>7.7750000000000004</v>
      </c>
      <c r="Q269" t="s">
        <v>1528</v>
      </c>
      <c r="R269" t="s">
        <v>1514</v>
      </c>
    </row>
    <row r="270" spans="1:18" x14ac:dyDescent="0.45">
      <c r="A270">
        <v>269</v>
      </c>
      <c r="B270">
        <v>1</v>
      </c>
      <c r="C270" t="s">
        <v>1</v>
      </c>
      <c r="D270" t="s">
        <v>1553</v>
      </c>
      <c r="E270" t="s">
        <v>992</v>
      </c>
      <c r="F270" t="s">
        <v>723</v>
      </c>
      <c r="G270" t="s">
        <v>288</v>
      </c>
      <c r="H270" t="s">
        <v>10</v>
      </c>
      <c r="I270" t="s">
        <v>1523</v>
      </c>
      <c r="J270">
        <v>58</v>
      </c>
      <c r="K270" t="s">
        <v>1521</v>
      </c>
      <c r="L270" t="s">
        <v>1521</v>
      </c>
      <c r="M270">
        <v>0</v>
      </c>
      <c r="N270">
        <v>1</v>
      </c>
      <c r="O270">
        <v>2</v>
      </c>
      <c r="P270">
        <v>153.46250000000001</v>
      </c>
      <c r="Q270" t="s">
        <v>1528</v>
      </c>
      <c r="R270" t="s">
        <v>1514</v>
      </c>
    </row>
    <row r="271" spans="1:18" x14ac:dyDescent="0.45">
      <c r="A271">
        <v>270</v>
      </c>
      <c r="B271">
        <v>1</v>
      </c>
      <c r="C271" t="s">
        <v>1</v>
      </c>
      <c r="D271" t="s">
        <v>1553</v>
      </c>
      <c r="E271" t="s">
        <v>993</v>
      </c>
      <c r="F271" t="s">
        <v>724</v>
      </c>
      <c r="G271" t="s">
        <v>289</v>
      </c>
      <c r="H271" t="s">
        <v>10</v>
      </c>
      <c r="I271" t="s">
        <v>1523</v>
      </c>
      <c r="J271">
        <v>35</v>
      </c>
      <c r="K271" t="s">
        <v>1521</v>
      </c>
      <c r="L271" t="s">
        <v>1521</v>
      </c>
      <c r="M271">
        <v>0</v>
      </c>
      <c r="N271">
        <v>0</v>
      </c>
      <c r="O271">
        <v>1</v>
      </c>
      <c r="P271">
        <v>135.63329999999999</v>
      </c>
      <c r="Q271" t="s">
        <v>1528</v>
      </c>
      <c r="R271" t="s">
        <v>1514</v>
      </c>
    </row>
    <row r="272" spans="1:18" x14ac:dyDescent="0.45">
      <c r="A272">
        <v>271</v>
      </c>
      <c r="B272">
        <v>0</v>
      </c>
      <c r="C272" t="s">
        <v>1519</v>
      </c>
      <c r="D272" t="s">
        <v>1553</v>
      </c>
      <c r="E272" t="s">
        <v>994</v>
      </c>
      <c r="F272" t="s">
        <v>722</v>
      </c>
      <c r="G272" t="s">
        <v>290</v>
      </c>
      <c r="H272" t="s">
        <v>9</v>
      </c>
      <c r="I272" t="s">
        <v>1520</v>
      </c>
      <c r="J272">
        <v>28</v>
      </c>
      <c r="K272" t="s">
        <v>1521</v>
      </c>
      <c r="L272" t="s">
        <v>1521</v>
      </c>
      <c r="M272">
        <v>0</v>
      </c>
      <c r="N272">
        <v>0</v>
      </c>
      <c r="O272">
        <v>1</v>
      </c>
      <c r="P272">
        <v>31</v>
      </c>
      <c r="Q272" t="s">
        <v>1528</v>
      </c>
      <c r="R272" t="s">
        <v>1514</v>
      </c>
    </row>
    <row r="273" spans="1:18" x14ac:dyDescent="0.45">
      <c r="A273">
        <v>272</v>
      </c>
      <c r="B273">
        <v>1</v>
      </c>
      <c r="C273" t="s">
        <v>1</v>
      </c>
      <c r="D273" t="s">
        <v>1552</v>
      </c>
      <c r="E273" t="s">
        <v>743</v>
      </c>
      <c r="F273" t="s">
        <v>722</v>
      </c>
      <c r="G273" t="s">
        <v>291</v>
      </c>
      <c r="H273" t="s">
        <v>9</v>
      </c>
      <c r="I273" t="s">
        <v>1520</v>
      </c>
      <c r="J273">
        <v>25</v>
      </c>
      <c r="K273" t="s">
        <v>1521</v>
      </c>
      <c r="L273" t="s">
        <v>1521</v>
      </c>
      <c r="M273">
        <v>0</v>
      </c>
      <c r="N273">
        <v>0</v>
      </c>
      <c r="O273">
        <v>1</v>
      </c>
      <c r="P273">
        <v>14.4542</v>
      </c>
      <c r="Q273" t="s">
        <v>1528</v>
      </c>
      <c r="R273" t="s">
        <v>1514</v>
      </c>
    </row>
    <row r="274" spans="1:18" x14ac:dyDescent="0.45">
      <c r="A274">
        <v>273</v>
      </c>
      <c r="B274">
        <v>1</v>
      </c>
      <c r="C274" t="s">
        <v>1</v>
      </c>
      <c r="D274" t="s">
        <v>1554</v>
      </c>
      <c r="E274" t="s">
        <v>753</v>
      </c>
      <c r="F274" t="s">
        <v>723</v>
      </c>
      <c r="G274" t="s">
        <v>292</v>
      </c>
      <c r="H274" t="s">
        <v>10</v>
      </c>
      <c r="I274" t="s">
        <v>1523</v>
      </c>
      <c r="J274">
        <v>41</v>
      </c>
      <c r="K274" t="s">
        <v>1521</v>
      </c>
      <c r="L274" t="s">
        <v>1521</v>
      </c>
      <c r="M274">
        <v>0</v>
      </c>
      <c r="N274">
        <v>1</v>
      </c>
      <c r="O274">
        <v>2</v>
      </c>
      <c r="P274">
        <v>19.5</v>
      </c>
      <c r="Q274" t="s">
        <v>1528</v>
      </c>
      <c r="R274" t="s">
        <v>1514</v>
      </c>
    </row>
    <row r="275" spans="1:18" x14ac:dyDescent="0.45">
      <c r="A275">
        <v>274</v>
      </c>
      <c r="B275">
        <v>0</v>
      </c>
      <c r="C275" t="s">
        <v>1519</v>
      </c>
      <c r="D275" t="s">
        <v>1553</v>
      </c>
      <c r="E275" t="s">
        <v>995</v>
      </c>
      <c r="F275" t="s">
        <v>722</v>
      </c>
      <c r="G275" t="s">
        <v>293</v>
      </c>
      <c r="H275" t="s">
        <v>9</v>
      </c>
      <c r="I275" t="s">
        <v>1520</v>
      </c>
      <c r="J275">
        <v>37</v>
      </c>
      <c r="K275" t="s">
        <v>1521</v>
      </c>
      <c r="L275" t="s">
        <v>1521</v>
      </c>
      <c r="M275">
        <v>0</v>
      </c>
      <c r="N275">
        <v>1</v>
      </c>
      <c r="O275">
        <v>2</v>
      </c>
      <c r="P275">
        <v>29.7</v>
      </c>
      <c r="Q275" t="s">
        <v>1528</v>
      </c>
      <c r="R275" t="s">
        <v>1515</v>
      </c>
    </row>
    <row r="276" spans="1:18" x14ac:dyDescent="0.45">
      <c r="A276">
        <v>275</v>
      </c>
      <c r="B276">
        <v>1</v>
      </c>
      <c r="C276" t="s">
        <v>1</v>
      </c>
      <c r="D276" t="s">
        <v>1552</v>
      </c>
      <c r="E276" t="s">
        <v>996</v>
      </c>
      <c r="F276" t="s">
        <v>724</v>
      </c>
      <c r="G276" t="s">
        <v>294</v>
      </c>
      <c r="H276" t="s">
        <v>10</v>
      </c>
      <c r="I276" t="s">
        <v>1523</v>
      </c>
      <c r="J276">
        <v>28</v>
      </c>
      <c r="K276" t="s">
        <v>1521</v>
      </c>
      <c r="L276" t="s">
        <v>1521</v>
      </c>
      <c r="M276">
        <v>0</v>
      </c>
      <c r="N276">
        <v>0</v>
      </c>
      <c r="O276">
        <v>1</v>
      </c>
      <c r="P276">
        <v>7.75</v>
      </c>
      <c r="Q276" t="s">
        <v>1528</v>
      </c>
      <c r="R276" t="s">
        <v>1516</v>
      </c>
    </row>
    <row r="277" spans="1:18" x14ac:dyDescent="0.45">
      <c r="A277">
        <v>276</v>
      </c>
      <c r="B277">
        <v>1</v>
      </c>
      <c r="C277" t="s">
        <v>1</v>
      </c>
      <c r="D277" t="s">
        <v>1553</v>
      </c>
      <c r="E277" t="s">
        <v>997</v>
      </c>
      <c r="F277" t="s">
        <v>724</v>
      </c>
      <c r="G277" t="s">
        <v>295</v>
      </c>
      <c r="H277" t="s">
        <v>10</v>
      </c>
      <c r="I277" t="s">
        <v>1523</v>
      </c>
      <c r="J277">
        <v>63</v>
      </c>
      <c r="K277" t="s">
        <v>1527</v>
      </c>
      <c r="L277" t="s">
        <v>1527</v>
      </c>
      <c r="M277">
        <v>1</v>
      </c>
      <c r="N277">
        <v>0</v>
      </c>
      <c r="O277">
        <v>2</v>
      </c>
      <c r="P277">
        <v>77.958299999999994</v>
      </c>
      <c r="Q277" t="s">
        <v>1528</v>
      </c>
      <c r="R277" t="s">
        <v>1514</v>
      </c>
    </row>
    <row r="278" spans="1:18" x14ac:dyDescent="0.45">
      <c r="A278">
        <v>277</v>
      </c>
      <c r="B278">
        <v>0</v>
      </c>
      <c r="C278" t="s">
        <v>1519</v>
      </c>
      <c r="D278" t="s">
        <v>1552</v>
      </c>
      <c r="E278" t="s">
        <v>998</v>
      </c>
      <c r="F278" t="s">
        <v>724</v>
      </c>
      <c r="G278" t="s">
        <v>296</v>
      </c>
      <c r="H278" t="s">
        <v>10</v>
      </c>
      <c r="I278" t="s">
        <v>1523</v>
      </c>
      <c r="J278">
        <v>45</v>
      </c>
      <c r="K278" t="s">
        <v>1521</v>
      </c>
      <c r="L278" t="s">
        <v>1521</v>
      </c>
      <c r="M278">
        <v>0</v>
      </c>
      <c r="N278">
        <v>0</v>
      </c>
      <c r="O278">
        <v>1</v>
      </c>
      <c r="P278">
        <v>7.75</v>
      </c>
      <c r="Q278" t="s">
        <v>1528</v>
      </c>
      <c r="R278" t="s">
        <v>1514</v>
      </c>
    </row>
    <row r="279" spans="1:18" x14ac:dyDescent="0.45">
      <c r="A279">
        <v>278</v>
      </c>
      <c r="B279">
        <v>0</v>
      </c>
      <c r="C279" t="s">
        <v>1519</v>
      </c>
      <c r="D279" t="s">
        <v>1554</v>
      </c>
      <c r="E279" t="s">
        <v>999</v>
      </c>
      <c r="F279" t="s">
        <v>722</v>
      </c>
      <c r="G279" t="s">
        <v>297</v>
      </c>
      <c r="H279" t="s">
        <v>9</v>
      </c>
      <c r="I279" t="s">
        <v>1520</v>
      </c>
      <c r="J279">
        <v>28</v>
      </c>
      <c r="K279" t="s">
        <v>1521</v>
      </c>
      <c r="L279" t="s">
        <v>1521</v>
      </c>
      <c r="M279">
        <v>0</v>
      </c>
      <c r="N279">
        <v>0</v>
      </c>
      <c r="O279">
        <v>1</v>
      </c>
      <c r="P279">
        <v>14.4542</v>
      </c>
      <c r="Q279" t="s">
        <v>1528</v>
      </c>
      <c r="R279" t="s">
        <v>1514</v>
      </c>
    </row>
    <row r="280" spans="1:18" x14ac:dyDescent="0.45">
      <c r="A280">
        <v>279</v>
      </c>
      <c r="B280">
        <v>0</v>
      </c>
      <c r="C280" t="s">
        <v>1519</v>
      </c>
      <c r="D280" t="s">
        <v>1552</v>
      </c>
      <c r="E280" t="s">
        <v>1000</v>
      </c>
      <c r="F280" t="s">
        <v>725</v>
      </c>
      <c r="G280" t="s">
        <v>71</v>
      </c>
      <c r="H280" t="s">
        <v>9</v>
      </c>
      <c r="I280" t="s">
        <v>1520</v>
      </c>
      <c r="J280">
        <v>7</v>
      </c>
      <c r="K280" t="s">
        <v>1524</v>
      </c>
      <c r="L280" t="s">
        <v>1524</v>
      </c>
      <c r="M280">
        <v>4</v>
      </c>
      <c r="N280">
        <v>1</v>
      </c>
      <c r="O280">
        <v>6</v>
      </c>
      <c r="P280">
        <v>29.125</v>
      </c>
      <c r="Q280" t="s">
        <v>1528</v>
      </c>
      <c r="R280" t="s">
        <v>1516</v>
      </c>
    </row>
    <row r="281" spans="1:18" x14ac:dyDescent="0.45">
      <c r="A281">
        <v>280</v>
      </c>
      <c r="B281">
        <v>1</v>
      </c>
      <c r="C281" t="s">
        <v>1</v>
      </c>
      <c r="D281" t="s">
        <v>1552</v>
      </c>
      <c r="E281" t="s">
        <v>1001</v>
      </c>
      <c r="F281" t="s">
        <v>723</v>
      </c>
      <c r="G281" t="s">
        <v>298</v>
      </c>
      <c r="H281" t="s">
        <v>10</v>
      </c>
      <c r="I281" t="s">
        <v>1523</v>
      </c>
      <c r="J281">
        <v>35</v>
      </c>
      <c r="K281" t="s">
        <v>1521</v>
      </c>
      <c r="L281" t="s">
        <v>1521</v>
      </c>
      <c r="M281">
        <v>1</v>
      </c>
      <c r="N281">
        <v>1</v>
      </c>
      <c r="O281">
        <v>3</v>
      </c>
      <c r="P281" t="s">
        <v>31</v>
      </c>
      <c r="Q281" t="s">
        <v>1528</v>
      </c>
      <c r="R281" t="s">
        <v>1514</v>
      </c>
    </row>
    <row r="282" spans="1:18" x14ac:dyDescent="0.45">
      <c r="A282">
        <v>281</v>
      </c>
      <c r="B282">
        <v>0</v>
      </c>
      <c r="C282" t="s">
        <v>1519</v>
      </c>
      <c r="D282" t="s">
        <v>1552</v>
      </c>
      <c r="E282" t="s">
        <v>1002</v>
      </c>
      <c r="F282" t="s">
        <v>722</v>
      </c>
      <c r="G282" t="s">
        <v>299</v>
      </c>
      <c r="H282" t="s">
        <v>9</v>
      </c>
      <c r="I282" t="s">
        <v>1520</v>
      </c>
      <c r="J282">
        <v>65</v>
      </c>
      <c r="K282" t="s">
        <v>1527</v>
      </c>
      <c r="L282" t="s">
        <v>1527</v>
      </c>
      <c r="M282">
        <v>0</v>
      </c>
      <c r="N282">
        <v>0</v>
      </c>
      <c r="O282">
        <v>1</v>
      </c>
      <c r="P282">
        <v>7.75</v>
      </c>
      <c r="Q282" t="s">
        <v>1528</v>
      </c>
      <c r="R282" t="s">
        <v>1516</v>
      </c>
    </row>
    <row r="283" spans="1:18" x14ac:dyDescent="0.45">
      <c r="A283">
        <v>282</v>
      </c>
      <c r="B283">
        <v>0</v>
      </c>
      <c r="C283" t="s">
        <v>1519</v>
      </c>
      <c r="D283" t="s">
        <v>1552</v>
      </c>
      <c r="E283" t="s">
        <v>1003</v>
      </c>
      <c r="F283" t="s">
        <v>722</v>
      </c>
      <c r="G283" t="s">
        <v>300</v>
      </c>
      <c r="H283" t="s">
        <v>9</v>
      </c>
      <c r="I283" t="s">
        <v>1520</v>
      </c>
      <c r="J283">
        <v>28</v>
      </c>
      <c r="K283" t="s">
        <v>1521</v>
      </c>
      <c r="L283" t="s">
        <v>1521</v>
      </c>
      <c r="M283">
        <v>0</v>
      </c>
      <c r="N283">
        <v>0</v>
      </c>
      <c r="O283">
        <v>1</v>
      </c>
      <c r="P283">
        <v>7.8541999999999996</v>
      </c>
      <c r="Q283" t="s">
        <v>1528</v>
      </c>
      <c r="R283" t="s">
        <v>1514</v>
      </c>
    </row>
    <row r="284" spans="1:18" x14ac:dyDescent="0.45">
      <c r="A284">
        <v>283</v>
      </c>
      <c r="B284">
        <v>0</v>
      </c>
      <c r="C284" t="s">
        <v>1519</v>
      </c>
      <c r="D284" t="s">
        <v>1552</v>
      </c>
      <c r="E284" t="s">
        <v>1004</v>
      </c>
      <c r="F284" t="s">
        <v>722</v>
      </c>
      <c r="G284" t="s">
        <v>301</v>
      </c>
      <c r="H284" t="s">
        <v>9</v>
      </c>
      <c r="I284" t="s">
        <v>1520</v>
      </c>
      <c r="J284">
        <v>16</v>
      </c>
      <c r="K284" t="s">
        <v>1525</v>
      </c>
      <c r="L284" t="s">
        <v>1525</v>
      </c>
      <c r="M284">
        <v>0</v>
      </c>
      <c r="N284">
        <v>0</v>
      </c>
      <c r="O284">
        <v>1</v>
      </c>
      <c r="P284">
        <v>9.5</v>
      </c>
      <c r="Q284" t="s">
        <v>1528</v>
      </c>
      <c r="R284" t="s">
        <v>1514</v>
      </c>
    </row>
    <row r="285" spans="1:18" x14ac:dyDescent="0.45">
      <c r="A285">
        <v>284</v>
      </c>
      <c r="B285">
        <v>1</v>
      </c>
      <c r="C285" t="s">
        <v>1</v>
      </c>
      <c r="D285" t="s">
        <v>1552</v>
      </c>
      <c r="E285" t="s">
        <v>1005</v>
      </c>
      <c r="F285" t="s">
        <v>722</v>
      </c>
      <c r="G285" t="s">
        <v>302</v>
      </c>
      <c r="H285" t="s">
        <v>9</v>
      </c>
      <c r="I285" t="s">
        <v>1520</v>
      </c>
      <c r="J285">
        <v>19</v>
      </c>
      <c r="K285" t="s">
        <v>1521</v>
      </c>
      <c r="L285" t="s">
        <v>1521</v>
      </c>
      <c r="M285">
        <v>0</v>
      </c>
      <c r="N285">
        <v>0</v>
      </c>
      <c r="O285">
        <v>1</v>
      </c>
      <c r="P285" t="s">
        <v>12</v>
      </c>
      <c r="Q285" t="s">
        <v>1528</v>
      </c>
      <c r="R285" t="s">
        <v>1514</v>
      </c>
    </row>
    <row r="286" spans="1:18" x14ac:dyDescent="0.45">
      <c r="A286">
        <v>285</v>
      </c>
      <c r="B286">
        <v>0</v>
      </c>
      <c r="C286" t="s">
        <v>1519</v>
      </c>
      <c r="D286" t="s">
        <v>1553</v>
      </c>
      <c r="E286" t="s">
        <v>1006</v>
      </c>
      <c r="F286" t="s">
        <v>722</v>
      </c>
      <c r="G286" t="s">
        <v>210</v>
      </c>
      <c r="H286" t="s">
        <v>9</v>
      </c>
      <c r="I286" t="s">
        <v>1520</v>
      </c>
      <c r="J286">
        <v>28</v>
      </c>
      <c r="K286" t="s">
        <v>1521</v>
      </c>
      <c r="L286" t="s">
        <v>1521</v>
      </c>
      <c r="M286">
        <v>0</v>
      </c>
      <c r="N286">
        <v>0</v>
      </c>
      <c r="O286">
        <v>1</v>
      </c>
      <c r="P286">
        <v>26</v>
      </c>
      <c r="Q286" t="s">
        <v>1528</v>
      </c>
      <c r="R286" t="s">
        <v>1514</v>
      </c>
    </row>
    <row r="287" spans="1:18" x14ac:dyDescent="0.45">
      <c r="A287">
        <v>286</v>
      </c>
      <c r="B287">
        <v>0</v>
      </c>
      <c r="C287" t="s">
        <v>1519</v>
      </c>
      <c r="D287" t="s">
        <v>1552</v>
      </c>
      <c r="E287" t="s">
        <v>813</v>
      </c>
      <c r="F287" t="s">
        <v>722</v>
      </c>
      <c r="G287" t="s">
        <v>303</v>
      </c>
      <c r="H287" t="s">
        <v>9</v>
      </c>
      <c r="I287" t="s">
        <v>1520</v>
      </c>
      <c r="J287">
        <v>33</v>
      </c>
      <c r="K287" t="s">
        <v>1521</v>
      </c>
      <c r="L287" t="s">
        <v>1521</v>
      </c>
      <c r="M287">
        <v>0</v>
      </c>
      <c r="N287">
        <v>0</v>
      </c>
      <c r="O287">
        <v>1</v>
      </c>
      <c r="P287">
        <v>8.6624999999999996</v>
      </c>
      <c r="Q287" t="s">
        <v>1528</v>
      </c>
      <c r="R287" t="s">
        <v>1515</v>
      </c>
    </row>
    <row r="288" spans="1:18" x14ac:dyDescent="0.45">
      <c r="A288">
        <v>287</v>
      </c>
      <c r="B288">
        <v>1</v>
      </c>
      <c r="C288" t="s">
        <v>1</v>
      </c>
      <c r="D288" t="s">
        <v>1552</v>
      </c>
      <c r="E288" t="s">
        <v>1007</v>
      </c>
      <c r="F288" t="s">
        <v>722</v>
      </c>
      <c r="G288" t="s">
        <v>304</v>
      </c>
      <c r="H288" t="s">
        <v>9</v>
      </c>
      <c r="I288" t="s">
        <v>1520</v>
      </c>
      <c r="J288">
        <v>30</v>
      </c>
      <c r="K288" t="s">
        <v>1521</v>
      </c>
      <c r="L288" t="s">
        <v>1521</v>
      </c>
      <c r="M288">
        <v>0</v>
      </c>
      <c r="N288">
        <v>0</v>
      </c>
      <c r="O288">
        <v>1</v>
      </c>
      <c r="P288">
        <v>9.5</v>
      </c>
      <c r="Q288" t="s">
        <v>1528</v>
      </c>
      <c r="R288" t="s">
        <v>1514</v>
      </c>
    </row>
    <row r="289" spans="1:18" x14ac:dyDescent="0.45">
      <c r="A289">
        <v>288</v>
      </c>
      <c r="B289">
        <v>0</v>
      </c>
      <c r="C289" t="s">
        <v>1519</v>
      </c>
      <c r="D289" t="s">
        <v>1552</v>
      </c>
      <c r="E289" t="s">
        <v>1008</v>
      </c>
      <c r="F289" t="s">
        <v>722</v>
      </c>
      <c r="G289" t="s">
        <v>305</v>
      </c>
      <c r="H289" t="s">
        <v>9</v>
      </c>
      <c r="I289" t="s">
        <v>1520</v>
      </c>
      <c r="J289">
        <v>22</v>
      </c>
      <c r="K289" t="s">
        <v>1521</v>
      </c>
      <c r="L289" t="s">
        <v>1521</v>
      </c>
      <c r="M289">
        <v>0</v>
      </c>
      <c r="N289">
        <v>0</v>
      </c>
      <c r="O289">
        <v>1</v>
      </c>
      <c r="P289">
        <v>7.8958000000000004</v>
      </c>
      <c r="Q289" t="s">
        <v>1528</v>
      </c>
      <c r="R289" t="s">
        <v>1514</v>
      </c>
    </row>
    <row r="290" spans="1:18" x14ac:dyDescent="0.45">
      <c r="A290">
        <v>289</v>
      </c>
      <c r="B290">
        <v>1</v>
      </c>
      <c r="C290" t="s">
        <v>1</v>
      </c>
      <c r="D290" t="s">
        <v>1554</v>
      </c>
      <c r="E290" t="s">
        <v>1009</v>
      </c>
      <c r="F290" t="s">
        <v>722</v>
      </c>
      <c r="G290" t="s">
        <v>306</v>
      </c>
      <c r="H290" t="s">
        <v>9</v>
      </c>
      <c r="I290" t="s">
        <v>1520</v>
      </c>
      <c r="J290">
        <v>42</v>
      </c>
      <c r="K290" t="s">
        <v>1521</v>
      </c>
      <c r="L290" t="s">
        <v>1521</v>
      </c>
      <c r="M290">
        <v>0</v>
      </c>
      <c r="N290">
        <v>0</v>
      </c>
      <c r="O290">
        <v>1</v>
      </c>
      <c r="P290">
        <v>13</v>
      </c>
      <c r="Q290" t="s">
        <v>1528</v>
      </c>
      <c r="R290" t="s">
        <v>1514</v>
      </c>
    </row>
    <row r="291" spans="1:18" x14ac:dyDescent="0.45">
      <c r="A291">
        <v>290</v>
      </c>
      <c r="B291">
        <v>1</v>
      </c>
      <c r="C291" t="s">
        <v>1</v>
      </c>
      <c r="D291" t="s">
        <v>1552</v>
      </c>
      <c r="E291" t="s">
        <v>1010</v>
      </c>
      <c r="F291" t="s">
        <v>724</v>
      </c>
      <c r="G291" t="s">
        <v>307</v>
      </c>
      <c r="H291" t="s">
        <v>10</v>
      </c>
      <c r="I291" t="s">
        <v>1523</v>
      </c>
      <c r="J291">
        <v>22</v>
      </c>
      <c r="K291" t="s">
        <v>1521</v>
      </c>
      <c r="L291" t="s">
        <v>1521</v>
      </c>
      <c r="M291">
        <v>0</v>
      </c>
      <c r="N291">
        <v>0</v>
      </c>
      <c r="O291">
        <v>1</v>
      </c>
      <c r="P291">
        <v>7.75</v>
      </c>
      <c r="Q291" t="s">
        <v>1528</v>
      </c>
      <c r="R291" t="s">
        <v>1516</v>
      </c>
    </row>
    <row r="292" spans="1:18" x14ac:dyDescent="0.45">
      <c r="A292">
        <v>291</v>
      </c>
      <c r="B292">
        <v>1</v>
      </c>
      <c r="C292" t="s">
        <v>1</v>
      </c>
      <c r="D292" t="s">
        <v>1553</v>
      </c>
      <c r="E292" t="s">
        <v>766</v>
      </c>
      <c r="F292" t="s">
        <v>724</v>
      </c>
      <c r="G292" t="s">
        <v>308</v>
      </c>
      <c r="H292" t="s">
        <v>10</v>
      </c>
      <c r="I292" t="s">
        <v>1523</v>
      </c>
      <c r="J292">
        <v>26</v>
      </c>
      <c r="K292" t="s">
        <v>1521</v>
      </c>
      <c r="L292" t="s">
        <v>1521</v>
      </c>
      <c r="M292">
        <v>0</v>
      </c>
      <c r="N292">
        <v>0</v>
      </c>
      <c r="O292">
        <v>1</v>
      </c>
      <c r="P292">
        <v>78.849999999999994</v>
      </c>
      <c r="Q292" t="s">
        <v>1528</v>
      </c>
      <c r="R292" t="s">
        <v>1514</v>
      </c>
    </row>
    <row r="293" spans="1:18" x14ac:dyDescent="0.45">
      <c r="A293">
        <v>292</v>
      </c>
      <c r="B293">
        <v>1</v>
      </c>
      <c r="C293" t="s">
        <v>1</v>
      </c>
      <c r="D293" t="s">
        <v>1553</v>
      </c>
      <c r="E293" t="s">
        <v>1011</v>
      </c>
      <c r="F293" t="s">
        <v>723</v>
      </c>
      <c r="G293" t="s">
        <v>309</v>
      </c>
      <c r="H293" t="s">
        <v>10</v>
      </c>
      <c r="I293" t="s">
        <v>1523</v>
      </c>
      <c r="J293">
        <v>19</v>
      </c>
      <c r="K293" t="s">
        <v>1521</v>
      </c>
      <c r="L293" t="s">
        <v>1521</v>
      </c>
      <c r="M293">
        <v>1</v>
      </c>
      <c r="N293">
        <v>0</v>
      </c>
      <c r="O293">
        <v>2</v>
      </c>
      <c r="P293" t="s">
        <v>32</v>
      </c>
      <c r="Q293" t="s">
        <v>1528</v>
      </c>
      <c r="R293" t="s">
        <v>1515</v>
      </c>
    </row>
    <row r="294" spans="1:18" x14ac:dyDescent="0.45">
      <c r="A294">
        <v>293</v>
      </c>
      <c r="B294">
        <v>0</v>
      </c>
      <c r="C294" t="s">
        <v>1519</v>
      </c>
      <c r="D294" t="s">
        <v>1554</v>
      </c>
      <c r="E294" t="s">
        <v>1012</v>
      </c>
      <c r="F294" t="s">
        <v>722</v>
      </c>
      <c r="G294" t="s">
        <v>310</v>
      </c>
      <c r="H294" t="s">
        <v>9</v>
      </c>
      <c r="I294" t="s">
        <v>1520</v>
      </c>
      <c r="J294">
        <v>36</v>
      </c>
      <c r="K294" t="s">
        <v>1521</v>
      </c>
      <c r="L294" t="s">
        <v>1521</v>
      </c>
      <c r="M294">
        <v>0</v>
      </c>
      <c r="N294">
        <v>0</v>
      </c>
      <c r="O294">
        <v>1</v>
      </c>
      <c r="P294">
        <v>12.875</v>
      </c>
      <c r="Q294" t="s">
        <v>1528</v>
      </c>
      <c r="R294" t="s">
        <v>1515</v>
      </c>
    </row>
    <row r="295" spans="1:18" x14ac:dyDescent="0.45">
      <c r="A295">
        <v>294</v>
      </c>
      <c r="B295">
        <v>0</v>
      </c>
      <c r="C295" t="s">
        <v>1519</v>
      </c>
      <c r="D295" t="s">
        <v>1552</v>
      </c>
      <c r="E295" t="s">
        <v>1013</v>
      </c>
      <c r="F295" t="s">
        <v>724</v>
      </c>
      <c r="G295" t="s">
        <v>311</v>
      </c>
      <c r="H295" t="s">
        <v>10</v>
      </c>
      <c r="I295" t="s">
        <v>1523</v>
      </c>
      <c r="J295">
        <v>24</v>
      </c>
      <c r="K295" t="s">
        <v>1521</v>
      </c>
      <c r="L295" t="s">
        <v>1521</v>
      </c>
      <c r="M295">
        <v>0</v>
      </c>
      <c r="N295">
        <v>0</v>
      </c>
      <c r="O295">
        <v>1</v>
      </c>
      <c r="P295">
        <v>8.85</v>
      </c>
      <c r="Q295" t="s">
        <v>1528</v>
      </c>
      <c r="R295" t="s">
        <v>1514</v>
      </c>
    </row>
    <row r="296" spans="1:18" x14ac:dyDescent="0.45">
      <c r="A296">
        <v>295</v>
      </c>
      <c r="B296">
        <v>0</v>
      </c>
      <c r="C296" t="s">
        <v>1519</v>
      </c>
      <c r="D296" t="s">
        <v>1552</v>
      </c>
      <c r="E296" t="s">
        <v>813</v>
      </c>
      <c r="F296" t="s">
        <v>722</v>
      </c>
      <c r="G296" t="s">
        <v>312</v>
      </c>
      <c r="H296" t="s">
        <v>9</v>
      </c>
      <c r="I296" t="s">
        <v>1520</v>
      </c>
      <c r="J296">
        <v>24</v>
      </c>
      <c r="K296" t="s">
        <v>1521</v>
      </c>
      <c r="L296" t="s">
        <v>1521</v>
      </c>
      <c r="M296">
        <v>0</v>
      </c>
      <c r="N296">
        <v>0</v>
      </c>
      <c r="O296">
        <v>1</v>
      </c>
      <c r="P296">
        <v>7.8958000000000004</v>
      </c>
      <c r="Q296" t="s">
        <v>1528</v>
      </c>
      <c r="R296" t="s">
        <v>1514</v>
      </c>
    </row>
    <row r="297" spans="1:18" x14ac:dyDescent="0.45">
      <c r="A297">
        <v>296</v>
      </c>
      <c r="B297">
        <v>0</v>
      </c>
      <c r="C297" t="s">
        <v>1519</v>
      </c>
      <c r="D297" t="s">
        <v>1553</v>
      </c>
      <c r="E297" t="s">
        <v>1014</v>
      </c>
      <c r="F297" t="s">
        <v>722</v>
      </c>
      <c r="G297" t="s">
        <v>313</v>
      </c>
      <c r="H297" t="s">
        <v>9</v>
      </c>
      <c r="I297" t="s">
        <v>1520</v>
      </c>
      <c r="J297">
        <v>28</v>
      </c>
      <c r="K297" t="s">
        <v>1521</v>
      </c>
      <c r="L297" t="s">
        <v>1521</v>
      </c>
      <c r="M297">
        <v>0</v>
      </c>
      <c r="N297">
        <v>0</v>
      </c>
      <c r="O297">
        <v>1</v>
      </c>
      <c r="P297" t="s">
        <v>16</v>
      </c>
      <c r="Q297" t="s">
        <v>1528</v>
      </c>
      <c r="R297" t="s">
        <v>1515</v>
      </c>
    </row>
    <row r="298" spans="1:18" x14ac:dyDescent="0.45">
      <c r="A298">
        <v>297</v>
      </c>
      <c r="B298">
        <v>0</v>
      </c>
      <c r="C298" t="s">
        <v>1519</v>
      </c>
      <c r="D298" t="s">
        <v>1552</v>
      </c>
      <c r="E298" t="s">
        <v>1015</v>
      </c>
      <c r="F298" t="s">
        <v>722</v>
      </c>
      <c r="G298" t="s">
        <v>314</v>
      </c>
      <c r="H298" t="s">
        <v>9</v>
      </c>
      <c r="I298" t="s">
        <v>1520</v>
      </c>
      <c r="J298">
        <v>23.5</v>
      </c>
      <c r="K298" t="s">
        <v>1521</v>
      </c>
      <c r="L298" t="s">
        <v>1521</v>
      </c>
      <c r="M298">
        <v>0</v>
      </c>
      <c r="N298">
        <v>0</v>
      </c>
      <c r="O298">
        <v>1</v>
      </c>
      <c r="P298">
        <v>7.2291999999999996</v>
      </c>
      <c r="Q298" t="s">
        <v>1528</v>
      </c>
      <c r="R298" t="s">
        <v>1515</v>
      </c>
    </row>
    <row r="299" spans="1:18" x14ac:dyDescent="0.45">
      <c r="A299">
        <v>298</v>
      </c>
      <c r="B299">
        <v>0</v>
      </c>
      <c r="C299" t="s">
        <v>1519</v>
      </c>
      <c r="D299" t="s">
        <v>1553</v>
      </c>
      <c r="E299" t="s">
        <v>1016</v>
      </c>
      <c r="F299" t="s">
        <v>724</v>
      </c>
      <c r="G299" t="s">
        <v>315</v>
      </c>
      <c r="H299" t="s">
        <v>10</v>
      </c>
      <c r="I299" t="s">
        <v>1523</v>
      </c>
      <c r="J299">
        <v>2</v>
      </c>
      <c r="K299" t="s">
        <v>1524</v>
      </c>
      <c r="L299" t="s">
        <v>1524</v>
      </c>
      <c r="M299">
        <v>1</v>
      </c>
      <c r="N299">
        <v>2</v>
      </c>
      <c r="O299">
        <v>4</v>
      </c>
      <c r="P299">
        <v>151.55000000000001</v>
      </c>
      <c r="Q299" t="s">
        <v>1528</v>
      </c>
      <c r="R299" t="s">
        <v>1514</v>
      </c>
    </row>
    <row r="300" spans="1:18" x14ac:dyDescent="0.45">
      <c r="A300">
        <v>299</v>
      </c>
      <c r="B300">
        <v>1</v>
      </c>
      <c r="C300" t="s">
        <v>1</v>
      </c>
      <c r="D300" t="s">
        <v>1553</v>
      </c>
      <c r="E300" t="s">
        <v>1017</v>
      </c>
      <c r="F300" t="s">
        <v>722</v>
      </c>
      <c r="G300" t="s">
        <v>316</v>
      </c>
      <c r="H300" t="s">
        <v>9</v>
      </c>
      <c r="I300" t="s">
        <v>1520</v>
      </c>
      <c r="J300">
        <v>28</v>
      </c>
      <c r="K300" t="s">
        <v>1521</v>
      </c>
      <c r="L300" t="s">
        <v>1521</v>
      </c>
      <c r="M300">
        <v>0</v>
      </c>
      <c r="N300">
        <v>0</v>
      </c>
      <c r="O300">
        <v>1</v>
      </c>
      <c r="P300" t="s">
        <v>33</v>
      </c>
      <c r="Q300" t="s">
        <v>1528</v>
      </c>
      <c r="R300" t="s">
        <v>1514</v>
      </c>
    </row>
    <row r="301" spans="1:18" x14ac:dyDescent="0.45">
      <c r="A301">
        <v>300</v>
      </c>
      <c r="B301">
        <v>1</v>
      </c>
      <c r="C301" t="s">
        <v>1</v>
      </c>
      <c r="D301" t="s">
        <v>1553</v>
      </c>
      <c r="E301" t="s">
        <v>896</v>
      </c>
      <c r="F301" t="s">
        <v>723</v>
      </c>
      <c r="G301" t="s">
        <v>166</v>
      </c>
      <c r="H301" t="s">
        <v>10</v>
      </c>
      <c r="I301" t="s">
        <v>1523</v>
      </c>
      <c r="J301">
        <v>50</v>
      </c>
      <c r="K301" t="s">
        <v>1521</v>
      </c>
      <c r="L301" t="s">
        <v>1521</v>
      </c>
      <c r="M301">
        <v>0</v>
      </c>
      <c r="N301">
        <v>1</v>
      </c>
      <c r="O301">
        <v>2</v>
      </c>
      <c r="P301" t="s">
        <v>21</v>
      </c>
      <c r="Q301" t="s">
        <v>1528</v>
      </c>
      <c r="R301" t="s">
        <v>1515</v>
      </c>
    </row>
    <row r="302" spans="1:18" x14ac:dyDescent="0.45">
      <c r="A302">
        <v>301</v>
      </c>
      <c r="B302">
        <v>1</v>
      </c>
      <c r="C302" t="s">
        <v>1</v>
      </c>
      <c r="D302" t="s">
        <v>1552</v>
      </c>
      <c r="E302" t="s">
        <v>1018</v>
      </c>
      <c r="F302" t="s">
        <v>724</v>
      </c>
      <c r="G302" t="s">
        <v>317</v>
      </c>
      <c r="H302" t="s">
        <v>10</v>
      </c>
      <c r="I302" t="s">
        <v>1523</v>
      </c>
      <c r="J302">
        <v>28</v>
      </c>
      <c r="K302" t="s">
        <v>1521</v>
      </c>
      <c r="L302" t="s">
        <v>1521</v>
      </c>
      <c r="M302">
        <v>0</v>
      </c>
      <c r="N302">
        <v>0</v>
      </c>
      <c r="O302">
        <v>1</v>
      </c>
      <c r="P302">
        <v>7.75</v>
      </c>
      <c r="Q302" t="s">
        <v>1528</v>
      </c>
      <c r="R302" t="s">
        <v>1516</v>
      </c>
    </row>
    <row r="303" spans="1:18" x14ac:dyDescent="0.45">
      <c r="A303">
        <v>302</v>
      </c>
      <c r="B303">
        <v>1</v>
      </c>
      <c r="C303" t="s">
        <v>1</v>
      </c>
      <c r="D303" t="s">
        <v>1552</v>
      </c>
      <c r="E303" t="s">
        <v>1019</v>
      </c>
      <c r="F303" t="s">
        <v>722</v>
      </c>
      <c r="G303" t="s">
        <v>318</v>
      </c>
      <c r="H303" t="s">
        <v>9</v>
      </c>
      <c r="I303" t="s">
        <v>1520</v>
      </c>
      <c r="J303">
        <v>28</v>
      </c>
      <c r="K303" t="s">
        <v>1521</v>
      </c>
      <c r="L303" t="s">
        <v>1521</v>
      </c>
      <c r="M303">
        <v>2</v>
      </c>
      <c r="N303">
        <v>0</v>
      </c>
      <c r="O303">
        <v>3</v>
      </c>
      <c r="P303">
        <v>23.25</v>
      </c>
      <c r="Q303" t="s">
        <v>1528</v>
      </c>
      <c r="R303" t="s">
        <v>1516</v>
      </c>
    </row>
    <row r="304" spans="1:18" x14ac:dyDescent="0.45">
      <c r="A304">
        <v>303</v>
      </c>
      <c r="B304">
        <v>0</v>
      </c>
      <c r="C304" t="s">
        <v>1519</v>
      </c>
      <c r="D304" t="s">
        <v>1552</v>
      </c>
      <c r="E304" t="s">
        <v>1020</v>
      </c>
      <c r="F304" t="s">
        <v>722</v>
      </c>
      <c r="G304" t="s">
        <v>63</v>
      </c>
      <c r="H304" t="s">
        <v>9</v>
      </c>
      <c r="I304" t="s">
        <v>1520</v>
      </c>
      <c r="J304">
        <v>19</v>
      </c>
      <c r="K304" t="s">
        <v>1521</v>
      </c>
      <c r="L304" t="s">
        <v>1521</v>
      </c>
      <c r="M304">
        <v>0</v>
      </c>
      <c r="N304">
        <v>0</v>
      </c>
      <c r="O304">
        <v>1</v>
      </c>
      <c r="P304">
        <v>14.4542</v>
      </c>
      <c r="Q304" t="s">
        <v>1528</v>
      </c>
      <c r="R304" t="s">
        <v>1514</v>
      </c>
    </row>
    <row r="305" spans="1:18" x14ac:dyDescent="0.45">
      <c r="A305">
        <v>304</v>
      </c>
      <c r="B305">
        <v>1</v>
      </c>
      <c r="C305" t="s">
        <v>1</v>
      </c>
      <c r="D305" t="s">
        <v>1554</v>
      </c>
      <c r="E305" t="s">
        <v>1021</v>
      </c>
      <c r="F305" t="s">
        <v>724</v>
      </c>
      <c r="G305" t="s">
        <v>319</v>
      </c>
      <c r="H305" t="s">
        <v>10</v>
      </c>
      <c r="I305" t="s">
        <v>1523</v>
      </c>
      <c r="J305">
        <v>28</v>
      </c>
      <c r="K305" t="s">
        <v>1521</v>
      </c>
      <c r="L305" t="s">
        <v>1521</v>
      </c>
      <c r="M305">
        <v>0</v>
      </c>
      <c r="N305">
        <v>0</v>
      </c>
      <c r="O305">
        <v>1</v>
      </c>
      <c r="P305">
        <v>12.35</v>
      </c>
      <c r="Q305" t="s">
        <v>1528</v>
      </c>
      <c r="R305" t="s">
        <v>1516</v>
      </c>
    </row>
    <row r="306" spans="1:18" x14ac:dyDescent="0.45">
      <c r="A306">
        <v>305</v>
      </c>
      <c r="B306">
        <v>0</v>
      </c>
      <c r="C306" t="s">
        <v>1519</v>
      </c>
      <c r="D306" t="s">
        <v>1552</v>
      </c>
      <c r="E306" t="s">
        <v>1022</v>
      </c>
      <c r="F306" t="s">
        <v>722</v>
      </c>
      <c r="G306" t="s">
        <v>72</v>
      </c>
      <c r="H306" t="s">
        <v>9</v>
      </c>
      <c r="I306" t="s">
        <v>1520</v>
      </c>
      <c r="J306">
        <v>28</v>
      </c>
      <c r="K306" t="s">
        <v>1521</v>
      </c>
      <c r="L306" t="s">
        <v>1521</v>
      </c>
      <c r="M306">
        <v>0</v>
      </c>
      <c r="N306">
        <v>0</v>
      </c>
      <c r="O306">
        <v>1</v>
      </c>
      <c r="P306" t="s">
        <v>12</v>
      </c>
      <c r="Q306" t="s">
        <v>1528</v>
      </c>
      <c r="R306" t="s">
        <v>1514</v>
      </c>
    </row>
    <row r="307" spans="1:18" x14ac:dyDescent="0.45">
      <c r="A307">
        <v>306</v>
      </c>
      <c r="B307">
        <v>1</v>
      </c>
      <c r="C307" t="s">
        <v>1</v>
      </c>
      <c r="D307" t="s">
        <v>1553</v>
      </c>
      <c r="E307" t="s">
        <v>1023</v>
      </c>
      <c r="F307" t="s">
        <v>725</v>
      </c>
      <c r="G307" t="s">
        <v>315</v>
      </c>
      <c r="H307" t="s">
        <v>9</v>
      </c>
      <c r="I307" t="s">
        <v>1520</v>
      </c>
      <c r="J307">
        <v>0.92</v>
      </c>
      <c r="K307" t="s">
        <v>1524</v>
      </c>
      <c r="L307" t="s">
        <v>1524</v>
      </c>
      <c r="M307">
        <v>1</v>
      </c>
      <c r="N307">
        <v>2</v>
      </c>
      <c r="O307">
        <v>4</v>
      </c>
      <c r="P307">
        <v>151.55000000000001</v>
      </c>
      <c r="Q307" t="s">
        <v>1528</v>
      </c>
      <c r="R307" t="s">
        <v>1514</v>
      </c>
    </row>
    <row r="308" spans="1:18" x14ac:dyDescent="0.45">
      <c r="A308">
        <v>307</v>
      </c>
      <c r="B308">
        <v>1</v>
      </c>
      <c r="C308" t="s">
        <v>1</v>
      </c>
      <c r="D308" t="s">
        <v>1553</v>
      </c>
      <c r="E308" t="s">
        <v>1024</v>
      </c>
      <c r="F308" t="s">
        <v>724</v>
      </c>
      <c r="G308" t="s">
        <v>320</v>
      </c>
      <c r="H308" t="s">
        <v>10</v>
      </c>
      <c r="I308" t="s">
        <v>1523</v>
      </c>
      <c r="J308">
        <v>28</v>
      </c>
      <c r="K308" t="s">
        <v>1521</v>
      </c>
      <c r="L308" t="s">
        <v>1521</v>
      </c>
      <c r="M308">
        <v>0</v>
      </c>
      <c r="N308">
        <v>0</v>
      </c>
      <c r="O308">
        <v>1</v>
      </c>
      <c r="P308" t="s">
        <v>34</v>
      </c>
      <c r="Q308" t="s">
        <v>1528</v>
      </c>
      <c r="R308" t="s">
        <v>1515</v>
      </c>
    </row>
    <row r="309" spans="1:18" x14ac:dyDescent="0.45">
      <c r="A309">
        <v>308</v>
      </c>
      <c r="B309">
        <v>1</v>
      </c>
      <c r="C309" t="s">
        <v>1</v>
      </c>
      <c r="D309" t="s">
        <v>1553</v>
      </c>
      <c r="E309" t="s">
        <v>1025</v>
      </c>
      <c r="F309" t="s">
        <v>723</v>
      </c>
      <c r="G309" t="s">
        <v>321</v>
      </c>
      <c r="H309" t="s">
        <v>10</v>
      </c>
      <c r="I309" t="s">
        <v>1523</v>
      </c>
      <c r="J309">
        <v>17</v>
      </c>
      <c r="K309" t="s">
        <v>1525</v>
      </c>
      <c r="L309" t="s">
        <v>1525</v>
      </c>
      <c r="M309">
        <v>1</v>
      </c>
      <c r="N309">
        <v>0</v>
      </c>
      <c r="O309">
        <v>2</v>
      </c>
      <c r="P309" t="s">
        <v>35</v>
      </c>
      <c r="Q309" t="s">
        <v>1528</v>
      </c>
      <c r="R309" t="s">
        <v>1515</v>
      </c>
    </row>
    <row r="310" spans="1:18" x14ac:dyDescent="0.45">
      <c r="A310">
        <v>309</v>
      </c>
      <c r="B310">
        <v>0</v>
      </c>
      <c r="C310" t="s">
        <v>1519</v>
      </c>
      <c r="D310" t="s">
        <v>1554</v>
      </c>
      <c r="E310" t="s">
        <v>1026</v>
      </c>
      <c r="F310" t="s">
        <v>722</v>
      </c>
      <c r="G310" t="s">
        <v>322</v>
      </c>
      <c r="H310" t="s">
        <v>9</v>
      </c>
      <c r="I310" t="s">
        <v>1520</v>
      </c>
      <c r="J310">
        <v>30</v>
      </c>
      <c r="K310" t="s">
        <v>1521</v>
      </c>
      <c r="L310" t="s">
        <v>1521</v>
      </c>
      <c r="M310">
        <v>1</v>
      </c>
      <c r="N310">
        <v>0</v>
      </c>
      <c r="O310">
        <v>2</v>
      </c>
      <c r="P310">
        <v>24</v>
      </c>
      <c r="Q310" t="s">
        <v>1528</v>
      </c>
      <c r="R310" t="s">
        <v>1515</v>
      </c>
    </row>
    <row r="311" spans="1:18" x14ac:dyDescent="0.45">
      <c r="A311">
        <v>310</v>
      </c>
      <c r="B311">
        <v>1</v>
      </c>
      <c r="C311" t="s">
        <v>1</v>
      </c>
      <c r="D311" t="s">
        <v>1553</v>
      </c>
      <c r="E311" t="s">
        <v>1027</v>
      </c>
      <c r="F311" t="s">
        <v>724</v>
      </c>
      <c r="G311" t="s">
        <v>323</v>
      </c>
      <c r="H311" t="s">
        <v>10</v>
      </c>
      <c r="I311" t="s">
        <v>1523</v>
      </c>
      <c r="J311">
        <v>30</v>
      </c>
      <c r="K311" t="s">
        <v>1521</v>
      </c>
      <c r="L311" t="s">
        <v>1521</v>
      </c>
      <c r="M311">
        <v>0</v>
      </c>
      <c r="N311">
        <v>0</v>
      </c>
      <c r="O311">
        <v>1</v>
      </c>
      <c r="P311">
        <v>56.929200000000002</v>
      </c>
      <c r="Q311" t="s">
        <v>1528</v>
      </c>
      <c r="R311" t="s">
        <v>1515</v>
      </c>
    </row>
    <row r="312" spans="1:18" x14ac:dyDescent="0.45">
      <c r="A312">
        <v>311</v>
      </c>
      <c r="B312">
        <v>1</v>
      </c>
      <c r="C312" t="s">
        <v>1</v>
      </c>
      <c r="D312" t="s">
        <v>1553</v>
      </c>
      <c r="E312" t="s">
        <v>1028</v>
      </c>
      <c r="F312" t="s">
        <v>724</v>
      </c>
      <c r="G312" t="s">
        <v>324</v>
      </c>
      <c r="H312" t="s">
        <v>10</v>
      </c>
      <c r="I312" t="s">
        <v>1523</v>
      </c>
      <c r="J312">
        <v>24</v>
      </c>
      <c r="K312" t="s">
        <v>1521</v>
      </c>
      <c r="L312" t="s">
        <v>1521</v>
      </c>
      <c r="M312">
        <v>0</v>
      </c>
      <c r="N312">
        <v>0</v>
      </c>
      <c r="O312">
        <v>1</v>
      </c>
      <c r="P312">
        <v>83.158299999999997</v>
      </c>
      <c r="Q312" t="s">
        <v>1528</v>
      </c>
      <c r="R312" t="s">
        <v>1515</v>
      </c>
    </row>
    <row r="313" spans="1:18" x14ac:dyDescent="0.45">
      <c r="A313">
        <v>312</v>
      </c>
      <c r="B313">
        <v>1</v>
      </c>
      <c r="C313" t="s">
        <v>1</v>
      </c>
      <c r="D313" t="s">
        <v>1553</v>
      </c>
      <c r="E313" t="s">
        <v>1029</v>
      </c>
      <c r="F313" t="s">
        <v>724</v>
      </c>
      <c r="G313" t="s">
        <v>325</v>
      </c>
      <c r="H313" t="s">
        <v>10</v>
      </c>
      <c r="I313" t="s">
        <v>1523</v>
      </c>
      <c r="J313">
        <v>18</v>
      </c>
      <c r="K313" t="s">
        <v>1521</v>
      </c>
      <c r="L313" t="s">
        <v>1521</v>
      </c>
      <c r="M313">
        <v>2</v>
      </c>
      <c r="N313">
        <v>2</v>
      </c>
      <c r="O313">
        <v>5</v>
      </c>
      <c r="P313">
        <v>262.375</v>
      </c>
      <c r="Q313" t="s">
        <v>1528</v>
      </c>
      <c r="R313" t="s">
        <v>1515</v>
      </c>
    </row>
    <row r="314" spans="1:18" x14ac:dyDescent="0.45">
      <c r="A314">
        <v>313</v>
      </c>
      <c r="B314">
        <v>0</v>
      </c>
      <c r="C314" t="s">
        <v>1519</v>
      </c>
      <c r="D314" t="s">
        <v>1554</v>
      </c>
      <c r="E314" t="s">
        <v>901</v>
      </c>
      <c r="F314" t="s">
        <v>723</v>
      </c>
      <c r="G314" t="s">
        <v>326</v>
      </c>
      <c r="H314" t="s">
        <v>10</v>
      </c>
      <c r="I314" t="s">
        <v>1523</v>
      </c>
      <c r="J314">
        <v>26</v>
      </c>
      <c r="K314" t="s">
        <v>1521</v>
      </c>
      <c r="L314" t="s">
        <v>1521</v>
      </c>
      <c r="M314">
        <v>1</v>
      </c>
      <c r="N314">
        <v>1</v>
      </c>
      <c r="O314">
        <v>3</v>
      </c>
      <c r="P314">
        <v>26</v>
      </c>
      <c r="Q314" t="s">
        <v>1528</v>
      </c>
      <c r="R314" t="s">
        <v>1514</v>
      </c>
    </row>
    <row r="315" spans="1:18" x14ac:dyDescent="0.45">
      <c r="A315">
        <v>314</v>
      </c>
      <c r="B315">
        <v>0</v>
      </c>
      <c r="C315" t="s">
        <v>1519</v>
      </c>
      <c r="D315" t="s">
        <v>1552</v>
      </c>
      <c r="E315" t="s">
        <v>1030</v>
      </c>
      <c r="F315" t="s">
        <v>722</v>
      </c>
      <c r="G315" t="s">
        <v>327</v>
      </c>
      <c r="H315" t="s">
        <v>9</v>
      </c>
      <c r="I315" t="s">
        <v>1520</v>
      </c>
      <c r="J315">
        <v>28</v>
      </c>
      <c r="K315" t="s">
        <v>1521</v>
      </c>
      <c r="L315" t="s">
        <v>1521</v>
      </c>
      <c r="M315">
        <v>0</v>
      </c>
      <c r="N315">
        <v>0</v>
      </c>
      <c r="O315">
        <v>1</v>
      </c>
      <c r="P315">
        <v>7.8958000000000004</v>
      </c>
      <c r="Q315" t="s">
        <v>1528</v>
      </c>
      <c r="R315" t="s">
        <v>1514</v>
      </c>
    </row>
    <row r="316" spans="1:18" x14ac:dyDescent="0.45">
      <c r="A316">
        <v>315</v>
      </c>
      <c r="B316">
        <v>0</v>
      </c>
      <c r="C316" t="s">
        <v>1519</v>
      </c>
      <c r="D316" t="s">
        <v>1554</v>
      </c>
      <c r="E316" t="s">
        <v>1031</v>
      </c>
      <c r="F316" t="s">
        <v>722</v>
      </c>
      <c r="G316" t="s">
        <v>328</v>
      </c>
      <c r="H316" t="s">
        <v>9</v>
      </c>
      <c r="I316" t="s">
        <v>1520</v>
      </c>
      <c r="J316">
        <v>43</v>
      </c>
      <c r="K316" t="s">
        <v>1521</v>
      </c>
      <c r="L316" t="s">
        <v>1521</v>
      </c>
      <c r="M316">
        <v>1</v>
      </c>
      <c r="N316">
        <v>1</v>
      </c>
      <c r="O316">
        <v>3</v>
      </c>
      <c r="P316">
        <v>26.25</v>
      </c>
      <c r="Q316" t="s">
        <v>1528</v>
      </c>
      <c r="R316" t="s">
        <v>1514</v>
      </c>
    </row>
    <row r="317" spans="1:18" x14ac:dyDescent="0.45">
      <c r="A317">
        <v>316</v>
      </c>
      <c r="B317">
        <v>1</v>
      </c>
      <c r="C317" t="s">
        <v>1</v>
      </c>
      <c r="D317" t="s">
        <v>1552</v>
      </c>
      <c r="E317" t="s">
        <v>1032</v>
      </c>
      <c r="F317" t="s">
        <v>724</v>
      </c>
      <c r="G317" t="s">
        <v>329</v>
      </c>
      <c r="H317" t="s">
        <v>10</v>
      </c>
      <c r="I317" t="s">
        <v>1523</v>
      </c>
      <c r="J317">
        <v>26</v>
      </c>
      <c r="K317" t="s">
        <v>1521</v>
      </c>
      <c r="L317" t="s">
        <v>1521</v>
      </c>
      <c r="M317">
        <v>0</v>
      </c>
      <c r="N317">
        <v>0</v>
      </c>
      <c r="O317">
        <v>1</v>
      </c>
      <c r="P317">
        <v>7.8541999999999996</v>
      </c>
      <c r="Q317" t="s">
        <v>1528</v>
      </c>
      <c r="R317" t="s">
        <v>1514</v>
      </c>
    </row>
    <row r="318" spans="1:18" x14ac:dyDescent="0.45">
      <c r="A318">
        <v>317</v>
      </c>
      <c r="B318">
        <v>1</v>
      </c>
      <c r="C318" t="s">
        <v>1</v>
      </c>
      <c r="D318" t="s">
        <v>1554</v>
      </c>
      <c r="E318" t="s">
        <v>1033</v>
      </c>
      <c r="F318" t="s">
        <v>723</v>
      </c>
      <c r="G318" t="s">
        <v>149</v>
      </c>
      <c r="H318" t="s">
        <v>10</v>
      </c>
      <c r="I318" t="s">
        <v>1523</v>
      </c>
      <c r="J318">
        <v>24</v>
      </c>
      <c r="K318" t="s">
        <v>1521</v>
      </c>
      <c r="L318" t="s">
        <v>1521</v>
      </c>
      <c r="M318">
        <v>1</v>
      </c>
      <c r="N318">
        <v>0</v>
      </c>
      <c r="O318">
        <v>2</v>
      </c>
      <c r="P318">
        <v>26</v>
      </c>
      <c r="Q318" t="s">
        <v>1528</v>
      </c>
      <c r="R318" t="s">
        <v>1514</v>
      </c>
    </row>
    <row r="319" spans="1:18" x14ac:dyDescent="0.45">
      <c r="A319">
        <v>318</v>
      </c>
      <c r="B319">
        <v>0</v>
      </c>
      <c r="C319" t="s">
        <v>1519</v>
      </c>
      <c r="D319" t="s">
        <v>1554</v>
      </c>
      <c r="E319" t="s">
        <v>1034</v>
      </c>
      <c r="F319" t="s">
        <v>728</v>
      </c>
      <c r="G319" t="s">
        <v>330</v>
      </c>
      <c r="H319" t="s">
        <v>9</v>
      </c>
      <c r="I319" t="s">
        <v>1520</v>
      </c>
      <c r="J319">
        <v>54</v>
      </c>
      <c r="K319" t="s">
        <v>1521</v>
      </c>
      <c r="L319" t="s">
        <v>1521</v>
      </c>
      <c r="M319">
        <v>0</v>
      </c>
      <c r="N319">
        <v>0</v>
      </c>
      <c r="O319">
        <v>1</v>
      </c>
      <c r="P319">
        <v>14</v>
      </c>
      <c r="Q319" t="s">
        <v>1528</v>
      </c>
      <c r="R319" t="s">
        <v>1514</v>
      </c>
    </row>
    <row r="320" spans="1:18" x14ac:dyDescent="0.45">
      <c r="A320">
        <v>319</v>
      </c>
      <c r="B320">
        <v>1</v>
      </c>
      <c r="C320" t="s">
        <v>1</v>
      </c>
      <c r="D320" t="s">
        <v>1553</v>
      </c>
      <c r="E320" t="s">
        <v>1035</v>
      </c>
      <c r="F320" t="s">
        <v>724</v>
      </c>
      <c r="G320" t="s">
        <v>331</v>
      </c>
      <c r="H320" t="s">
        <v>10</v>
      </c>
      <c r="I320" t="s">
        <v>1523</v>
      </c>
      <c r="J320">
        <v>31</v>
      </c>
      <c r="K320" t="s">
        <v>1521</v>
      </c>
      <c r="L320" t="s">
        <v>1521</v>
      </c>
      <c r="M320">
        <v>0</v>
      </c>
      <c r="N320">
        <v>2</v>
      </c>
      <c r="O320">
        <v>3</v>
      </c>
      <c r="P320">
        <v>164.86670000000001</v>
      </c>
      <c r="Q320" t="s">
        <v>1528</v>
      </c>
      <c r="R320" t="s">
        <v>1514</v>
      </c>
    </row>
    <row r="321" spans="1:18" x14ac:dyDescent="0.45">
      <c r="A321">
        <v>320</v>
      </c>
      <c r="B321">
        <v>1</v>
      </c>
      <c r="C321" t="s">
        <v>1</v>
      </c>
      <c r="D321" t="s">
        <v>1553</v>
      </c>
      <c r="E321" t="s">
        <v>1036</v>
      </c>
      <c r="F321" t="s">
        <v>723</v>
      </c>
      <c r="G321" t="s">
        <v>332</v>
      </c>
      <c r="H321" t="s">
        <v>10</v>
      </c>
      <c r="I321" t="s">
        <v>1523</v>
      </c>
      <c r="J321">
        <v>40</v>
      </c>
      <c r="K321" t="s">
        <v>1521</v>
      </c>
      <c r="L321" t="s">
        <v>1521</v>
      </c>
      <c r="M321">
        <v>1</v>
      </c>
      <c r="N321">
        <v>1</v>
      </c>
      <c r="O321">
        <v>3</v>
      </c>
      <c r="P321">
        <v>134.5</v>
      </c>
      <c r="Q321" t="s">
        <v>1528</v>
      </c>
      <c r="R321" t="s">
        <v>1515</v>
      </c>
    </row>
    <row r="322" spans="1:18" x14ac:dyDescent="0.45">
      <c r="A322">
        <v>321</v>
      </c>
      <c r="B322">
        <v>0</v>
      </c>
      <c r="C322" t="s">
        <v>1519</v>
      </c>
      <c r="D322" t="s">
        <v>1552</v>
      </c>
      <c r="E322" t="s">
        <v>1026</v>
      </c>
      <c r="F322" t="s">
        <v>722</v>
      </c>
      <c r="G322" t="s">
        <v>333</v>
      </c>
      <c r="H322" t="s">
        <v>9</v>
      </c>
      <c r="I322" t="s">
        <v>1520</v>
      </c>
      <c r="J322">
        <v>22</v>
      </c>
      <c r="K322" t="s">
        <v>1521</v>
      </c>
      <c r="L322" t="s">
        <v>1521</v>
      </c>
      <c r="M322">
        <v>0</v>
      </c>
      <c r="N322">
        <v>0</v>
      </c>
      <c r="O322">
        <v>1</v>
      </c>
      <c r="P322">
        <v>7.25</v>
      </c>
      <c r="Q322" t="s">
        <v>1528</v>
      </c>
      <c r="R322" t="s">
        <v>1514</v>
      </c>
    </row>
    <row r="323" spans="1:18" x14ac:dyDescent="0.45">
      <c r="A323">
        <v>322</v>
      </c>
      <c r="B323">
        <v>0</v>
      </c>
      <c r="C323" t="s">
        <v>1519</v>
      </c>
      <c r="D323" t="s">
        <v>1552</v>
      </c>
      <c r="E323" t="s">
        <v>1037</v>
      </c>
      <c r="F323" t="s">
        <v>722</v>
      </c>
      <c r="G323" t="s">
        <v>334</v>
      </c>
      <c r="H323" t="s">
        <v>9</v>
      </c>
      <c r="I323" t="s">
        <v>1520</v>
      </c>
      <c r="J323">
        <v>27</v>
      </c>
      <c r="K323" t="s">
        <v>1521</v>
      </c>
      <c r="L323" t="s">
        <v>1521</v>
      </c>
      <c r="M323">
        <v>0</v>
      </c>
      <c r="N323">
        <v>0</v>
      </c>
      <c r="O323">
        <v>1</v>
      </c>
      <c r="P323">
        <v>7.8958000000000004</v>
      </c>
      <c r="Q323" t="s">
        <v>1528</v>
      </c>
      <c r="R323" t="s">
        <v>1514</v>
      </c>
    </row>
    <row r="324" spans="1:18" x14ac:dyDescent="0.45">
      <c r="A324">
        <v>323</v>
      </c>
      <c r="B324">
        <v>1</v>
      </c>
      <c r="C324" t="s">
        <v>1</v>
      </c>
      <c r="D324" t="s">
        <v>1554</v>
      </c>
      <c r="E324" t="s">
        <v>1038</v>
      </c>
      <c r="F324" t="s">
        <v>724</v>
      </c>
      <c r="G324" t="s">
        <v>335</v>
      </c>
      <c r="H324" t="s">
        <v>10</v>
      </c>
      <c r="I324" t="s">
        <v>1523</v>
      </c>
      <c r="J324">
        <v>30</v>
      </c>
      <c r="K324" t="s">
        <v>1521</v>
      </c>
      <c r="L324" t="s">
        <v>1521</v>
      </c>
      <c r="M324">
        <v>0</v>
      </c>
      <c r="N324">
        <v>0</v>
      </c>
      <c r="O324">
        <v>1</v>
      </c>
      <c r="P324">
        <v>12.35</v>
      </c>
      <c r="Q324" t="s">
        <v>1528</v>
      </c>
      <c r="R324" t="s">
        <v>1516</v>
      </c>
    </row>
    <row r="325" spans="1:18" x14ac:dyDescent="0.45">
      <c r="A325">
        <v>324</v>
      </c>
      <c r="B325">
        <v>1</v>
      </c>
      <c r="C325" t="s">
        <v>1</v>
      </c>
      <c r="D325" t="s">
        <v>1554</v>
      </c>
      <c r="E325" t="s">
        <v>1039</v>
      </c>
      <c r="F325" t="s">
        <v>723</v>
      </c>
      <c r="G325" t="s">
        <v>129</v>
      </c>
      <c r="H325" t="s">
        <v>10</v>
      </c>
      <c r="I325" t="s">
        <v>1523</v>
      </c>
      <c r="J325">
        <v>22</v>
      </c>
      <c r="K325" t="s">
        <v>1521</v>
      </c>
      <c r="L325" t="s">
        <v>1521</v>
      </c>
      <c r="M325">
        <v>1</v>
      </c>
      <c r="N325">
        <v>1</v>
      </c>
      <c r="O325">
        <v>3</v>
      </c>
      <c r="P325">
        <v>29</v>
      </c>
      <c r="Q325" t="s">
        <v>1528</v>
      </c>
      <c r="R325" t="s">
        <v>1514</v>
      </c>
    </row>
    <row r="326" spans="1:18" x14ac:dyDescent="0.45">
      <c r="A326">
        <v>325</v>
      </c>
      <c r="B326">
        <v>0</v>
      </c>
      <c r="C326" t="s">
        <v>1519</v>
      </c>
      <c r="D326" t="s">
        <v>1552</v>
      </c>
      <c r="E326" t="s">
        <v>1040</v>
      </c>
      <c r="F326" t="s">
        <v>722</v>
      </c>
      <c r="G326" t="s">
        <v>199</v>
      </c>
      <c r="H326" t="s">
        <v>9</v>
      </c>
      <c r="I326" t="s">
        <v>1520</v>
      </c>
      <c r="J326">
        <v>28</v>
      </c>
      <c r="K326" t="s">
        <v>1521</v>
      </c>
      <c r="L326" t="s">
        <v>1521</v>
      </c>
      <c r="M326">
        <v>8</v>
      </c>
      <c r="N326">
        <v>2</v>
      </c>
      <c r="O326">
        <v>11</v>
      </c>
      <c r="P326">
        <v>69.55</v>
      </c>
      <c r="Q326" t="s">
        <v>1528</v>
      </c>
      <c r="R326" t="s">
        <v>1514</v>
      </c>
    </row>
    <row r="327" spans="1:18" x14ac:dyDescent="0.45">
      <c r="A327">
        <v>326</v>
      </c>
      <c r="B327">
        <v>1</v>
      </c>
      <c r="C327" t="s">
        <v>1</v>
      </c>
      <c r="D327" t="s">
        <v>1553</v>
      </c>
      <c r="E327" t="s">
        <v>1041</v>
      </c>
      <c r="F327" t="s">
        <v>724</v>
      </c>
      <c r="G327" t="s">
        <v>336</v>
      </c>
      <c r="H327" t="s">
        <v>10</v>
      </c>
      <c r="I327" t="s">
        <v>1523</v>
      </c>
      <c r="J327">
        <v>36</v>
      </c>
      <c r="K327" t="s">
        <v>1521</v>
      </c>
      <c r="L327" t="s">
        <v>1521</v>
      </c>
      <c r="M327">
        <v>0</v>
      </c>
      <c r="N327">
        <v>0</v>
      </c>
      <c r="O327">
        <v>1</v>
      </c>
      <c r="P327">
        <v>135.63329999999999</v>
      </c>
      <c r="Q327" t="s">
        <v>1528</v>
      </c>
      <c r="R327" t="s">
        <v>1515</v>
      </c>
    </row>
    <row r="328" spans="1:18" x14ac:dyDescent="0.45">
      <c r="A328">
        <v>327</v>
      </c>
      <c r="B328">
        <v>0</v>
      </c>
      <c r="C328" t="s">
        <v>1519</v>
      </c>
      <c r="D328" t="s">
        <v>1552</v>
      </c>
      <c r="E328" t="s">
        <v>1042</v>
      </c>
      <c r="F328" t="s">
        <v>722</v>
      </c>
      <c r="G328" t="s">
        <v>337</v>
      </c>
      <c r="H328" t="s">
        <v>9</v>
      </c>
      <c r="I328" t="s">
        <v>1520</v>
      </c>
      <c r="J328">
        <v>61</v>
      </c>
      <c r="K328" t="s">
        <v>1527</v>
      </c>
      <c r="L328" t="s">
        <v>1527</v>
      </c>
      <c r="M328">
        <v>0</v>
      </c>
      <c r="N328">
        <v>0</v>
      </c>
      <c r="O328">
        <v>1</v>
      </c>
      <c r="P328">
        <v>6.2374999999999998</v>
      </c>
      <c r="Q328" t="s">
        <v>1528</v>
      </c>
      <c r="R328" t="s">
        <v>1514</v>
      </c>
    </row>
    <row r="329" spans="1:18" x14ac:dyDescent="0.45">
      <c r="A329">
        <v>328</v>
      </c>
      <c r="B329">
        <v>1</v>
      </c>
      <c r="C329" t="s">
        <v>1</v>
      </c>
      <c r="D329" t="s">
        <v>1554</v>
      </c>
      <c r="E329" t="s">
        <v>753</v>
      </c>
      <c r="F329" t="s">
        <v>723</v>
      </c>
      <c r="G329" t="s">
        <v>338</v>
      </c>
      <c r="H329" t="s">
        <v>10</v>
      </c>
      <c r="I329" t="s">
        <v>1523</v>
      </c>
      <c r="J329">
        <v>36</v>
      </c>
      <c r="K329" t="s">
        <v>1521</v>
      </c>
      <c r="L329" t="s">
        <v>1521</v>
      </c>
      <c r="M329">
        <v>0</v>
      </c>
      <c r="N329">
        <v>0</v>
      </c>
      <c r="O329">
        <v>1</v>
      </c>
      <c r="P329">
        <v>13</v>
      </c>
      <c r="Q329" t="s">
        <v>1528</v>
      </c>
      <c r="R329" t="s">
        <v>1514</v>
      </c>
    </row>
    <row r="330" spans="1:18" x14ac:dyDescent="0.45">
      <c r="A330">
        <v>329</v>
      </c>
      <c r="B330">
        <v>1</v>
      </c>
      <c r="C330" t="s">
        <v>1</v>
      </c>
      <c r="D330" t="s">
        <v>1552</v>
      </c>
      <c r="E330" t="s">
        <v>1043</v>
      </c>
      <c r="F330" t="s">
        <v>723</v>
      </c>
      <c r="G330" t="s">
        <v>204</v>
      </c>
      <c r="H330" t="s">
        <v>10</v>
      </c>
      <c r="I330" t="s">
        <v>1523</v>
      </c>
      <c r="J330">
        <v>31</v>
      </c>
      <c r="K330" t="s">
        <v>1521</v>
      </c>
      <c r="L330" t="s">
        <v>1521</v>
      </c>
      <c r="M330">
        <v>1</v>
      </c>
      <c r="N330">
        <v>1</v>
      </c>
      <c r="O330">
        <v>3</v>
      </c>
      <c r="P330" t="s">
        <v>24</v>
      </c>
      <c r="Q330" t="s">
        <v>1528</v>
      </c>
      <c r="R330" t="s">
        <v>1514</v>
      </c>
    </row>
    <row r="331" spans="1:18" x14ac:dyDescent="0.45">
      <c r="A331">
        <v>330</v>
      </c>
      <c r="B331">
        <v>1</v>
      </c>
      <c r="C331" t="s">
        <v>1</v>
      </c>
      <c r="D331" t="s">
        <v>1553</v>
      </c>
      <c r="E331" t="s">
        <v>1044</v>
      </c>
      <c r="F331" t="s">
        <v>724</v>
      </c>
      <c r="G331" t="s">
        <v>339</v>
      </c>
      <c r="H331" t="s">
        <v>10</v>
      </c>
      <c r="I331" t="s">
        <v>1523</v>
      </c>
      <c r="J331">
        <v>16</v>
      </c>
      <c r="K331" t="s">
        <v>1525</v>
      </c>
      <c r="L331" t="s">
        <v>1525</v>
      </c>
      <c r="M331">
        <v>0</v>
      </c>
      <c r="N331">
        <v>1</v>
      </c>
      <c r="O331">
        <v>2</v>
      </c>
      <c r="P331">
        <v>57.979199999999999</v>
      </c>
      <c r="Q331" t="s">
        <v>1528</v>
      </c>
      <c r="R331" t="s">
        <v>1515</v>
      </c>
    </row>
    <row r="332" spans="1:18" x14ac:dyDescent="0.45">
      <c r="A332">
        <v>331</v>
      </c>
      <c r="B332">
        <v>1</v>
      </c>
      <c r="C332" t="s">
        <v>1</v>
      </c>
      <c r="D332" t="s">
        <v>1552</v>
      </c>
      <c r="E332" t="s">
        <v>1045</v>
      </c>
      <c r="F332" t="s">
        <v>724</v>
      </c>
      <c r="G332" t="s">
        <v>318</v>
      </c>
      <c r="H332" t="s">
        <v>10</v>
      </c>
      <c r="I332" t="s">
        <v>1523</v>
      </c>
      <c r="J332">
        <v>28</v>
      </c>
      <c r="K332" t="s">
        <v>1521</v>
      </c>
      <c r="L332" t="s">
        <v>1521</v>
      </c>
      <c r="M332">
        <v>2</v>
      </c>
      <c r="N332">
        <v>0</v>
      </c>
      <c r="O332">
        <v>3</v>
      </c>
      <c r="P332">
        <v>23.25</v>
      </c>
      <c r="Q332" t="s">
        <v>1528</v>
      </c>
      <c r="R332" t="s">
        <v>1516</v>
      </c>
    </row>
    <row r="333" spans="1:18" x14ac:dyDescent="0.45">
      <c r="A333">
        <v>332</v>
      </c>
      <c r="B333">
        <v>0</v>
      </c>
      <c r="C333" t="s">
        <v>1519</v>
      </c>
      <c r="D333" t="s">
        <v>1553</v>
      </c>
      <c r="E333" t="s">
        <v>1046</v>
      </c>
      <c r="F333" t="s">
        <v>722</v>
      </c>
      <c r="G333" t="s">
        <v>340</v>
      </c>
      <c r="H333" t="s">
        <v>9</v>
      </c>
      <c r="I333" t="s">
        <v>1520</v>
      </c>
      <c r="J333">
        <v>45.5</v>
      </c>
      <c r="K333" t="s">
        <v>1521</v>
      </c>
      <c r="L333" t="s">
        <v>1521</v>
      </c>
      <c r="M333">
        <v>0</v>
      </c>
      <c r="N333">
        <v>0</v>
      </c>
      <c r="O333">
        <v>1</v>
      </c>
      <c r="P333">
        <v>28.5</v>
      </c>
      <c r="Q333" t="s">
        <v>1528</v>
      </c>
      <c r="R333" t="s">
        <v>1514</v>
      </c>
    </row>
    <row r="334" spans="1:18" x14ac:dyDescent="0.45">
      <c r="A334">
        <v>333</v>
      </c>
      <c r="B334">
        <v>0</v>
      </c>
      <c r="C334" t="s">
        <v>1519</v>
      </c>
      <c r="D334" t="s">
        <v>1553</v>
      </c>
      <c r="E334" t="s">
        <v>1047</v>
      </c>
      <c r="F334" t="s">
        <v>722</v>
      </c>
      <c r="G334" t="s">
        <v>288</v>
      </c>
      <c r="H334" t="s">
        <v>9</v>
      </c>
      <c r="I334" t="s">
        <v>1520</v>
      </c>
      <c r="J334">
        <v>38</v>
      </c>
      <c r="K334" t="s">
        <v>1521</v>
      </c>
      <c r="L334" t="s">
        <v>1521</v>
      </c>
      <c r="M334">
        <v>0</v>
      </c>
      <c r="N334">
        <v>1</v>
      </c>
      <c r="O334">
        <v>2</v>
      </c>
      <c r="P334">
        <v>153.46250000000001</v>
      </c>
      <c r="Q334" t="s">
        <v>1528</v>
      </c>
      <c r="R334" t="s">
        <v>1514</v>
      </c>
    </row>
    <row r="335" spans="1:18" x14ac:dyDescent="0.45">
      <c r="A335">
        <v>334</v>
      </c>
      <c r="B335">
        <v>0</v>
      </c>
      <c r="C335" t="s">
        <v>1519</v>
      </c>
      <c r="D335" t="s">
        <v>1552</v>
      </c>
      <c r="E335" t="s">
        <v>1048</v>
      </c>
      <c r="F335" t="s">
        <v>722</v>
      </c>
      <c r="G335" t="s">
        <v>73</v>
      </c>
      <c r="H335" t="s">
        <v>9</v>
      </c>
      <c r="I335" t="s">
        <v>1520</v>
      </c>
      <c r="J335">
        <v>16</v>
      </c>
      <c r="K335" t="s">
        <v>1525</v>
      </c>
      <c r="L335" t="s">
        <v>1525</v>
      </c>
      <c r="M335">
        <v>2</v>
      </c>
      <c r="N335">
        <v>0</v>
      </c>
      <c r="O335">
        <v>3</v>
      </c>
      <c r="P335">
        <v>18</v>
      </c>
      <c r="Q335" t="s">
        <v>1528</v>
      </c>
      <c r="R335" t="s">
        <v>1514</v>
      </c>
    </row>
    <row r="336" spans="1:18" x14ac:dyDescent="0.45">
      <c r="A336">
        <v>335</v>
      </c>
      <c r="B336">
        <v>1</v>
      </c>
      <c r="C336" t="s">
        <v>1</v>
      </c>
      <c r="D336" t="s">
        <v>1553</v>
      </c>
      <c r="E336" t="s">
        <v>1049</v>
      </c>
      <c r="F336" t="s">
        <v>723</v>
      </c>
      <c r="G336" t="s">
        <v>341</v>
      </c>
      <c r="H336" t="s">
        <v>10</v>
      </c>
      <c r="I336" t="s">
        <v>1523</v>
      </c>
      <c r="J336">
        <v>28</v>
      </c>
      <c r="K336" t="s">
        <v>1521</v>
      </c>
      <c r="L336" t="s">
        <v>1521</v>
      </c>
      <c r="M336">
        <v>1</v>
      </c>
      <c r="N336">
        <v>0</v>
      </c>
      <c r="O336">
        <v>2</v>
      </c>
      <c r="P336">
        <v>133.65</v>
      </c>
      <c r="Q336" t="s">
        <v>1528</v>
      </c>
      <c r="R336" t="s">
        <v>1514</v>
      </c>
    </row>
    <row r="337" spans="1:18" x14ac:dyDescent="0.45">
      <c r="A337">
        <v>336</v>
      </c>
      <c r="B337">
        <v>0</v>
      </c>
      <c r="C337" t="s">
        <v>1519</v>
      </c>
      <c r="D337" t="s">
        <v>1552</v>
      </c>
      <c r="E337" t="s">
        <v>1050</v>
      </c>
      <c r="F337" t="s">
        <v>722</v>
      </c>
      <c r="G337" t="s">
        <v>342</v>
      </c>
      <c r="H337" t="s">
        <v>9</v>
      </c>
      <c r="I337" t="s">
        <v>1520</v>
      </c>
      <c r="J337">
        <v>28</v>
      </c>
      <c r="K337" t="s">
        <v>1521</v>
      </c>
      <c r="L337" t="s">
        <v>1521</v>
      </c>
      <c r="M337">
        <v>0</v>
      </c>
      <c r="N337">
        <v>0</v>
      </c>
      <c r="O337">
        <v>1</v>
      </c>
      <c r="P337">
        <v>7.8958000000000004</v>
      </c>
      <c r="Q337" t="s">
        <v>1528</v>
      </c>
      <c r="R337" t="s">
        <v>1514</v>
      </c>
    </row>
    <row r="338" spans="1:18" x14ac:dyDescent="0.45">
      <c r="A338">
        <v>337</v>
      </c>
      <c r="B338">
        <v>0</v>
      </c>
      <c r="C338" t="s">
        <v>1519</v>
      </c>
      <c r="D338" t="s">
        <v>1553</v>
      </c>
      <c r="E338" t="s">
        <v>1051</v>
      </c>
      <c r="F338" t="s">
        <v>722</v>
      </c>
      <c r="G338" t="s">
        <v>192</v>
      </c>
      <c r="H338" t="s">
        <v>9</v>
      </c>
      <c r="I338" t="s">
        <v>1520</v>
      </c>
      <c r="J338">
        <v>29</v>
      </c>
      <c r="K338" t="s">
        <v>1521</v>
      </c>
      <c r="L338" t="s">
        <v>1521</v>
      </c>
      <c r="M338">
        <v>1</v>
      </c>
      <c r="N338">
        <v>0</v>
      </c>
      <c r="O338">
        <v>2</v>
      </c>
      <c r="P338">
        <v>66.599999999999994</v>
      </c>
      <c r="Q338" t="s">
        <v>1528</v>
      </c>
      <c r="R338" t="s">
        <v>1514</v>
      </c>
    </row>
    <row r="339" spans="1:18" x14ac:dyDescent="0.45">
      <c r="A339">
        <v>338</v>
      </c>
      <c r="B339">
        <v>1</v>
      </c>
      <c r="C339" t="s">
        <v>1</v>
      </c>
      <c r="D339" t="s">
        <v>1553</v>
      </c>
      <c r="E339" t="s">
        <v>1052</v>
      </c>
      <c r="F339" t="s">
        <v>724</v>
      </c>
      <c r="G339" t="s">
        <v>343</v>
      </c>
      <c r="H339" t="s">
        <v>10</v>
      </c>
      <c r="I339" t="s">
        <v>1523</v>
      </c>
      <c r="J339">
        <v>41</v>
      </c>
      <c r="K339" t="s">
        <v>1521</v>
      </c>
      <c r="L339" t="s">
        <v>1521</v>
      </c>
      <c r="M339">
        <v>0</v>
      </c>
      <c r="N339">
        <v>0</v>
      </c>
      <c r="O339">
        <v>1</v>
      </c>
      <c r="P339">
        <v>134.5</v>
      </c>
      <c r="Q339" t="s">
        <v>1528</v>
      </c>
      <c r="R339" t="s">
        <v>1515</v>
      </c>
    </row>
    <row r="340" spans="1:18" x14ac:dyDescent="0.45">
      <c r="A340">
        <v>339</v>
      </c>
      <c r="B340">
        <v>1</v>
      </c>
      <c r="C340" t="s">
        <v>1</v>
      </c>
      <c r="D340" t="s">
        <v>1552</v>
      </c>
      <c r="E340" t="s">
        <v>1053</v>
      </c>
      <c r="F340" t="s">
        <v>722</v>
      </c>
      <c r="G340" t="s">
        <v>344</v>
      </c>
      <c r="H340" t="s">
        <v>9</v>
      </c>
      <c r="I340" t="s">
        <v>1520</v>
      </c>
      <c r="J340">
        <v>45</v>
      </c>
      <c r="K340" t="s">
        <v>1521</v>
      </c>
      <c r="L340" t="s">
        <v>1521</v>
      </c>
      <c r="M340">
        <v>0</v>
      </c>
      <c r="N340">
        <v>0</v>
      </c>
      <c r="O340">
        <v>1</v>
      </c>
      <c r="P340" t="s">
        <v>12</v>
      </c>
      <c r="Q340" t="s">
        <v>1528</v>
      </c>
      <c r="R340" t="s">
        <v>1514</v>
      </c>
    </row>
    <row r="341" spans="1:18" x14ac:dyDescent="0.45">
      <c r="A341">
        <v>340</v>
      </c>
      <c r="B341">
        <v>0</v>
      </c>
      <c r="C341" t="s">
        <v>1519</v>
      </c>
      <c r="D341" t="s">
        <v>1553</v>
      </c>
      <c r="E341" t="s">
        <v>1054</v>
      </c>
      <c r="F341" t="s">
        <v>722</v>
      </c>
      <c r="G341" t="s">
        <v>345</v>
      </c>
      <c r="H341" t="s">
        <v>9</v>
      </c>
      <c r="I341" t="s">
        <v>1520</v>
      </c>
      <c r="J341">
        <v>45</v>
      </c>
      <c r="K341" t="s">
        <v>1521</v>
      </c>
      <c r="L341" t="s">
        <v>1521</v>
      </c>
      <c r="M341">
        <v>0</v>
      </c>
      <c r="N341">
        <v>0</v>
      </c>
      <c r="O341">
        <v>1</v>
      </c>
      <c r="P341">
        <v>35.5</v>
      </c>
      <c r="Q341" t="s">
        <v>1528</v>
      </c>
      <c r="R341" t="s">
        <v>1514</v>
      </c>
    </row>
    <row r="342" spans="1:18" x14ac:dyDescent="0.45">
      <c r="A342">
        <v>341</v>
      </c>
      <c r="B342">
        <v>1</v>
      </c>
      <c r="C342" t="s">
        <v>1</v>
      </c>
      <c r="D342" t="s">
        <v>1554</v>
      </c>
      <c r="E342" t="s">
        <v>1055</v>
      </c>
      <c r="F342" t="s">
        <v>725</v>
      </c>
      <c r="G342" t="s">
        <v>189</v>
      </c>
      <c r="H342" t="s">
        <v>9</v>
      </c>
      <c r="I342" t="s">
        <v>1520</v>
      </c>
      <c r="J342">
        <v>2</v>
      </c>
      <c r="K342" t="s">
        <v>1524</v>
      </c>
      <c r="L342" t="s">
        <v>1524</v>
      </c>
      <c r="M342">
        <v>1</v>
      </c>
      <c r="N342">
        <v>1</v>
      </c>
      <c r="O342">
        <v>3</v>
      </c>
      <c r="P342">
        <v>26</v>
      </c>
      <c r="Q342" t="s">
        <v>1528</v>
      </c>
      <c r="R342" t="s">
        <v>1514</v>
      </c>
    </row>
    <row r="343" spans="1:18" x14ac:dyDescent="0.45">
      <c r="A343">
        <v>342</v>
      </c>
      <c r="B343">
        <v>1</v>
      </c>
      <c r="C343" t="s">
        <v>1</v>
      </c>
      <c r="D343" t="s">
        <v>1553</v>
      </c>
      <c r="E343" t="s">
        <v>1056</v>
      </c>
      <c r="F343" t="s">
        <v>724</v>
      </c>
      <c r="G343" t="s">
        <v>81</v>
      </c>
      <c r="H343" t="s">
        <v>10</v>
      </c>
      <c r="I343" t="s">
        <v>1523</v>
      </c>
      <c r="J343">
        <v>24</v>
      </c>
      <c r="K343" t="s">
        <v>1521</v>
      </c>
      <c r="L343" t="s">
        <v>1521</v>
      </c>
      <c r="M343">
        <v>3</v>
      </c>
      <c r="N343">
        <v>2</v>
      </c>
      <c r="O343">
        <v>6</v>
      </c>
      <c r="P343">
        <v>263</v>
      </c>
      <c r="Q343" t="s">
        <v>1528</v>
      </c>
      <c r="R343" t="s">
        <v>1514</v>
      </c>
    </row>
    <row r="344" spans="1:18" x14ac:dyDescent="0.45">
      <c r="A344">
        <v>343</v>
      </c>
      <c r="B344">
        <v>0</v>
      </c>
      <c r="C344" t="s">
        <v>1519</v>
      </c>
      <c r="D344" t="s">
        <v>1554</v>
      </c>
      <c r="E344" t="s">
        <v>1057</v>
      </c>
      <c r="F344" t="s">
        <v>722</v>
      </c>
      <c r="G344" t="s">
        <v>346</v>
      </c>
      <c r="H344" t="s">
        <v>9</v>
      </c>
      <c r="I344" t="s">
        <v>1520</v>
      </c>
      <c r="J344">
        <v>28</v>
      </c>
      <c r="K344" t="s">
        <v>1521</v>
      </c>
      <c r="L344" t="s">
        <v>1521</v>
      </c>
      <c r="M344">
        <v>0</v>
      </c>
      <c r="N344">
        <v>0</v>
      </c>
      <c r="O344">
        <v>1</v>
      </c>
      <c r="P344">
        <v>13</v>
      </c>
      <c r="Q344" t="s">
        <v>1528</v>
      </c>
      <c r="R344" t="s">
        <v>1514</v>
      </c>
    </row>
    <row r="345" spans="1:18" x14ac:dyDescent="0.45">
      <c r="A345">
        <v>344</v>
      </c>
      <c r="B345">
        <v>0</v>
      </c>
      <c r="C345" t="s">
        <v>1519</v>
      </c>
      <c r="D345" t="s">
        <v>1554</v>
      </c>
      <c r="E345" t="s">
        <v>1058</v>
      </c>
      <c r="F345" t="s">
        <v>722</v>
      </c>
      <c r="G345" t="s">
        <v>347</v>
      </c>
      <c r="H345" t="s">
        <v>9</v>
      </c>
      <c r="I345" t="s">
        <v>1520</v>
      </c>
      <c r="J345">
        <v>25</v>
      </c>
      <c r="K345" t="s">
        <v>1521</v>
      </c>
      <c r="L345" t="s">
        <v>1521</v>
      </c>
      <c r="M345">
        <v>0</v>
      </c>
      <c r="N345">
        <v>0</v>
      </c>
      <c r="O345">
        <v>1</v>
      </c>
      <c r="P345">
        <v>13</v>
      </c>
      <c r="Q345" t="s">
        <v>1528</v>
      </c>
      <c r="R345" t="s">
        <v>1514</v>
      </c>
    </row>
    <row r="346" spans="1:18" x14ac:dyDescent="0.45">
      <c r="A346">
        <v>345</v>
      </c>
      <c r="B346">
        <v>0</v>
      </c>
      <c r="C346" t="s">
        <v>1519</v>
      </c>
      <c r="D346" t="s">
        <v>1554</v>
      </c>
      <c r="E346" t="s">
        <v>1059</v>
      </c>
      <c r="F346" t="s">
        <v>722</v>
      </c>
      <c r="G346" t="s">
        <v>348</v>
      </c>
      <c r="H346" t="s">
        <v>9</v>
      </c>
      <c r="I346" t="s">
        <v>1520</v>
      </c>
      <c r="J346">
        <v>36</v>
      </c>
      <c r="K346" t="s">
        <v>1521</v>
      </c>
      <c r="L346" t="s">
        <v>1521</v>
      </c>
      <c r="M346">
        <v>0</v>
      </c>
      <c r="N346">
        <v>0</v>
      </c>
      <c r="O346">
        <v>1</v>
      </c>
      <c r="P346">
        <v>13</v>
      </c>
      <c r="Q346" t="s">
        <v>1528</v>
      </c>
      <c r="R346" t="s">
        <v>1514</v>
      </c>
    </row>
    <row r="347" spans="1:18" x14ac:dyDescent="0.45">
      <c r="A347">
        <v>346</v>
      </c>
      <c r="B347">
        <v>1</v>
      </c>
      <c r="C347" t="s">
        <v>1</v>
      </c>
      <c r="D347" t="s">
        <v>1554</v>
      </c>
      <c r="E347" t="s">
        <v>1060</v>
      </c>
      <c r="F347" t="s">
        <v>724</v>
      </c>
      <c r="G347" t="s">
        <v>227</v>
      </c>
      <c r="H347" t="s">
        <v>10</v>
      </c>
      <c r="I347" t="s">
        <v>1523</v>
      </c>
      <c r="J347">
        <v>24</v>
      </c>
      <c r="K347" t="s">
        <v>1521</v>
      </c>
      <c r="L347" t="s">
        <v>1521</v>
      </c>
      <c r="M347">
        <v>0</v>
      </c>
      <c r="N347">
        <v>0</v>
      </c>
      <c r="O347">
        <v>1</v>
      </c>
      <c r="P347">
        <v>13</v>
      </c>
      <c r="Q347" t="s">
        <v>1528</v>
      </c>
      <c r="R347" t="s">
        <v>1514</v>
      </c>
    </row>
    <row r="348" spans="1:18" x14ac:dyDescent="0.45">
      <c r="A348">
        <v>347</v>
      </c>
      <c r="B348">
        <v>1</v>
      </c>
      <c r="C348" t="s">
        <v>1</v>
      </c>
      <c r="D348" t="s">
        <v>1554</v>
      </c>
      <c r="E348" t="s">
        <v>1061</v>
      </c>
      <c r="F348" t="s">
        <v>724</v>
      </c>
      <c r="G348" t="s">
        <v>210</v>
      </c>
      <c r="H348" t="s">
        <v>10</v>
      </c>
      <c r="I348" t="s">
        <v>1523</v>
      </c>
      <c r="J348">
        <v>40</v>
      </c>
      <c r="K348" t="s">
        <v>1521</v>
      </c>
      <c r="L348" t="s">
        <v>1521</v>
      </c>
      <c r="M348">
        <v>0</v>
      </c>
      <c r="N348">
        <v>0</v>
      </c>
      <c r="O348">
        <v>1</v>
      </c>
      <c r="P348">
        <v>13</v>
      </c>
      <c r="Q348" t="s">
        <v>1528</v>
      </c>
      <c r="R348" t="s">
        <v>1514</v>
      </c>
    </row>
    <row r="349" spans="1:18" x14ac:dyDescent="0.45">
      <c r="A349">
        <v>348</v>
      </c>
      <c r="B349">
        <v>1</v>
      </c>
      <c r="C349" t="s">
        <v>1</v>
      </c>
      <c r="D349" t="s">
        <v>1552</v>
      </c>
      <c r="E349" t="s">
        <v>1062</v>
      </c>
      <c r="F349" t="s">
        <v>723</v>
      </c>
      <c r="G349" t="s">
        <v>349</v>
      </c>
      <c r="H349" t="s">
        <v>10</v>
      </c>
      <c r="I349" t="s">
        <v>1523</v>
      </c>
      <c r="J349">
        <v>28</v>
      </c>
      <c r="K349" t="s">
        <v>1521</v>
      </c>
      <c r="L349" t="s">
        <v>1521</v>
      </c>
      <c r="M349">
        <v>1</v>
      </c>
      <c r="N349">
        <v>0</v>
      </c>
      <c r="O349">
        <v>2</v>
      </c>
      <c r="P349">
        <v>16.100000000000001</v>
      </c>
      <c r="Q349" t="s">
        <v>1528</v>
      </c>
      <c r="R349" t="s">
        <v>1514</v>
      </c>
    </row>
    <row r="350" spans="1:18" x14ac:dyDescent="0.45">
      <c r="A350">
        <v>349</v>
      </c>
      <c r="B350">
        <v>1</v>
      </c>
      <c r="C350" t="s">
        <v>1</v>
      </c>
      <c r="D350" t="s">
        <v>1552</v>
      </c>
      <c r="E350" t="s">
        <v>1063</v>
      </c>
      <c r="F350" t="s">
        <v>725</v>
      </c>
      <c r="G350" t="s">
        <v>350</v>
      </c>
      <c r="H350" t="s">
        <v>9</v>
      </c>
      <c r="I350" t="s">
        <v>1520</v>
      </c>
      <c r="J350">
        <v>3</v>
      </c>
      <c r="K350" t="s">
        <v>1524</v>
      </c>
      <c r="L350" t="s">
        <v>1524</v>
      </c>
      <c r="M350">
        <v>1</v>
      </c>
      <c r="N350">
        <v>1</v>
      </c>
      <c r="O350">
        <v>3</v>
      </c>
      <c r="P350">
        <v>15.9</v>
      </c>
      <c r="Q350" t="s">
        <v>1528</v>
      </c>
      <c r="R350" t="s">
        <v>1514</v>
      </c>
    </row>
    <row r="351" spans="1:18" x14ac:dyDescent="0.45">
      <c r="A351">
        <v>350</v>
      </c>
      <c r="B351">
        <v>0</v>
      </c>
      <c r="C351" t="s">
        <v>1519</v>
      </c>
      <c r="D351" t="s">
        <v>1552</v>
      </c>
      <c r="E351" t="s">
        <v>1064</v>
      </c>
      <c r="F351" t="s">
        <v>722</v>
      </c>
      <c r="G351" t="s">
        <v>351</v>
      </c>
      <c r="H351" t="s">
        <v>9</v>
      </c>
      <c r="I351" t="s">
        <v>1520</v>
      </c>
      <c r="J351">
        <v>42</v>
      </c>
      <c r="K351" t="s">
        <v>1521</v>
      </c>
      <c r="L351" t="s">
        <v>1521</v>
      </c>
      <c r="M351">
        <v>0</v>
      </c>
      <c r="N351">
        <v>0</v>
      </c>
      <c r="O351">
        <v>1</v>
      </c>
      <c r="P351">
        <v>8.6624999999999996</v>
      </c>
      <c r="Q351" t="s">
        <v>1528</v>
      </c>
      <c r="R351" t="s">
        <v>1514</v>
      </c>
    </row>
    <row r="352" spans="1:18" x14ac:dyDescent="0.45">
      <c r="A352">
        <v>351</v>
      </c>
      <c r="B352">
        <v>0</v>
      </c>
      <c r="C352" t="s">
        <v>1519</v>
      </c>
      <c r="D352" t="s">
        <v>1552</v>
      </c>
      <c r="E352" t="s">
        <v>1065</v>
      </c>
      <c r="F352" t="s">
        <v>722</v>
      </c>
      <c r="G352" t="s">
        <v>352</v>
      </c>
      <c r="H352" t="s">
        <v>9</v>
      </c>
      <c r="I352" t="s">
        <v>1520</v>
      </c>
      <c r="J352">
        <v>23</v>
      </c>
      <c r="K352" t="s">
        <v>1521</v>
      </c>
      <c r="L352" t="s">
        <v>1521</v>
      </c>
      <c r="M352">
        <v>0</v>
      </c>
      <c r="N352">
        <v>0</v>
      </c>
      <c r="O352">
        <v>1</v>
      </c>
      <c r="P352">
        <v>9.2249999999999996</v>
      </c>
      <c r="Q352" t="s">
        <v>1528</v>
      </c>
      <c r="R352" t="s">
        <v>1514</v>
      </c>
    </row>
    <row r="353" spans="1:18" x14ac:dyDescent="0.45">
      <c r="A353">
        <v>352</v>
      </c>
      <c r="B353">
        <v>0</v>
      </c>
      <c r="C353" t="s">
        <v>1519</v>
      </c>
      <c r="D353" t="s">
        <v>1553</v>
      </c>
      <c r="E353" t="s">
        <v>1066</v>
      </c>
      <c r="F353" t="s">
        <v>722</v>
      </c>
      <c r="G353" t="s">
        <v>353</v>
      </c>
      <c r="H353" t="s">
        <v>9</v>
      </c>
      <c r="I353" t="s">
        <v>1520</v>
      </c>
      <c r="J353">
        <v>28</v>
      </c>
      <c r="K353" t="s">
        <v>1521</v>
      </c>
      <c r="L353" t="s">
        <v>1521</v>
      </c>
      <c r="M353">
        <v>0</v>
      </c>
      <c r="N353">
        <v>0</v>
      </c>
      <c r="O353">
        <v>1</v>
      </c>
      <c r="P353">
        <v>35</v>
      </c>
      <c r="Q353" t="s">
        <v>1528</v>
      </c>
      <c r="R353" t="s">
        <v>1514</v>
      </c>
    </row>
    <row r="354" spans="1:18" x14ac:dyDescent="0.45">
      <c r="A354">
        <v>353</v>
      </c>
      <c r="B354">
        <v>0</v>
      </c>
      <c r="C354" t="s">
        <v>1519</v>
      </c>
      <c r="D354" t="s">
        <v>1552</v>
      </c>
      <c r="E354" t="s">
        <v>1067</v>
      </c>
      <c r="F354" t="s">
        <v>722</v>
      </c>
      <c r="G354" t="s">
        <v>354</v>
      </c>
      <c r="H354" t="s">
        <v>9</v>
      </c>
      <c r="I354" t="s">
        <v>1520</v>
      </c>
      <c r="J354">
        <v>15</v>
      </c>
      <c r="K354" t="s">
        <v>1525</v>
      </c>
      <c r="L354" t="s">
        <v>1525</v>
      </c>
      <c r="M354">
        <v>1</v>
      </c>
      <c r="N354">
        <v>1</v>
      </c>
      <c r="O354">
        <v>3</v>
      </c>
      <c r="P354">
        <v>7.2291999999999996</v>
      </c>
      <c r="Q354" t="s">
        <v>1528</v>
      </c>
      <c r="R354" t="s">
        <v>1515</v>
      </c>
    </row>
    <row r="355" spans="1:18" x14ac:dyDescent="0.45">
      <c r="A355">
        <v>354</v>
      </c>
      <c r="B355">
        <v>0</v>
      </c>
      <c r="C355" t="s">
        <v>1519</v>
      </c>
      <c r="D355" t="s">
        <v>1552</v>
      </c>
      <c r="E355" t="s">
        <v>1068</v>
      </c>
      <c r="F355" t="s">
        <v>722</v>
      </c>
      <c r="G355" t="s">
        <v>102</v>
      </c>
      <c r="H355" t="s">
        <v>9</v>
      </c>
      <c r="I355" t="s">
        <v>1520</v>
      </c>
      <c r="J355">
        <v>25</v>
      </c>
      <c r="K355" t="s">
        <v>1521</v>
      </c>
      <c r="L355" t="s">
        <v>1521</v>
      </c>
      <c r="M355">
        <v>1</v>
      </c>
      <c r="N355">
        <v>0</v>
      </c>
      <c r="O355">
        <v>2</v>
      </c>
      <c r="P355">
        <v>17.8</v>
      </c>
      <c r="Q355" t="s">
        <v>1528</v>
      </c>
      <c r="R355" t="s">
        <v>1514</v>
      </c>
    </row>
    <row r="356" spans="1:18" x14ac:dyDescent="0.45">
      <c r="A356">
        <v>355</v>
      </c>
      <c r="B356">
        <v>0</v>
      </c>
      <c r="C356" t="s">
        <v>1519</v>
      </c>
      <c r="D356" t="s">
        <v>1552</v>
      </c>
      <c r="E356" t="s">
        <v>1069</v>
      </c>
      <c r="F356" t="s">
        <v>722</v>
      </c>
      <c r="G356" t="s">
        <v>355</v>
      </c>
      <c r="H356" t="s">
        <v>9</v>
      </c>
      <c r="I356" t="s">
        <v>1520</v>
      </c>
      <c r="J356">
        <v>28</v>
      </c>
      <c r="K356" t="s">
        <v>1521</v>
      </c>
      <c r="L356" t="s">
        <v>1521</v>
      </c>
      <c r="M356">
        <v>0</v>
      </c>
      <c r="N356">
        <v>0</v>
      </c>
      <c r="O356">
        <v>1</v>
      </c>
      <c r="P356">
        <v>7.2249999999999996</v>
      </c>
      <c r="Q356" t="s">
        <v>1528</v>
      </c>
      <c r="R356" t="s">
        <v>1515</v>
      </c>
    </row>
    <row r="357" spans="1:18" x14ac:dyDescent="0.45">
      <c r="A357">
        <v>356</v>
      </c>
      <c r="B357">
        <v>0</v>
      </c>
      <c r="C357" t="s">
        <v>1519</v>
      </c>
      <c r="D357" t="s">
        <v>1552</v>
      </c>
      <c r="E357" t="s">
        <v>1070</v>
      </c>
      <c r="F357" t="s">
        <v>722</v>
      </c>
      <c r="G357" t="s">
        <v>356</v>
      </c>
      <c r="H357" t="s">
        <v>9</v>
      </c>
      <c r="I357" t="s">
        <v>1520</v>
      </c>
      <c r="J357">
        <v>28</v>
      </c>
      <c r="K357" t="s">
        <v>1521</v>
      </c>
      <c r="L357" t="s">
        <v>1521</v>
      </c>
      <c r="M357">
        <v>0</v>
      </c>
      <c r="N357">
        <v>0</v>
      </c>
      <c r="O357">
        <v>1</v>
      </c>
      <c r="P357">
        <v>9.5</v>
      </c>
      <c r="Q357" t="s">
        <v>1528</v>
      </c>
      <c r="R357" t="s">
        <v>1514</v>
      </c>
    </row>
    <row r="358" spans="1:18" x14ac:dyDescent="0.45">
      <c r="A358">
        <v>357</v>
      </c>
      <c r="B358">
        <v>1</v>
      </c>
      <c r="C358" t="s">
        <v>1</v>
      </c>
      <c r="D358" t="s">
        <v>1553</v>
      </c>
      <c r="E358" t="s">
        <v>1071</v>
      </c>
      <c r="F358" t="s">
        <v>724</v>
      </c>
      <c r="G358" t="s">
        <v>357</v>
      </c>
      <c r="H358" t="s">
        <v>10</v>
      </c>
      <c r="I358" t="s">
        <v>1523</v>
      </c>
      <c r="J358">
        <v>22</v>
      </c>
      <c r="K358" t="s">
        <v>1521</v>
      </c>
      <c r="L358" t="s">
        <v>1521</v>
      </c>
      <c r="M358">
        <v>0</v>
      </c>
      <c r="N358">
        <v>1</v>
      </c>
      <c r="O358">
        <v>2</v>
      </c>
      <c r="P358">
        <v>55</v>
      </c>
      <c r="Q358" t="s">
        <v>1528</v>
      </c>
      <c r="R358" t="s">
        <v>1514</v>
      </c>
    </row>
    <row r="359" spans="1:18" x14ac:dyDescent="0.45">
      <c r="A359">
        <v>358</v>
      </c>
      <c r="B359">
        <v>0</v>
      </c>
      <c r="C359" t="s">
        <v>1519</v>
      </c>
      <c r="D359" t="s">
        <v>1554</v>
      </c>
      <c r="E359" t="s">
        <v>1072</v>
      </c>
      <c r="F359" t="s">
        <v>724</v>
      </c>
      <c r="G359" t="s">
        <v>358</v>
      </c>
      <c r="H359" t="s">
        <v>10</v>
      </c>
      <c r="I359" t="s">
        <v>1523</v>
      </c>
      <c r="J359">
        <v>38</v>
      </c>
      <c r="K359" t="s">
        <v>1521</v>
      </c>
      <c r="L359" t="s">
        <v>1521</v>
      </c>
      <c r="M359">
        <v>0</v>
      </c>
      <c r="N359">
        <v>0</v>
      </c>
      <c r="O359">
        <v>1</v>
      </c>
      <c r="P359">
        <v>13</v>
      </c>
      <c r="Q359" t="s">
        <v>1528</v>
      </c>
      <c r="R359" t="s">
        <v>1514</v>
      </c>
    </row>
    <row r="360" spans="1:18" x14ac:dyDescent="0.45">
      <c r="A360">
        <v>359</v>
      </c>
      <c r="B360">
        <v>1</v>
      </c>
      <c r="C360" t="s">
        <v>1</v>
      </c>
      <c r="D360" t="s">
        <v>1552</v>
      </c>
      <c r="E360" t="s">
        <v>1073</v>
      </c>
      <c r="F360" t="s">
        <v>724</v>
      </c>
      <c r="G360" t="s">
        <v>359</v>
      </c>
      <c r="H360" t="s">
        <v>10</v>
      </c>
      <c r="I360" t="s">
        <v>1523</v>
      </c>
      <c r="J360">
        <v>28</v>
      </c>
      <c r="K360" t="s">
        <v>1521</v>
      </c>
      <c r="L360" t="s">
        <v>1521</v>
      </c>
      <c r="M360">
        <v>0</v>
      </c>
      <c r="N360">
        <v>0</v>
      </c>
      <c r="O360">
        <v>1</v>
      </c>
      <c r="P360">
        <v>7.8792</v>
      </c>
      <c r="Q360" t="s">
        <v>1528</v>
      </c>
      <c r="R360" t="s">
        <v>1516</v>
      </c>
    </row>
    <row r="361" spans="1:18" x14ac:dyDescent="0.45">
      <c r="A361">
        <v>360</v>
      </c>
      <c r="B361">
        <v>1</v>
      </c>
      <c r="C361" t="s">
        <v>1</v>
      </c>
      <c r="D361" t="s">
        <v>1552</v>
      </c>
      <c r="E361" t="s">
        <v>1074</v>
      </c>
      <c r="F361" t="s">
        <v>724</v>
      </c>
      <c r="G361" t="s">
        <v>360</v>
      </c>
      <c r="H361" t="s">
        <v>10</v>
      </c>
      <c r="I361" t="s">
        <v>1523</v>
      </c>
      <c r="J361">
        <v>28</v>
      </c>
      <c r="K361" t="s">
        <v>1521</v>
      </c>
      <c r="L361" t="s">
        <v>1521</v>
      </c>
      <c r="M361">
        <v>0</v>
      </c>
      <c r="N361">
        <v>0</v>
      </c>
      <c r="O361">
        <v>1</v>
      </c>
      <c r="P361">
        <v>7.8792</v>
      </c>
      <c r="Q361" t="s">
        <v>1528</v>
      </c>
      <c r="R361" t="s">
        <v>1516</v>
      </c>
    </row>
    <row r="362" spans="1:18" x14ac:dyDescent="0.45">
      <c r="A362">
        <v>361</v>
      </c>
      <c r="B362">
        <v>0</v>
      </c>
      <c r="C362" t="s">
        <v>1519</v>
      </c>
      <c r="D362" t="s">
        <v>1552</v>
      </c>
      <c r="E362" t="s">
        <v>1075</v>
      </c>
      <c r="F362" t="s">
        <v>722</v>
      </c>
      <c r="G362" t="s">
        <v>116</v>
      </c>
      <c r="H362" t="s">
        <v>9</v>
      </c>
      <c r="I362" t="s">
        <v>1520</v>
      </c>
      <c r="J362">
        <v>40</v>
      </c>
      <c r="K362" t="s">
        <v>1521</v>
      </c>
      <c r="L362" t="s">
        <v>1521</v>
      </c>
      <c r="M362">
        <v>1</v>
      </c>
      <c r="N362">
        <v>4</v>
      </c>
      <c r="O362">
        <v>6</v>
      </c>
      <c r="P362">
        <v>27.9</v>
      </c>
      <c r="Q362" t="s">
        <v>1528</v>
      </c>
      <c r="R362" t="s">
        <v>1514</v>
      </c>
    </row>
    <row r="363" spans="1:18" x14ac:dyDescent="0.45">
      <c r="A363">
        <v>362</v>
      </c>
      <c r="B363">
        <v>0</v>
      </c>
      <c r="C363" t="s">
        <v>1519</v>
      </c>
      <c r="D363" t="s">
        <v>1554</v>
      </c>
      <c r="E363" t="s">
        <v>1076</v>
      </c>
      <c r="F363" t="s">
        <v>722</v>
      </c>
      <c r="G363" t="s">
        <v>361</v>
      </c>
      <c r="H363" t="s">
        <v>9</v>
      </c>
      <c r="I363" t="s">
        <v>1520</v>
      </c>
      <c r="J363">
        <v>29</v>
      </c>
      <c r="K363" t="s">
        <v>1521</v>
      </c>
      <c r="L363" t="s">
        <v>1521</v>
      </c>
      <c r="M363">
        <v>1</v>
      </c>
      <c r="N363">
        <v>0</v>
      </c>
      <c r="O363">
        <v>2</v>
      </c>
      <c r="P363" t="s">
        <v>16</v>
      </c>
      <c r="Q363" t="s">
        <v>1528</v>
      </c>
      <c r="R363" t="s">
        <v>1515</v>
      </c>
    </row>
    <row r="364" spans="1:18" x14ac:dyDescent="0.45">
      <c r="A364">
        <v>363</v>
      </c>
      <c r="B364">
        <v>0</v>
      </c>
      <c r="C364" t="s">
        <v>1519</v>
      </c>
      <c r="D364" t="s">
        <v>1552</v>
      </c>
      <c r="E364" t="s">
        <v>753</v>
      </c>
      <c r="F364" t="s">
        <v>723</v>
      </c>
      <c r="G364" t="s">
        <v>362</v>
      </c>
      <c r="H364" t="s">
        <v>10</v>
      </c>
      <c r="I364" t="s">
        <v>1523</v>
      </c>
      <c r="J364">
        <v>45</v>
      </c>
      <c r="K364" t="s">
        <v>1521</v>
      </c>
      <c r="L364" t="s">
        <v>1521</v>
      </c>
      <c r="M364">
        <v>0</v>
      </c>
      <c r="N364">
        <v>1</v>
      </c>
      <c r="O364">
        <v>2</v>
      </c>
      <c r="P364">
        <v>14.4542</v>
      </c>
      <c r="Q364" t="s">
        <v>1528</v>
      </c>
      <c r="R364" t="s">
        <v>1515</v>
      </c>
    </row>
    <row r="365" spans="1:18" x14ac:dyDescent="0.45">
      <c r="A365">
        <v>364</v>
      </c>
      <c r="B365">
        <v>0</v>
      </c>
      <c r="C365" t="s">
        <v>1519</v>
      </c>
      <c r="D365" t="s">
        <v>1552</v>
      </c>
      <c r="E365" t="s">
        <v>1077</v>
      </c>
      <c r="F365" t="s">
        <v>722</v>
      </c>
      <c r="G365" t="s">
        <v>363</v>
      </c>
      <c r="H365" t="s">
        <v>9</v>
      </c>
      <c r="I365" t="s">
        <v>1520</v>
      </c>
      <c r="J365">
        <v>35</v>
      </c>
      <c r="K365" t="s">
        <v>1521</v>
      </c>
      <c r="L365" t="s">
        <v>1521</v>
      </c>
      <c r="M365">
        <v>0</v>
      </c>
      <c r="N365">
        <v>0</v>
      </c>
      <c r="O365">
        <v>1</v>
      </c>
      <c r="P365" t="s">
        <v>22</v>
      </c>
      <c r="Q365" t="s">
        <v>1528</v>
      </c>
      <c r="R365" t="s">
        <v>1514</v>
      </c>
    </row>
    <row r="366" spans="1:18" x14ac:dyDescent="0.45">
      <c r="A366">
        <v>365</v>
      </c>
      <c r="B366">
        <v>0</v>
      </c>
      <c r="C366" t="s">
        <v>1519</v>
      </c>
      <c r="D366" t="s">
        <v>1552</v>
      </c>
      <c r="E366" t="s">
        <v>986</v>
      </c>
      <c r="F366" t="s">
        <v>722</v>
      </c>
      <c r="G366" t="s">
        <v>220</v>
      </c>
      <c r="H366" t="s">
        <v>9</v>
      </c>
      <c r="I366" t="s">
        <v>1520</v>
      </c>
      <c r="J366">
        <v>28</v>
      </c>
      <c r="K366" t="s">
        <v>1521</v>
      </c>
      <c r="L366" t="s">
        <v>1521</v>
      </c>
      <c r="M366">
        <v>1</v>
      </c>
      <c r="N366">
        <v>0</v>
      </c>
      <c r="O366">
        <v>2</v>
      </c>
      <c r="P366">
        <v>15.5</v>
      </c>
      <c r="Q366" t="s">
        <v>1528</v>
      </c>
      <c r="R366" t="s">
        <v>1516</v>
      </c>
    </row>
    <row r="367" spans="1:18" x14ac:dyDescent="0.45">
      <c r="A367">
        <v>366</v>
      </c>
      <c r="B367">
        <v>0</v>
      </c>
      <c r="C367" t="s">
        <v>1519</v>
      </c>
      <c r="D367" t="s">
        <v>1552</v>
      </c>
      <c r="E367" t="s">
        <v>1078</v>
      </c>
      <c r="F367" t="s">
        <v>722</v>
      </c>
      <c r="G367" t="s">
        <v>364</v>
      </c>
      <c r="H367" t="s">
        <v>9</v>
      </c>
      <c r="I367" t="s">
        <v>1520</v>
      </c>
      <c r="J367">
        <v>30</v>
      </c>
      <c r="K367" t="s">
        <v>1521</v>
      </c>
      <c r="L367" t="s">
        <v>1521</v>
      </c>
      <c r="M367">
        <v>0</v>
      </c>
      <c r="N367">
        <v>0</v>
      </c>
      <c r="O367">
        <v>1</v>
      </c>
      <c r="P367">
        <v>7.25</v>
      </c>
      <c r="Q367" t="s">
        <v>1528</v>
      </c>
      <c r="R367" t="s">
        <v>1514</v>
      </c>
    </row>
    <row r="368" spans="1:18" x14ac:dyDescent="0.45">
      <c r="A368">
        <v>367</v>
      </c>
      <c r="B368">
        <v>1</v>
      </c>
      <c r="C368" t="s">
        <v>1</v>
      </c>
      <c r="D368" t="s">
        <v>1553</v>
      </c>
      <c r="E368" t="s">
        <v>1079</v>
      </c>
      <c r="F368" t="s">
        <v>723</v>
      </c>
      <c r="G368" t="s">
        <v>365</v>
      </c>
      <c r="H368" t="s">
        <v>10</v>
      </c>
      <c r="I368" t="s">
        <v>1523</v>
      </c>
      <c r="J368">
        <v>60</v>
      </c>
      <c r="K368" t="s">
        <v>1527</v>
      </c>
      <c r="L368" t="e">
        <v>#N/A</v>
      </c>
      <c r="M368">
        <v>1</v>
      </c>
      <c r="N368">
        <v>0</v>
      </c>
      <c r="O368">
        <v>2</v>
      </c>
      <c r="P368">
        <v>75.25</v>
      </c>
      <c r="Q368" t="s">
        <v>1528</v>
      </c>
      <c r="R368" t="s">
        <v>1515</v>
      </c>
    </row>
    <row r="369" spans="1:18" x14ac:dyDescent="0.45">
      <c r="A369">
        <v>368</v>
      </c>
      <c r="B369">
        <v>1</v>
      </c>
      <c r="C369" t="s">
        <v>1</v>
      </c>
      <c r="D369" t="s">
        <v>1552</v>
      </c>
      <c r="E369" t="s">
        <v>753</v>
      </c>
      <c r="F369" t="s">
        <v>723</v>
      </c>
      <c r="G369" t="s">
        <v>366</v>
      </c>
      <c r="H369" t="s">
        <v>10</v>
      </c>
      <c r="I369" t="s">
        <v>1523</v>
      </c>
      <c r="J369">
        <v>28</v>
      </c>
      <c r="K369" t="s">
        <v>1521</v>
      </c>
      <c r="L369" t="s">
        <v>1521</v>
      </c>
      <c r="M369">
        <v>0</v>
      </c>
      <c r="N369">
        <v>0</v>
      </c>
      <c r="O369">
        <v>1</v>
      </c>
      <c r="P369">
        <v>7.2291999999999996</v>
      </c>
      <c r="Q369" t="s">
        <v>1528</v>
      </c>
      <c r="R369" t="s">
        <v>1515</v>
      </c>
    </row>
    <row r="370" spans="1:18" x14ac:dyDescent="0.45">
      <c r="A370">
        <v>369</v>
      </c>
      <c r="B370">
        <v>1</v>
      </c>
      <c r="C370" t="s">
        <v>1</v>
      </c>
      <c r="D370" t="s">
        <v>1552</v>
      </c>
      <c r="E370" t="s">
        <v>1080</v>
      </c>
      <c r="F370" t="s">
        <v>724</v>
      </c>
      <c r="G370" t="s">
        <v>367</v>
      </c>
      <c r="H370" t="s">
        <v>10</v>
      </c>
      <c r="I370" t="s">
        <v>1523</v>
      </c>
      <c r="J370">
        <v>28</v>
      </c>
      <c r="K370" t="s">
        <v>1521</v>
      </c>
      <c r="L370" t="s">
        <v>1521</v>
      </c>
      <c r="M370">
        <v>0</v>
      </c>
      <c r="N370">
        <v>0</v>
      </c>
      <c r="O370">
        <v>1</v>
      </c>
      <c r="P370">
        <v>7.75</v>
      </c>
      <c r="Q370" t="s">
        <v>1528</v>
      </c>
      <c r="R370" t="s">
        <v>1516</v>
      </c>
    </row>
    <row r="371" spans="1:18" x14ac:dyDescent="0.45">
      <c r="A371">
        <v>370</v>
      </c>
      <c r="B371">
        <v>1</v>
      </c>
      <c r="C371" t="s">
        <v>1</v>
      </c>
      <c r="D371" t="s">
        <v>1553</v>
      </c>
      <c r="E371" t="s">
        <v>1081</v>
      </c>
      <c r="F371" t="s">
        <v>729</v>
      </c>
      <c r="G371" t="s">
        <v>368</v>
      </c>
      <c r="H371" t="s">
        <v>10</v>
      </c>
      <c r="I371" t="s">
        <v>1523</v>
      </c>
      <c r="J371">
        <v>24</v>
      </c>
      <c r="K371" t="s">
        <v>1521</v>
      </c>
      <c r="L371" t="s">
        <v>1521</v>
      </c>
      <c r="M371">
        <v>0</v>
      </c>
      <c r="N371">
        <v>0</v>
      </c>
      <c r="O371">
        <v>1</v>
      </c>
      <c r="P371">
        <v>69.3</v>
      </c>
      <c r="Q371" t="s">
        <v>1528</v>
      </c>
      <c r="R371" t="s">
        <v>1515</v>
      </c>
    </row>
    <row r="372" spans="1:18" x14ac:dyDescent="0.45">
      <c r="A372">
        <v>371</v>
      </c>
      <c r="B372">
        <v>1</v>
      </c>
      <c r="C372" t="s">
        <v>1</v>
      </c>
      <c r="D372" t="s">
        <v>1553</v>
      </c>
      <c r="E372" t="s">
        <v>1082</v>
      </c>
      <c r="F372" t="s">
        <v>722</v>
      </c>
      <c r="G372" t="s">
        <v>369</v>
      </c>
      <c r="H372" t="s">
        <v>9</v>
      </c>
      <c r="I372" t="s">
        <v>1520</v>
      </c>
      <c r="J372">
        <v>25</v>
      </c>
      <c r="K372" t="s">
        <v>1521</v>
      </c>
      <c r="L372" t="s">
        <v>1521</v>
      </c>
      <c r="M372">
        <v>1</v>
      </c>
      <c r="N372">
        <v>0</v>
      </c>
      <c r="O372">
        <v>2</v>
      </c>
      <c r="P372">
        <v>55.441699999999997</v>
      </c>
      <c r="Q372" t="s">
        <v>1528</v>
      </c>
      <c r="R372" t="s">
        <v>1515</v>
      </c>
    </row>
    <row r="373" spans="1:18" x14ac:dyDescent="0.45">
      <c r="A373">
        <v>372</v>
      </c>
      <c r="B373">
        <v>0</v>
      </c>
      <c r="C373" t="s">
        <v>1519</v>
      </c>
      <c r="D373" t="s">
        <v>1552</v>
      </c>
      <c r="E373" t="s">
        <v>933</v>
      </c>
      <c r="F373" t="s">
        <v>722</v>
      </c>
      <c r="G373" t="s">
        <v>370</v>
      </c>
      <c r="H373" t="s">
        <v>9</v>
      </c>
      <c r="I373" t="s">
        <v>1520</v>
      </c>
      <c r="J373">
        <v>18</v>
      </c>
      <c r="K373" t="s">
        <v>1521</v>
      </c>
      <c r="L373" t="s">
        <v>1521</v>
      </c>
      <c r="M373">
        <v>1</v>
      </c>
      <c r="N373">
        <v>0</v>
      </c>
      <c r="O373">
        <v>2</v>
      </c>
      <c r="P373">
        <v>6.4958</v>
      </c>
      <c r="Q373" t="s">
        <v>1528</v>
      </c>
      <c r="R373" t="s">
        <v>1514</v>
      </c>
    </row>
    <row r="374" spans="1:18" x14ac:dyDescent="0.45">
      <c r="A374">
        <v>373</v>
      </c>
      <c r="B374">
        <v>0</v>
      </c>
      <c r="C374" t="s">
        <v>1519</v>
      </c>
      <c r="D374" t="s">
        <v>1552</v>
      </c>
      <c r="E374" t="s">
        <v>980</v>
      </c>
      <c r="F374" t="s">
        <v>722</v>
      </c>
      <c r="G374" t="s">
        <v>371</v>
      </c>
      <c r="H374" t="s">
        <v>9</v>
      </c>
      <c r="I374" t="s">
        <v>1520</v>
      </c>
      <c r="J374">
        <v>19</v>
      </c>
      <c r="K374" t="s">
        <v>1521</v>
      </c>
      <c r="L374" t="s">
        <v>1521</v>
      </c>
      <c r="M374">
        <v>0</v>
      </c>
      <c r="N374">
        <v>0</v>
      </c>
      <c r="O374">
        <v>1</v>
      </c>
      <c r="P374" t="s">
        <v>12</v>
      </c>
      <c r="Q374" t="s">
        <v>1528</v>
      </c>
      <c r="R374" t="s">
        <v>1514</v>
      </c>
    </row>
    <row r="375" spans="1:18" x14ac:dyDescent="0.45">
      <c r="A375">
        <v>374</v>
      </c>
      <c r="B375">
        <v>0</v>
      </c>
      <c r="C375" t="s">
        <v>1519</v>
      </c>
      <c r="D375" t="s">
        <v>1553</v>
      </c>
      <c r="E375" t="s">
        <v>1083</v>
      </c>
      <c r="F375" t="s">
        <v>722</v>
      </c>
      <c r="G375" t="s">
        <v>372</v>
      </c>
      <c r="H375" t="s">
        <v>9</v>
      </c>
      <c r="I375" t="s">
        <v>1520</v>
      </c>
      <c r="J375">
        <v>22</v>
      </c>
      <c r="K375" t="s">
        <v>1521</v>
      </c>
      <c r="L375" t="s">
        <v>1521</v>
      </c>
      <c r="M375">
        <v>0</v>
      </c>
      <c r="N375">
        <v>0</v>
      </c>
      <c r="O375">
        <v>1</v>
      </c>
      <c r="P375">
        <v>135.63329999999999</v>
      </c>
      <c r="Q375" t="s">
        <v>1528</v>
      </c>
      <c r="R375" t="s">
        <v>1515</v>
      </c>
    </row>
    <row r="376" spans="1:18" x14ac:dyDescent="0.45">
      <c r="A376">
        <v>375</v>
      </c>
      <c r="B376">
        <v>0</v>
      </c>
      <c r="C376" t="s">
        <v>1519</v>
      </c>
      <c r="D376" t="s">
        <v>1552</v>
      </c>
      <c r="E376" t="s">
        <v>1084</v>
      </c>
      <c r="F376" t="s">
        <v>724</v>
      </c>
      <c r="G376" t="s">
        <v>62</v>
      </c>
      <c r="H376" t="s">
        <v>10</v>
      </c>
      <c r="I376" t="s">
        <v>1523</v>
      </c>
      <c r="J376">
        <v>3</v>
      </c>
      <c r="K376" t="s">
        <v>1524</v>
      </c>
      <c r="L376" t="s">
        <v>1524</v>
      </c>
      <c r="M376">
        <v>3</v>
      </c>
      <c r="N376">
        <v>1</v>
      </c>
      <c r="O376">
        <v>5</v>
      </c>
      <c r="P376" t="s">
        <v>13</v>
      </c>
      <c r="Q376" t="s">
        <v>1528</v>
      </c>
      <c r="R376" t="s">
        <v>1514</v>
      </c>
    </row>
    <row r="377" spans="1:18" x14ac:dyDescent="0.45">
      <c r="A377">
        <v>376</v>
      </c>
      <c r="B377">
        <v>1</v>
      </c>
      <c r="C377" t="s">
        <v>1</v>
      </c>
      <c r="D377" t="s">
        <v>1553</v>
      </c>
      <c r="E377" t="s">
        <v>1085</v>
      </c>
      <c r="F377" t="s">
        <v>723</v>
      </c>
      <c r="G377" t="s">
        <v>88</v>
      </c>
      <c r="H377" t="s">
        <v>10</v>
      </c>
      <c r="I377" t="s">
        <v>1523</v>
      </c>
      <c r="J377">
        <v>28</v>
      </c>
      <c r="K377" t="s">
        <v>1521</v>
      </c>
      <c r="L377" t="s">
        <v>1521</v>
      </c>
      <c r="M377">
        <v>1</v>
      </c>
      <c r="N377">
        <v>0</v>
      </c>
      <c r="O377">
        <v>2</v>
      </c>
      <c r="P377" t="s">
        <v>19</v>
      </c>
      <c r="Q377" t="s">
        <v>1528</v>
      </c>
      <c r="R377" t="s">
        <v>1515</v>
      </c>
    </row>
    <row r="378" spans="1:18" x14ac:dyDescent="0.45">
      <c r="A378">
        <v>377</v>
      </c>
      <c r="B378">
        <v>1</v>
      </c>
      <c r="C378" t="s">
        <v>1</v>
      </c>
      <c r="D378" t="s">
        <v>1552</v>
      </c>
      <c r="E378" t="s">
        <v>1086</v>
      </c>
      <c r="F378" t="s">
        <v>724</v>
      </c>
      <c r="G378" t="s">
        <v>373</v>
      </c>
      <c r="H378" t="s">
        <v>10</v>
      </c>
      <c r="I378" t="s">
        <v>1523</v>
      </c>
      <c r="J378">
        <v>22</v>
      </c>
      <c r="K378" t="s">
        <v>1521</v>
      </c>
      <c r="L378" t="s">
        <v>1521</v>
      </c>
      <c r="M378">
        <v>0</v>
      </c>
      <c r="N378">
        <v>0</v>
      </c>
      <c r="O378">
        <v>1</v>
      </c>
      <c r="P378">
        <v>7.25</v>
      </c>
      <c r="Q378" t="s">
        <v>1528</v>
      </c>
      <c r="R378" t="s">
        <v>1514</v>
      </c>
    </row>
    <row r="379" spans="1:18" x14ac:dyDescent="0.45">
      <c r="A379">
        <v>378</v>
      </c>
      <c r="B379">
        <v>0</v>
      </c>
      <c r="C379" t="s">
        <v>1519</v>
      </c>
      <c r="D379" t="s">
        <v>1553</v>
      </c>
      <c r="E379" t="s">
        <v>1087</v>
      </c>
      <c r="F379" t="s">
        <v>722</v>
      </c>
      <c r="G379" t="s">
        <v>374</v>
      </c>
      <c r="H379" t="s">
        <v>9</v>
      </c>
      <c r="I379" t="s">
        <v>1520</v>
      </c>
      <c r="J379">
        <v>27</v>
      </c>
      <c r="K379" t="s">
        <v>1521</v>
      </c>
      <c r="L379" t="s">
        <v>1521</v>
      </c>
      <c r="M379">
        <v>0</v>
      </c>
      <c r="N379">
        <v>2</v>
      </c>
      <c r="O379">
        <v>3</v>
      </c>
      <c r="P379">
        <v>211.5</v>
      </c>
      <c r="Q379" t="s">
        <v>1528</v>
      </c>
      <c r="R379" t="s">
        <v>1515</v>
      </c>
    </row>
    <row r="380" spans="1:18" x14ac:dyDescent="0.45">
      <c r="A380">
        <v>379</v>
      </c>
      <c r="B380">
        <v>0</v>
      </c>
      <c r="C380" t="s">
        <v>1519</v>
      </c>
      <c r="D380" t="s">
        <v>1552</v>
      </c>
      <c r="E380" t="s">
        <v>1067</v>
      </c>
      <c r="F380" t="s">
        <v>722</v>
      </c>
      <c r="G380" t="s">
        <v>375</v>
      </c>
      <c r="H380" t="s">
        <v>9</v>
      </c>
      <c r="I380" t="s">
        <v>1520</v>
      </c>
      <c r="J380">
        <v>20</v>
      </c>
      <c r="K380" t="s">
        <v>1521</v>
      </c>
      <c r="L380" t="s">
        <v>1521</v>
      </c>
      <c r="M380">
        <v>0</v>
      </c>
      <c r="N380">
        <v>0</v>
      </c>
      <c r="O380">
        <v>1</v>
      </c>
      <c r="P380" t="s">
        <v>36</v>
      </c>
      <c r="Q380" t="s">
        <v>1528</v>
      </c>
      <c r="R380" t="s">
        <v>1515</v>
      </c>
    </row>
    <row r="381" spans="1:18" x14ac:dyDescent="0.45">
      <c r="A381">
        <v>380</v>
      </c>
      <c r="B381">
        <v>0</v>
      </c>
      <c r="C381" t="s">
        <v>1519</v>
      </c>
      <c r="D381" t="s">
        <v>1552</v>
      </c>
      <c r="E381" t="s">
        <v>1088</v>
      </c>
      <c r="F381" t="s">
        <v>722</v>
      </c>
      <c r="G381" t="s">
        <v>154</v>
      </c>
      <c r="H381" t="s">
        <v>9</v>
      </c>
      <c r="I381" t="s">
        <v>1520</v>
      </c>
      <c r="J381">
        <v>19</v>
      </c>
      <c r="K381" t="s">
        <v>1521</v>
      </c>
      <c r="L381" t="s">
        <v>1521</v>
      </c>
      <c r="M381">
        <v>0</v>
      </c>
      <c r="N381">
        <v>0</v>
      </c>
      <c r="O381">
        <v>1</v>
      </c>
      <c r="P381">
        <v>7.7750000000000004</v>
      </c>
      <c r="Q381" t="s">
        <v>1528</v>
      </c>
      <c r="R381" t="s">
        <v>1514</v>
      </c>
    </row>
    <row r="382" spans="1:18" x14ac:dyDescent="0.45">
      <c r="A382">
        <v>381</v>
      </c>
      <c r="B382">
        <v>1</v>
      </c>
      <c r="C382" t="s">
        <v>1</v>
      </c>
      <c r="D382" t="s">
        <v>1553</v>
      </c>
      <c r="E382" t="s">
        <v>1089</v>
      </c>
      <c r="F382" t="s">
        <v>724</v>
      </c>
      <c r="G382" t="s">
        <v>376</v>
      </c>
      <c r="H382" t="s">
        <v>10</v>
      </c>
      <c r="I382" t="s">
        <v>1523</v>
      </c>
      <c r="J382">
        <v>42</v>
      </c>
      <c r="K382" t="s">
        <v>1521</v>
      </c>
      <c r="L382" t="s">
        <v>1521</v>
      </c>
      <c r="M382">
        <v>0</v>
      </c>
      <c r="N382">
        <v>0</v>
      </c>
      <c r="O382">
        <v>1</v>
      </c>
      <c r="P382">
        <v>227.52500000000001</v>
      </c>
      <c r="Q382" t="s">
        <v>1528</v>
      </c>
      <c r="R382" t="s">
        <v>1515</v>
      </c>
    </row>
    <row r="383" spans="1:18" x14ac:dyDescent="0.45">
      <c r="A383">
        <v>382</v>
      </c>
      <c r="B383">
        <v>1</v>
      </c>
      <c r="C383" t="s">
        <v>1</v>
      </c>
      <c r="D383" t="s">
        <v>1552</v>
      </c>
      <c r="E383" t="s">
        <v>1090</v>
      </c>
      <c r="F383" t="s">
        <v>724</v>
      </c>
      <c r="G383" t="s">
        <v>377</v>
      </c>
      <c r="H383" t="s">
        <v>10</v>
      </c>
      <c r="I383" t="s">
        <v>1523</v>
      </c>
      <c r="J383">
        <v>1</v>
      </c>
      <c r="K383" t="s">
        <v>1524</v>
      </c>
      <c r="L383" t="s">
        <v>1524</v>
      </c>
      <c r="M383">
        <v>0</v>
      </c>
      <c r="N383">
        <v>2</v>
      </c>
      <c r="O383">
        <v>3</v>
      </c>
      <c r="P383">
        <v>15.7417</v>
      </c>
      <c r="Q383" t="s">
        <v>1528</v>
      </c>
      <c r="R383" t="s">
        <v>1515</v>
      </c>
    </row>
    <row r="384" spans="1:18" x14ac:dyDescent="0.45">
      <c r="A384">
        <v>383</v>
      </c>
      <c r="B384">
        <v>0</v>
      </c>
      <c r="C384" t="s">
        <v>1519</v>
      </c>
      <c r="D384" t="s">
        <v>1552</v>
      </c>
      <c r="E384" t="s">
        <v>1091</v>
      </c>
      <c r="F384" t="s">
        <v>722</v>
      </c>
      <c r="G384" t="s">
        <v>378</v>
      </c>
      <c r="H384" t="s">
        <v>9</v>
      </c>
      <c r="I384" t="s">
        <v>1520</v>
      </c>
      <c r="J384">
        <v>32</v>
      </c>
      <c r="K384" t="s">
        <v>1521</v>
      </c>
      <c r="L384" t="s">
        <v>1521</v>
      </c>
      <c r="M384">
        <v>0</v>
      </c>
      <c r="N384">
        <v>0</v>
      </c>
      <c r="O384">
        <v>1</v>
      </c>
      <c r="P384">
        <v>7.9249999999999998</v>
      </c>
      <c r="Q384" t="s">
        <v>1528</v>
      </c>
      <c r="R384" t="s">
        <v>1514</v>
      </c>
    </row>
    <row r="385" spans="1:18" x14ac:dyDescent="0.45">
      <c r="A385">
        <v>384</v>
      </c>
      <c r="B385">
        <v>1</v>
      </c>
      <c r="C385" t="s">
        <v>1</v>
      </c>
      <c r="D385" t="s">
        <v>1553</v>
      </c>
      <c r="E385" t="s">
        <v>1092</v>
      </c>
      <c r="F385" t="s">
        <v>723</v>
      </c>
      <c r="G385" t="s">
        <v>89</v>
      </c>
      <c r="H385" t="s">
        <v>10</v>
      </c>
      <c r="I385" t="s">
        <v>1523</v>
      </c>
      <c r="J385">
        <v>35</v>
      </c>
      <c r="K385" t="s">
        <v>1521</v>
      </c>
      <c r="L385" t="s">
        <v>1521</v>
      </c>
      <c r="M385">
        <v>1</v>
      </c>
      <c r="N385">
        <v>0</v>
      </c>
      <c r="O385">
        <v>2</v>
      </c>
      <c r="P385">
        <v>52</v>
      </c>
      <c r="Q385" t="s">
        <v>1528</v>
      </c>
      <c r="R385" t="s">
        <v>1514</v>
      </c>
    </row>
    <row r="386" spans="1:18" x14ac:dyDescent="0.45">
      <c r="A386">
        <v>385</v>
      </c>
      <c r="B386">
        <v>0</v>
      </c>
      <c r="C386" t="s">
        <v>1519</v>
      </c>
      <c r="D386" t="s">
        <v>1552</v>
      </c>
      <c r="E386" t="s">
        <v>1093</v>
      </c>
      <c r="F386" t="s">
        <v>722</v>
      </c>
      <c r="G386" t="s">
        <v>379</v>
      </c>
      <c r="H386" t="s">
        <v>9</v>
      </c>
      <c r="I386" t="s">
        <v>1520</v>
      </c>
      <c r="J386">
        <v>28</v>
      </c>
      <c r="K386" t="s">
        <v>1521</v>
      </c>
      <c r="L386" t="s">
        <v>1521</v>
      </c>
      <c r="M386">
        <v>0</v>
      </c>
      <c r="N386">
        <v>0</v>
      </c>
      <c r="O386">
        <v>1</v>
      </c>
      <c r="P386">
        <v>7.8958000000000004</v>
      </c>
      <c r="Q386" t="s">
        <v>1528</v>
      </c>
      <c r="R386" t="s">
        <v>1514</v>
      </c>
    </row>
    <row r="387" spans="1:18" x14ac:dyDescent="0.45">
      <c r="A387">
        <v>386</v>
      </c>
      <c r="B387">
        <v>0</v>
      </c>
      <c r="C387" t="s">
        <v>1519</v>
      </c>
      <c r="D387" t="s">
        <v>1554</v>
      </c>
      <c r="E387" t="s">
        <v>1094</v>
      </c>
      <c r="F387" t="s">
        <v>722</v>
      </c>
      <c r="G387" t="s">
        <v>380</v>
      </c>
      <c r="H387" t="s">
        <v>9</v>
      </c>
      <c r="I387" t="s">
        <v>1520</v>
      </c>
      <c r="J387">
        <v>18</v>
      </c>
      <c r="K387" t="s">
        <v>1521</v>
      </c>
      <c r="L387" t="s">
        <v>1521</v>
      </c>
      <c r="M387">
        <v>0</v>
      </c>
      <c r="N387">
        <v>0</v>
      </c>
      <c r="O387">
        <v>1</v>
      </c>
      <c r="P387">
        <v>73.5</v>
      </c>
      <c r="Q387" t="s">
        <v>1528</v>
      </c>
      <c r="R387" t="s">
        <v>1514</v>
      </c>
    </row>
    <row r="388" spans="1:18" x14ac:dyDescent="0.45">
      <c r="A388">
        <v>387</v>
      </c>
      <c r="B388">
        <v>0</v>
      </c>
      <c r="C388" t="s">
        <v>1519</v>
      </c>
      <c r="D388" t="s">
        <v>1552</v>
      </c>
      <c r="E388" t="s">
        <v>1095</v>
      </c>
      <c r="F388" t="s">
        <v>725</v>
      </c>
      <c r="G388" t="s">
        <v>112</v>
      </c>
      <c r="H388" t="s">
        <v>9</v>
      </c>
      <c r="I388" t="s">
        <v>1520</v>
      </c>
      <c r="J388">
        <v>1</v>
      </c>
      <c r="K388" t="s">
        <v>1524</v>
      </c>
      <c r="L388" t="s">
        <v>1524</v>
      </c>
      <c r="M388">
        <v>5</v>
      </c>
      <c r="N388">
        <v>2</v>
      </c>
      <c r="O388">
        <v>8</v>
      </c>
      <c r="P388">
        <v>46.9</v>
      </c>
      <c r="Q388" t="s">
        <v>1528</v>
      </c>
      <c r="R388" t="s">
        <v>1514</v>
      </c>
    </row>
    <row r="389" spans="1:18" x14ac:dyDescent="0.45">
      <c r="A389">
        <v>388</v>
      </c>
      <c r="B389">
        <v>1</v>
      </c>
      <c r="C389" t="s">
        <v>1</v>
      </c>
      <c r="D389" t="s">
        <v>1554</v>
      </c>
      <c r="E389" t="s">
        <v>1010</v>
      </c>
      <c r="F389" t="s">
        <v>724</v>
      </c>
      <c r="G389" t="s">
        <v>381</v>
      </c>
      <c r="H389" t="s">
        <v>10</v>
      </c>
      <c r="I389" t="s">
        <v>1523</v>
      </c>
      <c r="J389">
        <v>36</v>
      </c>
      <c r="K389" t="s">
        <v>1521</v>
      </c>
      <c r="L389" t="s">
        <v>1521</v>
      </c>
      <c r="M389">
        <v>0</v>
      </c>
      <c r="N389">
        <v>0</v>
      </c>
      <c r="O389">
        <v>1</v>
      </c>
      <c r="P389">
        <v>13</v>
      </c>
      <c r="Q389" t="s">
        <v>1528</v>
      </c>
      <c r="R389" t="s">
        <v>1514</v>
      </c>
    </row>
    <row r="390" spans="1:18" x14ac:dyDescent="0.45">
      <c r="A390">
        <v>389</v>
      </c>
      <c r="B390">
        <v>0</v>
      </c>
      <c r="C390" t="s">
        <v>1519</v>
      </c>
      <c r="D390" t="s">
        <v>1552</v>
      </c>
      <c r="E390" t="s">
        <v>1096</v>
      </c>
      <c r="F390" t="s">
        <v>722</v>
      </c>
      <c r="G390" t="s">
        <v>382</v>
      </c>
      <c r="H390" t="s">
        <v>9</v>
      </c>
      <c r="I390" t="s">
        <v>1520</v>
      </c>
      <c r="J390">
        <v>28</v>
      </c>
      <c r="K390" t="s">
        <v>1521</v>
      </c>
      <c r="L390" t="s">
        <v>1521</v>
      </c>
      <c r="M390">
        <v>0</v>
      </c>
      <c r="N390">
        <v>0</v>
      </c>
      <c r="O390">
        <v>1</v>
      </c>
      <c r="P390">
        <v>7.7291999999999996</v>
      </c>
      <c r="Q390" t="s">
        <v>1528</v>
      </c>
      <c r="R390" t="s">
        <v>1516</v>
      </c>
    </row>
    <row r="391" spans="1:18" x14ac:dyDescent="0.45">
      <c r="A391">
        <v>390</v>
      </c>
      <c r="B391">
        <v>1</v>
      </c>
      <c r="C391" t="s">
        <v>1</v>
      </c>
      <c r="D391" t="s">
        <v>1554</v>
      </c>
      <c r="E391" t="s">
        <v>820</v>
      </c>
      <c r="F391" t="s">
        <v>724</v>
      </c>
      <c r="G391" t="s">
        <v>383</v>
      </c>
      <c r="H391" t="s">
        <v>10</v>
      </c>
      <c r="I391" t="s">
        <v>1523</v>
      </c>
      <c r="J391">
        <v>17</v>
      </c>
      <c r="K391" t="s">
        <v>1525</v>
      </c>
      <c r="L391" t="s">
        <v>1525</v>
      </c>
      <c r="M391">
        <v>0</v>
      </c>
      <c r="N391">
        <v>0</v>
      </c>
      <c r="O391">
        <v>1</v>
      </c>
      <c r="P391">
        <v>12</v>
      </c>
      <c r="Q391" t="s">
        <v>1528</v>
      </c>
      <c r="R391" t="s">
        <v>1515</v>
      </c>
    </row>
    <row r="392" spans="1:18" x14ac:dyDescent="0.45">
      <c r="A392">
        <v>391</v>
      </c>
      <c r="B392">
        <v>1</v>
      </c>
      <c r="C392" t="s">
        <v>1</v>
      </c>
      <c r="D392" t="s">
        <v>1553</v>
      </c>
      <c r="E392" t="s">
        <v>1097</v>
      </c>
      <c r="F392" t="s">
        <v>722</v>
      </c>
      <c r="G392" t="s">
        <v>273</v>
      </c>
      <c r="H392" t="s">
        <v>9</v>
      </c>
      <c r="I392" t="s">
        <v>1520</v>
      </c>
      <c r="J392">
        <v>36</v>
      </c>
      <c r="K392" t="s">
        <v>1521</v>
      </c>
      <c r="L392" t="s">
        <v>1521</v>
      </c>
      <c r="M392">
        <v>1</v>
      </c>
      <c r="N392">
        <v>2</v>
      </c>
      <c r="O392">
        <v>4</v>
      </c>
      <c r="P392">
        <v>1214.4541999999999</v>
      </c>
      <c r="Q392" t="s">
        <v>1528</v>
      </c>
      <c r="R392" t="s">
        <v>1514</v>
      </c>
    </row>
    <row r="393" spans="1:18" x14ac:dyDescent="0.45">
      <c r="A393">
        <v>392</v>
      </c>
      <c r="B393">
        <v>1</v>
      </c>
      <c r="C393" t="s">
        <v>1</v>
      </c>
      <c r="D393" t="s">
        <v>1552</v>
      </c>
      <c r="E393" t="s">
        <v>1098</v>
      </c>
      <c r="F393" t="s">
        <v>722</v>
      </c>
      <c r="G393" t="s">
        <v>384</v>
      </c>
      <c r="H393" t="s">
        <v>9</v>
      </c>
      <c r="I393" t="s">
        <v>1520</v>
      </c>
      <c r="J393">
        <v>21</v>
      </c>
      <c r="K393" t="s">
        <v>1521</v>
      </c>
      <c r="L393" t="s">
        <v>1521</v>
      </c>
      <c r="M393">
        <v>0</v>
      </c>
      <c r="N393">
        <v>0</v>
      </c>
      <c r="O393">
        <v>1</v>
      </c>
      <c r="P393">
        <v>7.7957999999999998</v>
      </c>
      <c r="Q393" t="s">
        <v>1528</v>
      </c>
      <c r="R393" t="s">
        <v>1514</v>
      </c>
    </row>
    <row r="394" spans="1:18" x14ac:dyDescent="0.45">
      <c r="A394">
        <v>393</v>
      </c>
      <c r="B394">
        <v>0</v>
      </c>
      <c r="C394" t="s">
        <v>1519</v>
      </c>
      <c r="D394" t="s">
        <v>1552</v>
      </c>
      <c r="E394" t="s">
        <v>1099</v>
      </c>
      <c r="F394" t="s">
        <v>722</v>
      </c>
      <c r="G394" t="s">
        <v>154</v>
      </c>
      <c r="H394" t="s">
        <v>9</v>
      </c>
      <c r="I394" t="s">
        <v>1520</v>
      </c>
      <c r="J394">
        <v>28</v>
      </c>
      <c r="K394" t="s">
        <v>1521</v>
      </c>
      <c r="L394" t="s">
        <v>1521</v>
      </c>
      <c r="M394">
        <v>2</v>
      </c>
      <c r="N394">
        <v>0</v>
      </c>
      <c r="O394">
        <v>3</v>
      </c>
      <c r="P394">
        <v>7.9249999999999998</v>
      </c>
      <c r="Q394" t="s">
        <v>1528</v>
      </c>
      <c r="R394" t="s">
        <v>1514</v>
      </c>
    </row>
    <row r="395" spans="1:18" x14ac:dyDescent="0.45">
      <c r="A395">
        <v>394</v>
      </c>
      <c r="B395">
        <v>1</v>
      </c>
      <c r="C395" t="s">
        <v>1</v>
      </c>
      <c r="D395" t="s">
        <v>1553</v>
      </c>
      <c r="E395" t="s">
        <v>1100</v>
      </c>
      <c r="F395" t="s">
        <v>724</v>
      </c>
      <c r="G395" t="s">
        <v>245</v>
      </c>
      <c r="H395" t="s">
        <v>10</v>
      </c>
      <c r="I395" t="s">
        <v>1523</v>
      </c>
      <c r="J395">
        <v>23</v>
      </c>
      <c r="K395" t="s">
        <v>1521</v>
      </c>
      <c r="L395" t="s">
        <v>1521</v>
      </c>
      <c r="M395">
        <v>1</v>
      </c>
      <c r="N395">
        <v>0</v>
      </c>
      <c r="O395">
        <v>2</v>
      </c>
      <c r="P395">
        <v>113.27500000000001</v>
      </c>
      <c r="Q395" t="s">
        <v>1528</v>
      </c>
      <c r="R395" t="s">
        <v>1515</v>
      </c>
    </row>
    <row r="396" spans="1:18" x14ac:dyDescent="0.45">
      <c r="A396">
        <v>395</v>
      </c>
      <c r="B396">
        <v>1</v>
      </c>
      <c r="C396" t="s">
        <v>1</v>
      </c>
      <c r="D396" t="s">
        <v>1552</v>
      </c>
      <c r="E396" t="s">
        <v>1101</v>
      </c>
      <c r="F396" t="s">
        <v>723</v>
      </c>
      <c r="G396" t="s">
        <v>65</v>
      </c>
      <c r="H396" t="s">
        <v>10</v>
      </c>
      <c r="I396" t="s">
        <v>1523</v>
      </c>
      <c r="J396">
        <v>24</v>
      </c>
      <c r="K396" t="s">
        <v>1521</v>
      </c>
      <c r="L396" t="s">
        <v>1521</v>
      </c>
      <c r="M396">
        <v>0</v>
      </c>
      <c r="N396">
        <v>2</v>
      </c>
      <c r="O396">
        <v>3</v>
      </c>
      <c r="P396">
        <v>16.7</v>
      </c>
      <c r="Q396" t="s">
        <v>1528</v>
      </c>
      <c r="R396" t="s">
        <v>1514</v>
      </c>
    </row>
    <row r="397" spans="1:18" x14ac:dyDescent="0.45">
      <c r="A397">
        <v>396</v>
      </c>
      <c r="B397">
        <v>0</v>
      </c>
      <c r="C397" t="s">
        <v>1519</v>
      </c>
      <c r="D397" t="s">
        <v>1552</v>
      </c>
      <c r="E397" t="s">
        <v>1102</v>
      </c>
      <c r="F397" t="s">
        <v>722</v>
      </c>
      <c r="G397" t="s">
        <v>153</v>
      </c>
      <c r="H397" t="s">
        <v>9</v>
      </c>
      <c r="I397" t="s">
        <v>1520</v>
      </c>
      <c r="J397">
        <v>22</v>
      </c>
      <c r="K397" t="s">
        <v>1521</v>
      </c>
      <c r="L397" t="s">
        <v>1521</v>
      </c>
      <c r="M397">
        <v>0</v>
      </c>
      <c r="N397">
        <v>0</v>
      </c>
      <c r="O397">
        <v>1</v>
      </c>
      <c r="P397">
        <v>7.7957999999999998</v>
      </c>
      <c r="Q397" t="s">
        <v>1528</v>
      </c>
      <c r="R397" t="s">
        <v>1514</v>
      </c>
    </row>
    <row r="398" spans="1:18" x14ac:dyDescent="0.45">
      <c r="A398">
        <v>397</v>
      </c>
      <c r="B398">
        <v>0</v>
      </c>
      <c r="C398" t="s">
        <v>1519</v>
      </c>
      <c r="D398" t="s">
        <v>1552</v>
      </c>
      <c r="E398" t="s">
        <v>1103</v>
      </c>
      <c r="F398" t="s">
        <v>724</v>
      </c>
      <c r="G398" t="s">
        <v>300</v>
      </c>
      <c r="H398" t="s">
        <v>10</v>
      </c>
      <c r="I398" t="s">
        <v>1523</v>
      </c>
      <c r="J398">
        <v>31</v>
      </c>
      <c r="K398" t="s">
        <v>1521</v>
      </c>
      <c r="L398" t="s">
        <v>1521</v>
      </c>
      <c r="M398">
        <v>0</v>
      </c>
      <c r="N398">
        <v>0</v>
      </c>
      <c r="O398">
        <v>1</v>
      </c>
      <c r="P398">
        <v>7.8541999999999996</v>
      </c>
      <c r="Q398" t="s">
        <v>1528</v>
      </c>
      <c r="R398" t="s">
        <v>1514</v>
      </c>
    </row>
    <row r="399" spans="1:18" x14ac:dyDescent="0.45">
      <c r="A399">
        <v>398</v>
      </c>
      <c r="B399">
        <v>0</v>
      </c>
      <c r="C399" t="s">
        <v>1519</v>
      </c>
      <c r="D399" t="s">
        <v>1554</v>
      </c>
      <c r="E399" t="s">
        <v>1104</v>
      </c>
      <c r="F399" t="s">
        <v>722</v>
      </c>
      <c r="G399" t="s">
        <v>385</v>
      </c>
      <c r="H399" t="s">
        <v>9</v>
      </c>
      <c r="I399" t="s">
        <v>1520</v>
      </c>
      <c r="J399">
        <v>46</v>
      </c>
      <c r="K399" t="s">
        <v>1521</v>
      </c>
      <c r="L399" t="s">
        <v>1521</v>
      </c>
      <c r="M399">
        <v>0</v>
      </c>
      <c r="N399">
        <v>0</v>
      </c>
      <c r="O399">
        <v>1</v>
      </c>
      <c r="P399">
        <v>26</v>
      </c>
      <c r="Q399" t="s">
        <v>1528</v>
      </c>
      <c r="R399" t="s">
        <v>1514</v>
      </c>
    </row>
    <row r="400" spans="1:18" x14ac:dyDescent="0.45">
      <c r="A400">
        <v>399</v>
      </c>
      <c r="B400">
        <v>0</v>
      </c>
      <c r="C400" t="s">
        <v>1519</v>
      </c>
      <c r="D400" t="s">
        <v>1554</v>
      </c>
      <c r="E400" t="s">
        <v>1105</v>
      </c>
      <c r="F400" t="s">
        <v>728</v>
      </c>
      <c r="G400" t="s">
        <v>386</v>
      </c>
      <c r="H400" t="s">
        <v>9</v>
      </c>
      <c r="I400" t="s">
        <v>1520</v>
      </c>
      <c r="J400">
        <v>23</v>
      </c>
      <c r="K400" t="s">
        <v>1521</v>
      </c>
      <c r="L400" t="s">
        <v>1521</v>
      </c>
      <c r="M400">
        <v>0</v>
      </c>
      <c r="N400">
        <v>0</v>
      </c>
      <c r="O400">
        <v>1</v>
      </c>
      <c r="P400" t="s">
        <v>18</v>
      </c>
      <c r="Q400" t="s">
        <v>1528</v>
      </c>
      <c r="R400" t="s">
        <v>1514</v>
      </c>
    </row>
    <row r="401" spans="1:18" x14ac:dyDescent="0.45">
      <c r="A401">
        <v>400</v>
      </c>
      <c r="B401">
        <v>1</v>
      </c>
      <c r="C401" t="s">
        <v>1</v>
      </c>
      <c r="D401" t="s">
        <v>1554</v>
      </c>
      <c r="E401" t="s">
        <v>1106</v>
      </c>
      <c r="F401" t="s">
        <v>723</v>
      </c>
      <c r="G401" t="s">
        <v>387</v>
      </c>
      <c r="H401" t="s">
        <v>10</v>
      </c>
      <c r="I401" t="s">
        <v>1523</v>
      </c>
      <c r="J401">
        <v>28</v>
      </c>
      <c r="K401" t="s">
        <v>1521</v>
      </c>
      <c r="L401" t="s">
        <v>1521</v>
      </c>
      <c r="M401">
        <v>0</v>
      </c>
      <c r="N401">
        <v>0</v>
      </c>
      <c r="O401">
        <v>1</v>
      </c>
      <c r="P401">
        <v>12.65</v>
      </c>
      <c r="Q401" t="s">
        <v>1528</v>
      </c>
      <c r="R401" t="s">
        <v>1514</v>
      </c>
    </row>
    <row r="402" spans="1:18" x14ac:dyDescent="0.45">
      <c r="A402">
        <v>401</v>
      </c>
      <c r="B402">
        <v>1</v>
      </c>
      <c r="C402" t="s">
        <v>1</v>
      </c>
      <c r="D402" t="s">
        <v>1552</v>
      </c>
      <c r="E402" t="s">
        <v>1107</v>
      </c>
      <c r="F402" t="s">
        <v>722</v>
      </c>
      <c r="G402" t="s">
        <v>388</v>
      </c>
      <c r="H402" t="s">
        <v>9</v>
      </c>
      <c r="I402" t="s">
        <v>1520</v>
      </c>
      <c r="J402">
        <v>39</v>
      </c>
      <c r="K402" t="s">
        <v>1521</v>
      </c>
      <c r="L402" t="s">
        <v>1521</v>
      </c>
      <c r="M402">
        <v>0</v>
      </c>
      <c r="N402">
        <v>0</v>
      </c>
      <c r="O402">
        <v>1</v>
      </c>
      <c r="P402">
        <v>7.9249999999999998</v>
      </c>
      <c r="Q402" t="s">
        <v>1528</v>
      </c>
      <c r="R402" t="s">
        <v>1514</v>
      </c>
    </row>
    <row r="403" spans="1:18" x14ac:dyDescent="0.45">
      <c r="A403">
        <v>402</v>
      </c>
      <c r="B403">
        <v>0</v>
      </c>
      <c r="C403" t="s">
        <v>1519</v>
      </c>
      <c r="D403" t="s">
        <v>1552</v>
      </c>
      <c r="E403" t="s">
        <v>920</v>
      </c>
      <c r="F403" t="s">
        <v>722</v>
      </c>
      <c r="G403" t="s">
        <v>389</v>
      </c>
      <c r="H403" t="s">
        <v>9</v>
      </c>
      <c r="I403" t="s">
        <v>1520</v>
      </c>
      <c r="J403">
        <v>26</v>
      </c>
      <c r="K403" t="s">
        <v>1521</v>
      </c>
      <c r="L403" t="s">
        <v>1521</v>
      </c>
      <c r="M403">
        <v>0</v>
      </c>
      <c r="N403">
        <v>0</v>
      </c>
      <c r="O403">
        <v>1</v>
      </c>
      <c r="P403" t="s">
        <v>12</v>
      </c>
      <c r="Q403" t="s">
        <v>1528</v>
      </c>
      <c r="R403" t="s">
        <v>1514</v>
      </c>
    </row>
    <row r="404" spans="1:18" x14ac:dyDescent="0.45">
      <c r="A404">
        <v>403</v>
      </c>
      <c r="B404">
        <v>0</v>
      </c>
      <c r="C404" t="s">
        <v>1519</v>
      </c>
      <c r="D404" t="s">
        <v>1552</v>
      </c>
      <c r="E404" t="s">
        <v>1108</v>
      </c>
      <c r="F404" t="s">
        <v>724</v>
      </c>
      <c r="G404" t="s">
        <v>162</v>
      </c>
      <c r="H404" t="s">
        <v>10</v>
      </c>
      <c r="I404" t="s">
        <v>1523</v>
      </c>
      <c r="J404">
        <v>21</v>
      </c>
      <c r="K404" t="s">
        <v>1521</v>
      </c>
      <c r="L404" t="s">
        <v>1521</v>
      </c>
      <c r="M404">
        <v>1</v>
      </c>
      <c r="N404">
        <v>0</v>
      </c>
      <c r="O404">
        <v>2</v>
      </c>
      <c r="P404">
        <v>9.8249999999999993</v>
      </c>
      <c r="Q404" t="s">
        <v>1528</v>
      </c>
      <c r="R404" t="s">
        <v>1514</v>
      </c>
    </row>
    <row r="405" spans="1:18" x14ac:dyDescent="0.45">
      <c r="A405">
        <v>404</v>
      </c>
      <c r="B405">
        <v>0</v>
      </c>
      <c r="C405" t="s">
        <v>1519</v>
      </c>
      <c r="D405" t="s">
        <v>1552</v>
      </c>
      <c r="E405" t="s">
        <v>1109</v>
      </c>
      <c r="F405" t="s">
        <v>722</v>
      </c>
      <c r="G405" t="s">
        <v>185</v>
      </c>
      <c r="H405" t="s">
        <v>9</v>
      </c>
      <c r="I405" t="s">
        <v>1520</v>
      </c>
      <c r="J405">
        <v>28</v>
      </c>
      <c r="K405" t="s">
        <v>1521</v>
      </c>
      <c r="L405" t="s">
        <v>1521</v>
      </c>
      <c r="M405">
        <v>1</v>
      </c>
      <c r="N405">
        <v>0</v>
      </c>
      <c r="O405">
        <v>2</v>
      </c>
      <c r="P405">
        <v>15.85</v>
      </c>
      <c r="Q405" t="s">
        <v>1528</v>
      </c>
      <c r="R405" t="s">
        <v>1514</v>
      </c>
    </row>
    <row r="406" spans="1:18" x14ac:dyDescent="0.45">
      <c r="A406">
        <v>405</v>
      </c>
      <c r="B406">
        <v>0</v>
      </c>
      <c r="C406" t="s">
        <v>1519</v>
      </c>
      <c r="D406" t="s">
        <v>1552</v>
      </c>
      <c r="E406" t="s">
        <v>1110</v>
      </c>
      <c r="F406" t="s">
        <v>724</v>
      </c>
      <c r="G406" t="s">
        <v>390</v>
      </c>
      <c r="H406" t="s">
        <v>10</v>
      </c>
      <c r="I406" t="s">
        <v>1523</v>
      </c>
      <c r="J406">
        <v>20</v>
      </c>
      <c r="K406" t="s">
        <v>1521</v>
      </c>
      <c r="L406" t="s">
        <v>1521</v>
      </c>
      <c r="M406">
        <v>0</v>
      </c>
      <c r="N406">
        <v>0</v>
      </c>
      <c r="O406">
        <v>1</v>
      </c>
      <c r="P406">
        <v>8.6624999999999996</v>
      </c>
      <c r="Q406" t="s">
        <v>1528</v>
      </c>
      <c r="R406" t="s">
        <v>1514</v>
      </c>
    </row>
    <row r="407" spans="1:18" x14ac:dyDescent="0.45">
      <c r="A407">
        <v>406</v>
      </c>
      <c r="B407">
        <v>0</v>
      </c>
      <c r="C407" t="s">
        <v>1519</v>
      </c>
      <c r="D407" t="s">
        <v>1554</v>
      </c>
      <c r="E407" t="s">
        <v>1111</v>
      </c>
      <c r="F407" t="s">
        <v>722</v>
      </c>
      <c r="G407" t="s">
        <v>391</v>
      </c>
      <c r="H407" t="s">
        <v>9</v>
      </c>
      <c r="I407" t="s">
        <v>1520</v>
      </c>
      <c r="J407">
        <v>34</v>
      </c>
      <c r="K407" t="s">
        <v>1521</v>
      </c>
      <c r="L407" t="s">
        <v>1521</v>
      </c>
      <c r="M407">
        <v>1</v>
      </c>
      <c r="N407">
        <v>0</v>
      </c>
      <c r="O407">
        <v>2</v>
      </c>
      <c r="P407">
        <v>21</v>
      </c>
      <c r="Q407" t="s">
        <v>1528</v>
      </c>
      <c r="R407" t="s">
        <v>1514</v>
      </c>
    </row>
    <row r="408" spans="1:18" x14ac:dyDescent="0.45">
      <c r="A408">
        <v>407</v>
      </c>
      <c r="B408">
        <v>0</v>
      </c>
      <c r="C408" t="s">
        <v>1519</v>
      </c>
      <c r="D408" t="s">
        <v>1552</v>
      </c>
      <c r="E408" t="s">
        <v>1112</v>
      </c>
      <c r="F408" t="s">
        <v>722</v>
      </c>
      <c r="G408" t="s">
        <v>392</v>
      </c>
      <c r="H408" t="s">
        <v>9</v>
      </c>
      <c r="I408" t="s">
        <v>1520</v>
      </c>
      <c r="J408">
        <v>51</v>
      </c>
      <c r="K408" t="s">
        <v>1521</v>
      </c>
      <c r="L408" t="s">
        <v>1521</v>
      </c>
      <c r="M408">
        <v>0</v>
      </c>
      <c r="N408">
        <v>0</v>
      </c>
      <c r="O408">
        <v>1</v>
      </c>
      <c r="P408">
        <v>7.75</v>
      </c>
      <c r="Q408" t="s">
        <v>1528</v>
      </c>
      <c r="R408" t="s">
        <v>1514</v>
      </c>
    </row>
    <row r="409" spans="1:18" x14ac:dyDescent="0.45">
      <c r="A409">
        <v>408</v>
      </c>
      <c r="B409">
        <v>1</v>
      </c>
      <c r="C409" t="s">
        <v>1</v>
      </c>
      <c r="D409" t="s">
        <v>1554</v>
      </c>
      <c r="E409" t="s">
        <v>1113</v>
      </c>
      <c r="F409" t="s">
        <v>725</v>
      </c>
      <c r="G409" t="s">
        <v>393</v>
      </c>
      <c r="H409" t="s">
        <v>9</v>
      </c>
      <c r="I409" t="s">
        <v>1520</v>
      </c>
      <c r="J409">
        <v>3</v>
      </c>
      <c r="K409" t="s">
        <v>1524</v>
      </c>
      <c r="L409" t="s">
        <v>1524</v>
      </c>
      <c r="M409">
        <v>1</v>
      </c>
      <c r="N409">
        <v>1</v>
      </c>
      <c r="O409">
        <v>3</v>
      </c>
      <c r="P409">
        <v>18.75</v>
      </c>
      <c r="Q409" t="s">
        <v>1528</v>
      </c>
      <c r="R409" t="s">
        <v>1514</v>
      </c>
    </row>
    <row r="410" spans="1:18" x14ac:dyDescent="0.45">
      <c r="A410">
        <v>409</v>
      </c>
      <c r="B410">
        <v>0</v>
      </c>
      <c r="C410" t="s">
        <v>1519</v>
      </c>
      <c r="D410" t="s">
        <v>1552</v>
      </c>
      <c r="E410" t="s">
        <v>1114</v>
      </c>
      <c r="F410" t="s">
        <v>722</v>
      </c>
      <c r="G410" t="s">
        <v>394</v>
      </c>
      <c r="H410" t="s">
        <v>9</v>
      </c>
      <c r="I410" t="s">
        <v>1520</v>
      </c>
      <c r="J410">
        <v>21</v>
      </c>
      <c r="K410" t="s">
        <v>1521</v>
      </c>
      <c r="L410" t="s">
        <v>1521</v>
      </c>
      <c r="M410">
        <v>0</v>
      </c>
      <c r="N410">
        <v>0</v>
      </c>
      <c r="O410">
        <v>1</v>
      </c>
      <c r="P410">
        <v>7.7750000000000004</v>
      </c>
      <c r="Q410" t="s">
        <v>1528</v>
      </c>
      <c r="R410" t="s">
        <v>1514</v>
      </c>
    </row>
    <row r="411" spans="1:18" x14ac:dyDescent="0.45">
      <c r="A411">
        <v>410</v>
      </c>
      <c r="B411">
        <v>0</v>
      </c>
      <c r="C411" t="s">
        <v>1519</v>
      </c>
      <c r="D411" t="s">
        <v>1552</v>
      </c>
      <c r="E411" t="s">
        <v>1115</v>
      </c>
      <c r="F411" t="s">
        <v>724</v>
      </c>
      <c r="G411" t="s">
        <v>212</v>
      </c>
      <c r="H411" t="s">
        <v>10</v>
      </c>
      <c r="I411" t="s">
        <v>1523</v>
      </c>
      <c r="J411">
        <v>28</v>
      </c>
      <c r="K411" t="s">
        <v>1521</v>
      </c>
      <c r="L411" t="s">
        <v>1521</v>
      </c>
      <c r="M411">
        <v>3</v>
      </c>
      <c r="N411">
        <v>1</v>
      </c>
      <c r="O411">
        <v>5</v>
      </c>
      <c r="P411">
        <v>25.466699999999999</v>
      </c>
      <c r="Q411" t="s">
        <v>1528</v>
      </c>
      <c r="R411" t="s">
        <v>1514</v>
      </c>
    </row>
    <row r="412" spans="1:18" x14ac:dyDescent="0.45">
      <c r="A412">
        <v>411</v>
      </c>
      <c r="B412">
        <v>0</v>
      </c>
      <c r="C412" t="s">
        <v>1519</v>
      </c>
      <c r="D412" t="s">
        <v>1552</v>
      </c>
      <c r="E412" t="s">
        <v>1116</v>
      </c>
      <c r="F412" t="s">
        <v>722</v>
      </c>
      <c r="G412" t="s">
        <v>395</v>
      </c>
      <c r="H412" t="s">
        <v>9</v>
      </c>
      <c r="I412" t="s">
        <v>1520</v>
      </c>
      <c r="J412">
        <v>28</v>
      </c>
      <c r="K412" t="s">
        <v>1521</v>
      </c>
      <c r="L412" t="s">
        <v>1521</v>
      </c>
      <c r="M412">
        <v>0</v>
      </c>
      <c r="N412">
        <v>0</v>
      </c>
      <c r="O412">
        <v>1</v>
      </c>
      <c r="P412">
        <v>7.8958000000000004</v>
      </c>
      <c r="Q412" t="s">
        <v>1528</v>
      </c>
      <c r="R412" t="s">
        <v>1514</v>
      </c>
    </row>
    <row r="413" spans="1:18" x14ac:dyDescent="0.45">
      <c r="A413">
        <v>412</v>
      </c>
      <c r="B413">
        <v>0</v>
      </c>
      <c r="C413" t="s">
        <v>1519</v>
      </c>
      <c r="D413" t="s">
        <v>1552</v>
      </c>
      <c r="E413" t="s">
        <v>940</v>
      </c>
      <c r="F413" t="s">
        <v>722</v>
      </c>
      <c r="G413" t="s">
        <v>328</v>
      </c>
      <c r="H413" t="s">
        <v>9</v>
      </c>
      <c r="I413" t="s">
        <v>1520</v>
      </c>
      <c r="J413">
        <v>28</v>
      </c>
      <c r="K413" t="s">
        <v>1521</v>
      </c>
      <c r="L413" t="s">
        <v>1521</v>
      </c>
      <c r="M413">
        <v>0</v>
      </c>
      <c r="N413">
        <v>0</v>
      </c>
      <c r="O413">
        <v>1</v>
      </c>
      <c r="P413">
        <v>6.8582999999999998</v>
      </c>
      <c r="Q413" t="s">
        <v>1528</v>
      </c>
      <c r="R413" t="s">
        <v>1516</v>
      </c>
    </row>
    <row r="414" spans="1:18" x14ac:dyDescent="0.45">
      <c r="A414">
        <v>413</v>
      </c>
      <c r="B414">
        <v>1</v>
      </c>
      <c r="C414" t="s">
        <v>1</v>
      </c>
      <c r="D414" t="s">
        <v>1553</v>
      </c>
      <c r="E414" t="s">
        <v>1117</v>
      </c>
      <c r="F414" t="s">
        <v>724</v>
      </c>
      <c r="G414" t="s">
        <v>269</v>
      </c>
      <c r="H414" t="s">
        <v>10</v>
      </c>
      <c r="I414" t="s">
        <v>1523</v>
      </c>
      <c r="J414">
        <v>33</v>
      </c>
      <c r="K414" t="s">
        <v>1521</v>
      </c>
      <c r="L414" t="s">
        <v>1521</v>
      </c>
      <c r="M414">
        <v>1</v>
      </c>
      <c r="N414">
        <v>0</v>
      </c>
      <c r="O414">
        <v>2</v>
      </c>
      <c r="P414">
        <v>914.45420000000001</v>
      </c>
      <c r="Q414" t="s">
        <v>1528</v>
      </c>
      <c r="R414" t="s">
        <v>1516</v>
      </c>
    </row>
    <row r="415" spans="1:18" x14ac:dyDescent="0.45">
      <c r="A415">
        <v>414</v>
      </c>
      <c r="B415">
        <v>0</v>
      </c>
      <c r="C415" t="s">
        <v>1519</v>
      </c>
      <c r="D415" t="s">
        <v>1554</v>
      </c>
      <c r="E415" t="s">
        <v>1118</v>
      </c>
      <c r="F415" t="s">
        <v>722</v>
      </c>
      <c r="G415" t="s">
        <v>396</v>
      </c>
      <c r="H415" t="s">
        <v>9</v>
      </c>
      <c r="I415" t="s">
        <v>1520</v>
      </c>
      <c r="J415">
        <v>28</v>
      </c>
      <c r="K415" t="s">
        <v>1521</v>
      </c>
      <c r="L415" t="s">
        <v>1521</v>
      </c>
      <c r="M415">
        <v>0</v>
      </c>
      <c r="N415">
        <v>0</v>
      </c>
      <c r="O415">
        <v>1</v>
      </c>
      <c r="P415">
        <v>14.4542</v>
      </c>
      <c r="Q415" t="s">
        <v>1528</v>
      </c>
      <c r="R415" t="s">
        <v>1514</v>
      </c>
    </row>
    <row r="416" spans="1:18" x14ac:dyDescent="0.45">
      <c r="A416">
        <v>415</v>
      </c>
      <c r="B416">
        <v>1</v>
      </c>
      <c r="C416" t="s">
        <v>1</v>
      </c>
      <c r="D416" t="s">
        <v>1552</v>
      </c>
      <c r="E416" t="s">
        <v>1119</v>
      </c>
      <c r="F416" t="s">
        <v>722</v>
      </c>
      <c r="G416" t="s">
        <v>397</v>
      </c>
      <c r="H416" t="s">
        <v>9</v>
      </c>
      <c r="I416" t="s">
        <v>1520</v>
      </c>
      <c r="J416">
        <v>44</v>
      </c>
      <c r="K416" t="s">
        <v>1521</v>
      </c>
      <c r="L416" t="s">
        <v>1521</v>
      </c>
      <c r="M416">
        <v>0</v>
      </c>
      <c r="N416">
        <v>0</v>
      </c>
      <c r="O416">
        <v>1</v>
      </c>
      <c r="P416">
        <v>7.9249999999999998</v>
      </c>
      <c r="Q416" t="s">
        <v>1528</v>
      </c>
      <c r="R416" t="s">
        <v>1514</v>
      </c>
    </row>
    <row r="417" spans="1:18" x14ac:dyDescent="0.45">
      <c r="A417">
        <v>416</v>
      </c>
      <c r="B417">
        <v>0</v>
      </c>
      <c r="C417" t="s">
        <v>1519</v>
      </c>
      <c r="D417" t="s">
        <v>1552</v>
      </c>
      <c r="E417" t="s">
        <v>886</v>
      </c>
      <c r="F417" t="s">
        <v>723</v>
      </c>
      <c r="G417" t="s">
        <v>398</v>
      </c>
      <c r="H417" t="s">
        <v>10</v>
      </c>
      <c r="I417" t="s">
        <v>1523</v>
      </c>
      <c r="J417">
        <v>28</v>
      </c>
      <c r="K417" t="s">
        <v>1521</v>
      </c>
      <c r="L417" t="s">
        <v>1521</v>
      </c>
      <c r="M417">
        <v>0</v>
      </c>
      <c r="N417">
        <v>0</v>
      </c>
      <c r="O417">
        <v>1</v>
      </c>
      <c r="P417" t="s">
        <v>12</v>
      </c>
      <c r="Q417" t="s">
        <v>1528</v>
      </c>
      <c r="R417" t="s">
        <v>1514</v>
      </c>
    </row>
    <row r="418" spans="1:18" x14ac:dyDescent="0.45">
      <c r="A418">
        <v>417</v>
      </c>
      <c r="B418">
        <v>1</v>
      </c>
      <c r="C418" t="s">
        <v>1</v>
      </c>
      <c r="D418" t="s">
        <v>1554</v>
      </c>
      <c r="E418" t="s">
        <v>1120</v>
      </c>
      <c r="F418" t="s">
        <v>723</v>
      </c>
      <c r="G418" t="s">
        <v>399</v>
      </c>
      <c r="H418" t="s">
        <v>10</v>
      </c>
      <c r="I418" t="s">
        <v>1523</v>
      </c>
      <c r="J418">
        <v>34</v>
      </c>
      <c r="K418" t="s">
        <v>1521</v>
      </c>
      <c r="L418" t="s">
        <v>1521</v>
      </c>
      <c r="M418">
        <v>1</v>
      </c>
      <c r="N418">
        <v>1</v>
      </c>
      <c r="O418">
        <v>3</v>
      </c>
      <c r="P418">
        <v>32.5</v>
      </c>
      <c r="Q418" t="s">
        <v>1528</v>
      </c>
      <c r="R418" t="s">
        <v>1514</v>
      </c>
    </row>
    <row r="419" spans="1:18" x14ac:dyDescent="0.45">
      <c r="A419">
        <v>418</v>
      </c>
      <c r="B419">
        <v>1</v>
      </c>
      <c r="C419" t="s">
        <v>1</v>
      </c>
      <c r="D419" t="s">
        <v>1554</v>
      </c>
      <c r="E419" t="s">
        <v>1121</v>
      </c>
      <c r="F419" t="s">
        <v>724</v>
      </c>
      <c r="G419" t="s">
        <v>400</v>
      </c>
      <c r="H419" t="s">
        <v>10</v>
      </c>
      <c r="I419" t="s">
        <v>1523</v>
      </c>
      <c r="J419">
        <v>18</v>
      </c>
      <c r="K419" t="s">
        <v>1521</v>
      </c>
      <c r="L419" t="s">
        <v>1521</v>
      </c>
      <c r="M419">
        <v>0</v>
      </c>
      <c r="N419">
        <v>2</v>
      </c>
      <c r="O419">
        <v>3</v>
      </c>
      <c r="P419">
        <v>13</v>
      </c>
      <c r="Q419" t="s">
        <v>1528</v>
      </c>
      <c r="R419" t="s">
        <v>1514</v>
      </c>
    </row>
    <row r="420" spans="1:18" x14ac:dyDescent="0.45">
      <c r="A420">
        <v>419</v>
      </c>
      <c r="B420">
        <v>0</v>
      </c>
      <c r="C420" t="s">
        <v>1519</v>
      </c>
      <c r="D420" t="s">
        <v>1554</v>
      </c>
      <c r="E420" t="s">
        <v>783</v>
      </c>
      <c r="F420" t="s">
        <v>722</v>
      </c>
      <c r="G420" t="s">
        <v>401</v>
      </c>
      <c r="H420" t="s">
        <v>9</v>
      </c>
      <c r="I420" t="s">
        <v>1520</v>
      </c>
      <c r="J420">
        <v>30</v>
      </c>
      <c r="K420" t="s">
        <v>1521</v>
      </c>
      <c r="L420" t="s">
        <v>1521</v>
      </c>
      <c r="M420">
        <v>0</v>
      </c>
      <c r="N420">
        <v>0</v>
      </c>
      <c r="O420">
        <v>1</v>
      </c>
      <c r="P420">
        <v>13</v>
      </c>
      <c r="Q420" t="s">
        <v>1528</v>
      </c>
      <c r="R420" t="s">
        <v>1514</v>
      </c>
    </row>
    <row r="421" spans="1:18" x14ac:dyDescent="0.45">
      <c r="A421">
        <v>420</v>
      </c>
      <c r="B421">
        <v>0</v>
      </c>
      <c r="C421" t="s">
        <v>1519</v>
      </c>
      <c r="D421" t="s">
        <v>1552</v>
      </c>
      <c r="E421" t="s">
        <v>1122</v>
      </c>
      <c r="F421" t="s">
        <v>724</v>
      </c>
      <c r="G421" t="s">
        <v>402</v>
      </c>
      <c r="H421" t="s">
        <v>10</v>
      </c>
      <c r="I421" t="s">
        <v>1523</v>
      </c>
      <c r="J421">
        <v>10</v>
      </c>
      <c r="K421" t="s">
        <v>1524</v>
      </c>
      <c r="L421" t="s">
        <v>1524</v>
      </c>
      <c r="M421">
        <v>0</v>
      </c>
      <c r="N421">
        <v>2</v>
      </c>
      <c r="O421">
        <v>3</v>
      </c>
      <c r="P421">
        <v>24.15</v>
      </c>
      <c r="Q421" t="s">
        <v>1528</v>
      </c>
      <c r="R421" t="s">
        <v>1514</v>
      </c>
    </row>
    <row r="422" spans="1:18" x14ac:dyDescent="0.45">
      <c r="A422">
        <v>421</v>
      </c>
      <c r="B422">
        <v>0</v>
      </c>
      <c r="C422" t="s">
        <v>1519</v>
      </c>
      <c r="D422" t="s">
        <v>1552</v>
      </c>
      <c r="E422" t="s">
        <v>1123</v>
      </c>
      <c r="F422" t="s">
        <v>722</v>
      </c>
      <c r="G422" t="s">
        <v>403</v>
      </c>
      <c r="H422" t="s">
        <v>9</v>
      </c>
      <c r="I422" t="s">
        <v>1520</v>
      </c>
      <c r="J422">
        <v>28</v>
      </c>
      <c r="K422" t="s">
        <v>1521</v>
      </c>
      <c r="L422" t="s">
        <v>1521</v>
      </c>
      <c r="M422">
        <v>0</v>
      </c>
      <c r="N422">
        <v>0</v>
      </c>
      <c r="O422">
        <v>1</v>
      </c>
      <c r="P422">
        <v>7.8958000000000004</v>
      </c>
      <c r="Q422" t="s">
        <v>1528</v>
      </c>
      <c r="R422" t="s">
        <v>1515</v>
      </c>
    </row>
    <row r="423" spans="1:18" x14ac:dyDescent="0.45">
      <c r="A423">
        <v>422</v>
      </c>
      <c r="B423">
        <v>0</v>
      </c>
      <c r="C423" t="s">
        <v>1519</v>
      </c>
      <c r="D423" t="s">
        <v>1552</v>
      </c>
      <c r="E423" t="s">
        <v>989</v>
      </c>
      <c r="F423" t="s">
        <v>722</v>
      </c>
      <c r="G423" t="s">
        <v>404</v>
      </c>
      <c r="H423" t="s">
        <v>9</v>
      </c>
      <c r="I423" t="s">
        <v>1520</v>
      </c>
      <c r="J423">
        <v>21</v>
      </c>
      <c r="K423" t="s">
        <v>1521</v>
      </c>
      <c r="L423" t="s">
        <v>1521</v>
      </c>
      <c r="M423">
        <v>0</v>
      </c>
      <c r="N423">
        <v>0</v>
      </c>
      <c r="O423">
        <v>1</v>
      </c>
      <c r="P423">
        <v>7.7332999999999998</v>
      </c>
      <c r="Q423" t="s">
        <v>1528</v>
      </c>
      <c r="R423" t="s">
        <v>1516</v>
      </c>
    </row>
    <row r="424" spans="1:18" x14ac:dyDescent="0.45">
      <c r="A424">
        <v>423</v>
      </c>
      <c r="B424">
        <v>0</v>
      </c>
      <c r="C424" t="s">
        <v>1519</v>
      </c>
      <c r="D424" t="s">
        <v>1552</v>
      </c>
      <c r="E424" t="s">
        <v>1124</v>
      </c>
      <c r="F424" t="s">
        <v>722</v>
      </c>
      <c r="G424" t="s">
        <v>405</v>
      </c>
      <c r="H424" t="s">
        <v>9</v>
      </c>
      <c r="I424" t="s">
        <v>1520</v>
      </c>
      <c r="J424">
        <v>29</v>
      </c>
      <c r="K424" t="s">
        <v>1521</v>
      </c>
      <c r="L424" t="s">
        <v>1521</v>
      </c>
      <c r="M424">
        <v>0</v>
      </c>
      <c r="N424">
        <v>0</v>
      </c>
      <c r="O424">
        <v>1</v>
      </c>
      <c r="P424">
        <v>7.875</v>
      </c>
      <c r="Q424" t="s">
        <v>1528</v>
      </c>
      <c r="R424" t="s">
        <v>1514</v>
      </c>
    </row>
    <row r="425" spans="1:18" x14ac:dyDescent="0.45">
      <c r="A425">
        <v>424</v>
      </c>
      <c r="B425">
        <v>0</v>
      </c>
      <c r="C425" t="s">
        <v>1519</v>
      </c>
      <c r="D425" t="s">
        <v>1552</v>
      </c>
      <c r="E425" t="s">
        <v>1125</v>
      </c>
      <c r="F425" t="s">
        <v>723</v>
      </c>
      <c r="G425" t="s">
        <v>406</v>
      </c>
      <c r="H425" t="s">
        <v>10</v>
      </c>
      <c r="I425" t="s">
        <v>1523</v>
      </c>
      <c r="J425">
        <v>28</v>
      </c>
      <c r="K425" t="s">
        <v>1521</v>
      </c>
      <c r="L425" t="s">
        <v>1521</v>
      </c>
      <c r="M425">
        <v>1</v>
      </c>
      <c r="N425">
        <v>1</v>
      </c>
      <c r="O425">
        <v>3</v>
      </c>
      <c r="P425">
        <v>14.4</v>
      </c>
      <c r="Q425" t="s">
        <v>1528</v>
      </c>
      <c r="R425" t="s">
        <v>1514</v>
      </c>
    </row>
    <row r="426" spans="1:18" x14ac:dyDescent="0.45">
      <c r="A426">
        <v>425</v>
      </c>
      <c r="B426">
        <v>0</v>
      </c>
      <c r="C426" t="s">
        <v>1519</v>
      </c>
      <c r="D426" t="s">
        <v>1552</v>
      </c>
      <c r="E426" t="s">
        <v>1126</v>
      </c>
      <c r="F426" t="s">
        <v>722</v>
      </c>
      <c r="G426" t="s">
        <v>277</v>
      </c>
      <c r="H426" t="s">
        <v>9</v>
      </c>
      <c r="I426" t="s">
        <v>1520</v>
      </c>
      <c r="J426">
        <v>18</v>
      </c>
      <c r="K426" t="s">
        <v>1521</v>
      </c>
      <c r="L426" t="s">
        <v>1521</v>
      </c>
      <c r="M426">
        <v>1</v>
      </c>
      <c r="N426">
        <v>1</v>
      </c>
      <c r="O426">
        <v>3</v>
      </c>
      <c r="P426" t="s">
        <v>30</v>
      </c>
      <c r="Q426" t="s">
        <v>1528</v>
      </c>
      <c r="R426" t="s">
        <v>1514</v>
      </c>
    </row>
    <row r="427" spans="1:18" x14ac:dyDescent="0.45">
      <c r="A427">
        <v>426</v>
      </c>
      <c r="B427">
        <v>0</v>
      </c>
      <c r="C427" t="s">
        <v>1519</v>
      </c>
      <c r="D427" t="s">
        <v>1552</v>
      </c>
      <c r="E427" t="s">
        <v>1127</v>
      </c>
      <c r="F427" t="s">
        <v>722</v>
      </c>
      <c r="G427" t="s">
        <v>407</v>
      </c>
      <c r="H427" t="s">
        <v>9</v>
      </c>
      <c r="I427" t="s">
        <v>1520</v>
      </c>
      <c r="J427">
        <v>28</v>
      </c>
      <c r="K427" t="s">
        <v>1521</v>
      </c>
      <c r="L427" t="s">
        <v>1521</v>
      </c>
      <c r="M427">
        <v>0</v>
      </c>
      <c r="N427">
        <v>0</v>
      </c>
      <c r="O427">
        <v>1</v>
      </c>
      <c r="P427">
        <v>7.25</v>
      </c>
      <c r="Q427" t="s">
        <v>1528</v>
      </c>
      <c r="R427" t="s">
        <v>1514</v>
      </c>
    </row>
    <row r="428" spans="1:18" x14ac:dyDescent="0.45">
      <c r="A428">
        <v>427</v>
      </c>
      <c r="B428">
        <v>1</v>
      </c>
      <c r="C428" t="s">
        <v>1</v>
      </c>
      <c r="D428" t="s">
        <v>1554</v>
      </c>
      <c r="E428" t="s">
        <v>1128</v>
      </c>
      <c r="F428" t="s">
        <v>723</v>
      </c>
      <c r="G428" t="s">
        <v>408</v>
      </c>
      <c r="H428" t="s">
        <v>10</v>
      </c>
      <c r="I428" t="s">
        <v>1523</v>
      </c>
      <c r="J428">
        <v>28</v>
      </c>
      <c r="K428" t="s">
        <v>1521</v>
      </c>
      <c r="L428" t="s">
        <v>1521</v>
      </c>
      <c r="M428">
        <v>1</v>
      </c>
      <c r="N428">
        <v>0</v>
      </c>
      <c r="O428">
        <v>2</v>
      </c>
      <c r="P428">
        <v>26</v>
      </c>
      <c r="Q428" t="s">
        <v>1528</v>
      </c>
      <c r="R428" t="s">
        <v>1514</v>
      </c>
    </row>
    <row r="429" spans="1:18" x14ac:dyDescent="0.45">
      <c r="A429">
        <v>428</v>
      </c>
      <c r="B429">
        <v>1</v>
      </c>
      <c r="C429" t="s">
        <v>1</v>
      </c>
      <c r="D429" t="s">
        <v>1554</v>
      </c>
      <c r="E429" t="s">
        <v>1129</v>
      </c>
      <c r="F429" t="s">
        <v>724</v>
      </c>
      <c r="G429" t="s">
        <v>409</v>
      </c>
      <c r="H429" t="s">
        <v>10</v>
      </c>
      <c r="I429" t="s">
        <v>1523</v>
      </c>
      <c r="J429">
        <v>19</v>
      </c>
      <c r="K429" t="s">
        <v>1521</v>
      </c>
      <c r="L429" t="s">
        <v>1521</v>
      </c>
      <c r="M429">
        <v>0</v>
      </c>
      <c r="N429">
        <v>0</v>
      </c>
      <c r="O429">
        <v>1</v>
      </c>
      <c r="P429">
        <v>26</v>
      </c>
      <c r="Q429" t="s">
        <v>1528</v>
      </c>
      <c r="R429" t="s">
        <v>1514</v>
      </c>
    </row>
    <row r="430" spans="1:18" x14ac:dyDescent="0.45">
      <c r="A430">
        <v>429</v>
      </c>
      <c r="B430">
        <v>0</v>
      </c>
      <c r="C430" t="s">
        <v>1519</v>
      </c>
      <c r="D430" t="s">
        <v>1552</v>
      </c>
      <c r="E430" t="s">
        <v>744</v>
      </c>
      <c r="F430" t="s">
        <v>722</v>
      </c>
      <c r="G430" t="s">
        <v>410</v>
      </c>
      <c r="H430" t="s">
        <v>9</v>
      </c>
      <c r="I430" t="s">
        <v>1520</v>
      </c>
      <c r="J430">
        <v>28</v>
      </c>
      <c r="K430" t="s">
        <v>1521</v>
      </c>
      <c r="L430" t="s">
        <v>1521</v>
      </c>
      <c r="M430">
        <v>0</v>
      </c>
      <c r="N430">
        <v>0</v>
      </c>
      <c r="O430">
        <v>1</v>
      </c>
      <c r="P430">
        <v>7.75</v>
      </c>
      <c r="Q430" t="s">
        <v>1528</v>
      </c>
      <c r="R430" t="s">
        <v>1516</v>
      </c>
    </row>
    <row r="431" spans="1:18" x14ac:dyDescent="0.45">
      <c r="A431">
        <v>430</v>
      </c>
      <c r="B431">
        <v>1</v>
      </c>
      <c r="C431" t="s">
        <v>1</v>
      </c>
      <c r="D431" t="s">
        <v>1552</v>
      </c>
      <c r="E431" t="s">
        <v>1130</v>
      </c>
      <c r="F431" t="s">
        <v>722</v>
      </c>
      <c r="G431" t="s">
        <v>411</v>
      </c>
      <c r="H431" t="s">
        <v>9</v>
      </c>
      <c r="I431" t="s">
        <v>1520</v>
      </c>
      <c r="J431">
        <v>32</v>
      </c>
      <c r="K431" t="s">
        <v>1521</v>
      </c>
      <c r="L431" t="s">
        <v>1521</v>
      </c>
      <c r="M431">
        <v>0</v>
      </c>
      <c r="N431">
        <v>0</v>
      </c>
      <c r="O431">
        <v>1</v>
      </c>
      <c r="P431" t="s">
        <v>12</v>
      </c>
      <c r="Q431" t="s">
        <v>1528</v>
      </c>
      <c r="R431" t="s">
        <v>1514</v>
      </c>
    </row>
    <row r="432" spans="1:18" x14ac:dyDescent="0.45">
      <c r="A432">
        <v>431</v>
      </c>
      <c r="B432">
        <v>1</v>
      </c>
      <c r="C432" t="s">
        <v>1</v>
      </c>
      <c r="D432" t="s">
        <v>1553</v>
      </c>
      <c r="E432" t="s">
        <v>1131</v>
      </c>
      <c r="F432" t="s">
        <v>722</v>
      </c>
      <c r="G432" t="s">
        <v>412</v>
      </c>
      <c r="H432" t="s">
        <v>9</v>
      </c>
      <c r="I432" t="s">
        <v>1520</v>
      </c>
      <c r="J432">
        <v>28</v>
      </c>
      <c r="K432" t="s">
        <v>1521</v>
      </c>
      <c r="L432" t="s">
        <v>1521</v>
      </c>
      <c r="M432">
        <v>0</v>
      </c>
      <c r="N432">
        <v>0</v>
      </c>
      <c r="O432">
        <v>1</v>
      </c>
      <c r="P432">
        <v>26.55</v>
      </c>
      <c r="Q432" t="s">
        <v>1528</v>
      </c>
      <c r="R432" t="s">
        <v>1514</v>
      </c>
    </row>
    <row r="433" spans="1:18" x14ac:dyDescent="0.45">
      <c r="A433">
        <v>432</v>
      </c>
      <c r="B433">
        <v>1</v>
      </c>
      <c r="C433" t="s">
        <v>1</v>
      </c>
      <c r="D433" t="s">
        <v>1552</v>
      </c>
      <c r="E433" t="s">
        <v>1132</v>
      </c>
      <c r="F433" t="s">
        <v>723</v>
      </c>
      <c r="G433" t="s">
        <v>413</v>
      </c>
      <c r="H433" t="s">
        <v>10</v>
      </c>
      <c r="I433" t="s">
        <v>1523</v>
      </c>
      <c r="J433">
        <v>28</v>
      </c>
      <c r="K433" t="s">
        <v>1521</v>
      </c>
      <c r="L433" t="s">
        <v>1521</v>
      </c>
      <c r="M433">
        <v>1</v>
      </c>
      <c r="N433">
        <v>0</v>
      </c>
      <c r="O433">
        <v>2</v>
      </c>
      <c r="P433">
        <v>16.100000000000001</v>
      </c>
      <c r="Q433" t="s">
        <v>1528</v>
      </c>
      <c r="R433" t="s">
        <v>1514</v>
      </c>
    </row>
    <row r="434" spans="1:18" x14ac:dyDescent="0.45">
      <c r="A434">
        <v>433</v>
      </c>
      <c r="B434">
        <v>1</v>
      </c>
      <c r="C434" t="s">
        <v>1</v>
      </c>
      <c r="D434" t="s">
        <v>1554</v>
      </c>
      <c r="E434" t="s">
        <v>1133</v>
      </c>
      <c r="F434" t="s">
        <v>723</v>
      </c>
      <c r="G434" t="s">
        <v>414</v>
      </c>
      <c r="H434" t="s">
        <v>10</v>
      </c>
      <c r="I434" t="s">
        <v>1523</v>
      </c>
      <c r="J434">
        <v>42</v>
      </c>
      <c r="K434" t="s">
        <v>1521</v>
      </c>
      <c r="L434" t="s">
        <v>1521</v>
      </c>
      <c r="M434">
        <v>1</v>
      </c>
      <c r="N434">
        <v>0</v>
      </c>
      <c r="O434">
        <v>2</v>
      </c>
      <c r="P434">
        <v>26</v>
      </c>
      <c r="Q434" t="s">
        <v>1528</v>
      </c>
      <c r="R434" t="s">
        <v>1514</v>
      </c>
    </row>
    <row r="435" spans="1:18" x14ac:dyDescent="0.45">
      <c r="A435">
        <v>434</v>
      </c>
      <c r="B435">
        <v>0</v>
      </c>
      <c r="C435" t="s">
        <v>1519</v>
      </c>
      <c r="D435" t="s">
        <v>1552</v>
      </c>
      <c r="E435" t="s">
        <v>1134</v>
      </c>
      <c r="F435" t="s">
        <v>722</v>
      </c>
      <c r="G435" t="s">
        <v>415</v>
      </c>
      <c r="H435" t="s">
        <v>9</v>
      </c>
      <c r="I435" t="s">
        <v>1520</v>
      </c>
      <c r="J435">
        <v>17</v>
      </c>
      <c r="K435" t="s">
        <v>1525</v>
      </c>
      <c r="L435" t="s">
        <v>1525</v>
      </c>
      <c r="M435">
        <v>0</v>
      </c>
      <c r="N435">
        <v>0</v>
      </c>
      <c r="O435">
        <v>1</v>
      </c>
      <c r="P435">
        <v>7.125</v>
      </c>
      <c r="Q435" t="s">
        <v>1528</v>
      </c>
      <c r="R435" t="s">
        <v>1514</v>
      </c>
    </row>
    <row r="436" spans="1:18" x14ac:dyDescent="0.45">
      <c r="A436">
        <v>435</v>
      </c>
      <c r="B436">
        <v>0</v>
      </c>
      <c r="C436" t="s">
        <v>1519</v>
      </c>
      <c r="D436" t="s">
        <v>1553</v>
      </c>
      <c r="E436" t="s">
        <v>1135</v>
      </c>
      <c r="F436" t="s">
        <v>722</v>
      </c>
      <c r="G436" t="s">
        <v>416</v>
      </c>
      <c r="H436" t="s">
        <v>9</v>
      </c>
      <c r="I436" t="s">
        <v>1520</v>
      </c>
      <c r="J436">
        <v>50</v>
      </c>
      <c r="K436" t="s">
        <v>1521</v>
      </c>
      <c r="L436" t="s">
        <v>1521</v>
      </c>
      <c r="M436">
        <v>1</v>
      </c>
      <c r="N436">
        <v>0</v>
      </c>
      <c r="O436">
        <v>2</v>
      </c>
      <c r="P436">
        <v>55.9</v>
      </c>
      <c r="Q436" t="s">
        <v>1528</v>
      </c>
      <c r="R436" t="s">
        <v>1514</v>
      </c>
    </row>
    <row r="437" spans="1:18" x14ac:dyDescent="0.45">
      <c r="A437">
        <v>436</v>
      </c>
      <c r="B437">
        <v>1</v>
      </c>
      <c r="C437" t="s">
        <v>1</v>
      </c>
      <c r="D437" t="s">
        <v>1553</v>
      </c>
      <c r="E437" t="s">
        <v>1136</v>
      </c>
      <c r="F437" t="s">
        <v>724</v>
      </c>
      <c r="G437" t="s">
        <v>273</v>
      </c>
      <c r="H437" t="s">
        <v>10</v>
      </c>
      <c r="I437" t="s">
        <v>1523</v>
      </c>
      <c r="J437">
        <v>14</v>
      </c>
      <c r="K437" t="s">
        <v>1525</v>
      </c>
      <c r="L437" t="s">
        <v>1525</v>
      </c>
      <c r="M437">
        <v>1</v>
      </c>
      <c r="N437">
        <v>2</v>
      </c>
      <c r="O437">
        <v>4</v>
      </c>
      <c r="P437">
        <v>1214.4541999999999</v>
      </c>
      <c r="Q437" t="s">
        <v>1528</v>
      </c>
      <c r="R437" t="s">
        <v>1514</v>
      </c>
    </row>
    <row r="438" spans="1:18" x14ac:dyDescent="0.45">
      <c r="A438">
        <v>437</v>
      </c>
      <c r="B438">
        <v>0</v>
      </c>
      <c r="C438" t="s">
        <v>1519</v>
      </c>
      <c r="D438" t="s">
        <v>1552</v>
      </c>
      <c r="E438" t="s">
        <v>1137</v>
      </c>
      <c r="F438" t="s">
        <v>724</v>
      </c>
      <c r="G438" t="s">
        <v>137</v>
      </c>
      <c r="H438" t="s">
        <v>10</v>
      </c>
      <c r="I438" t="s">
        <v>1523</v>
      </c>
      <c r="J438">
        <v>21</v>
      </c>
      <c r="K438" t="s">
        <v>1521</v>
      </c>
      <c r="L438" t="s">
        <v>1521</v>
      </c>
      <c r="M438">
        <v>2</v>
      </c>
      <c r="N438">
        <v>2</v>
      </c>
      <c r="O438">
        <v>5</v>
      </c>
      <c r="P438">
        <v>34.375</v>
      </c>
      <c r="Q438" t="s">
        <v>1528</v>
      </c>
      <c r="R438" t="s">
        <v>1514</v>
      </c>
    </row>
    <row r="439" spans="1:18" x14ac:dyDescent="0.45">
      <c r="A439">
        <v>438</v>
      </c>
      <c r="B439">
        <v>1</v>
      </c>
      <c r="C439" t="s">
        <v>1</v>
      </c>
      <c r="D439" t="s">
        <v>1554</v>
      </c>
      <c r="E439" t="s">
        <v>1138</v>
      </c>
      <c r="F439" t="s">
        <v>723</v>
      </c>
      <c r="G439" t="s">
        <v>393</v>
      </c>
      <c r="H439" t="s">
        <v>10</v>
      </c>
      <c r="I439" t="s">
        <v>1523</v>
      </c>
      <c r="J439">
        <v>24</v>
      </c>
      <c r="K439" t="s">
        <v>1521</v>
      </c>
      <c r="L439" t="s">
        <v>1521</v>
      </c>
      <c r="M439">
        <v>2</v>
      </c>
      <c r="N439">
        <v>3</v>
      </c>
      <c r="O439">
        <v>6</v>
      </c>
      <c r="P439">
        <v>18.75</v>
      </c>
      <c r="Q439" t="s">
        <v>1528</v>
      </c>
      <c r="R439" t="s">
        <v>1514</v>
      </c>
    </row>
    <row r="440" spans="1:18" x14ac:dyDescent="0.45">
      <c r="A440">
        <v>439</v>
      </c>
      <c r="B440">
        <v>0</v>
      </c>
      <c r="C440" t="s">
        <v>1519</v>
      </c>
      <c r="D440" t="s">
        <v>1553</v>
      </c>
      <c r="E440" t="s">
        <v>1139</v>
      </c>
      <c r="F440" t="s">
        <v>722</v>
      </c>
      <c r="G440" t="s">
        <v>81</v>
      </c>
      <c r="H440" t="s">
        <v>9</v>
      </c>
      <c r="I440" t="s">
        <v>1520</v>
      </c>
      <c r="J440">
        <v>64</v>
      </c>
      <c r="K440" t="s">
        <v>1527</v>
      </c>
      <c r="L440" t="s">
        <v>1527</v>
      </c>
      <c r="M440">
        <v>1</v>
      </c>
      <c r="N440">
        <v>4</v>
      </c>
      <c r="O440">
        <v>6</v>
      </c>
      <c r="P440">
        <v>263</v>
      </c>
      <c r="Q440" t="s">
        <v>1528</v>
      </c>
      <c r="R440" t="s">
        <v>1514</v>
      </c>
    </row>
    <row r="441" spans="1:18" x14ac:dyDescent="0.45">
      <c r="A441">
        <v>440</v>
      </c>
      <c r="B441">
        <v>0</v>
      </c>
      <c r="C441" t="s">
        <v>1519</v>
      </c>
      <c r="D441" t="s">
        <v>1554</v>
      </c>
      <c r="E441" t="s">
        <v>1140</v>
      </c>
      <c r="F441" t="s">
        <v>722</v>
      </c>
      <c r="G441" t="s">
        <v>417</v>
      </c>
      <c r="H441" t="s">
        <v>9</v>
      </c>
      <c r="I441" t="s">
        <v>1520</v>
      </c>
      <c r="J441">
        <v>31</v>
      </c>
      <c r="K441" t="s">
        <v>1521</v>
      </c>
      <c r="L441" t="s">
        <v>1521</v>
      </c>
      <c r="M441">
        <v>0</v>
      </c>
      <c r="N441">
        <v>0</v>
      </c>
      <c r="O441">
        <v>1</v>
      </c>
      <c r="P441" t="s">
        <v>18</v>
      </c>
      <c r="Q441" t="s">
        <v>1528</v>
      </c>
      <c r="R441" t="s">
        <v>1514</v>
      </c>
    </row>
    <row r="442" spans="1:18" x14ac:dyDescent="0.45">
      <c r="A442">
        <v>441</v>
      </c>
      <c r="B442">
        <v>1</v>
      </c>
      <c r="C442" t="s">
        <v>1</v>
      </c>
      <c r="D442" t="s">
        <v>1554</v>
      </c>
      <c r="E442" t="s">
        <v>1141</v>
      </c>
      <c r="F442" t="s">
        <v>723</v>
      </c>
      <c r="G442" t="s">
        <v>328</v>
      </c>
      <c r="H442" t="s">
        <v>10</v>
      </c>
      <c r="I442" t="s">
        <v>1523</v>
      </c>
      <c r="J442">
        <v>45</v>
      </c>
      <c r="K442" t="s">
        <v>1521</v>
      </c>
      <c r="L442" t="s">
        <v>1521</v>
      </c>
      <c r="M442">
        <v>1</v>
      </c>
      <c r="N442">
        <v>1</v>
      </c>
      <c r="O442">
        <v>3</v>
      </c>
      <c r="P442">
        <v>26.25</v>
      </c>
      <c r="Q442" t="s">
        <v>1528</v>
      </c>
      <c r="R442" t="s">
        <v>1514</v>
      </c>
    </row>
    <row r="443" spans="1:18" x14ac:dyDescent="0.45">
      <c r="A443">
        <v>442</v>
      </c>
      <c r="B443">
        <v>0</v>
      </c>
      <c r="C443" t="s">
        <v>1519</v>
      </c>
      <c r="D443" t="s">
        <v>1552</v>
      </c>
      <c r="E443" t="s">
        <v>1142</v>
      </c>
      <c r="F443" t="s">
        <v>722</v>
      </c>
      <c r="G443" t="s">
        <v>418</v>
      </c>
      <c r="H443" t="s">
        <v>9</v>
      </c>
      <c r="I443" t="s">
        <v>1520</v>
      </c>
      <c r="J443">
        <v>20</v>
      </c>
      <c r="K443" t="s">
        <v>1521</v>
      </c>
      <c r="L443" t="s">
        <v>1521</v>
      </c>
      <c r="M443">
        <v>0</v>
      </c>
      <c r="N443">
        <v>0</v>
      </c>
      <c r="O443">
        <v>1</v>
      </c>
      <c r="P443">
        <v>9.5</v>
      </c>
      <c r="Q443" t="s">
        <v>1528</v>
      </c>
      <c r="R443" t="s">
        <v>1514</v>
      </c>
    </row>
    <row r="444" spans="1:18" x14ac:dyDescent="0.45">
      <c r="A444">
        <v>443</v>
      </c>
      <c r="B444">
        <v>0</v>
      </c>
      <c r="C444" t="s">
        <v>1519</v>
      </c>
      <c r="D444" t="s">
        <v>1552</v>
      </c>
      <c r="E444" t="s">
        <v>1143</v>
      </c>
      <c r="F444" t="s">
        <v>722</v>
      </c>
      <c r="G444" t="s">
        <v>419</v>
      </c>
      <c r="H444" t="s">
        <v>9</v>
      </c>
      <c r="I444" t="s">
        <v>1520</v>
      </c>
      <c r="J444">
        <v>25</v>
      </c>
      <c r="K444" t="s">
        <v>1521</v>
      </c>
      <c r="L444" t="s">
        <v>1521</v>
      </c>
      <c r="M444">
        <v>1</v>
      </c>
      <c r="N444">
        <v>0</v>
      </c>
      <c r="O444">
        <v>2</v>
      </c>
      <c r="P444">
        <v>7.7750000000000004</v>
      </c>
      <c r="Q444" t="s">
        <v>1528</v>
      </c>
      <c r="R444" t="s">
        <v>1514</v>
      </c>
    </row>
    <row r="445" spans="1:18" x14ac:dyDescent="0.45">
      <c r="A445">
        <v>444</v>
      </c>
      <c r="B445">
        <v>1</v>
      </c>
      <c r="C445" t="s">
        <v>1</v>
      </c>
      <c r="D445" t="s">
        <v>1554</v>
      </c>
      <c r="E445" t="s">
        <v>1144</v>
      </c>
      <c r="F445" t="s">
        <v>730</v>
      </c>
      <c r="G445" t="s">
        <v>420</v>
      </c>
      <c r="H445" t="s">
        <v>10</v>
      </c>
      <c r="I445" t="s">
        <v>1523</v>
      </c>
      <c r="J445">
        <v>28</v>
      </c>
      <c r="K445" t="s">
        <v>1521</v>
      </c>
      <c r="L445" t="s">
        <v>1521</v>
      </c>
      <c r="M445">
        <v>0</v>
      </c>
      <c r="N445">
        <v>0</v>
      </c>
      <c r="O445">
        <v>1</v>
      </c>
      <c r="P445">
        <v>13</v>
      </c>
      <c r="Q445" t="s">
        <v>1528</v>
      </c>
      <c r="R445" t="s">
        <v>1514</v>
      </c>
    </row>
    <row r="446" spans="1:18" x14ac:dyDescent="0.45">
      <c r="A446">
        <v>445</v>
      </c>
      <c r="B446">
        <v>1</v>
      </c>
      <c r="C446" t="s">
        <v>1</v>
      </c>
      <c r="D446" t="s">
        <v>1552</v>
      </c>
      <c r="E446" t="s">
        <v>1145</v>
      </c>
      <c r="F446" t="s">
        <v>722</v>
      </c>
      <c r="G446" t="s">
        <v>421</v>
      </c>
      <c r="H446" t="s">
        <v>9</v>
      </c>
      <c r="I446" t="s">
        <v>1520</v>
      </c>
      <c r="J446">
        <v>28</v>
      </c>
      <c r="K446" t="s">
        <v>1521</v>
      </c>
      <c r="L446" t="s">
        <v>1521</v>
      </c>
      <c r="M446">
        <v>0</v>
      </c>
      <c r="N446">
        <v>0</v>
      </c>
      <c r="O446">
        <v>1</v>
      </c>
      <c r="P446">
        <v>8.1125000000000007</v>
      </c>
      <c r="Q446" t="s">
        <v>1528</v>
      </c>
      <c r="R446" t="s">
        <v>1514</v>
      </c>
    </row>
    <row r="447" spans="1:18" x14ac:dyDescent="0.45">
      <c r="A447">
        <v>446</v>
      </c>
      <c r="B447">
        <v>1</v>
      </c>
      <c r="C447" t="s">
        <v>1</v>
      </c>
      <c r="D447" t="s">
        <v>1553</v>
      </c>
      <c r="E447" t="s">
        <v>1146</v>
      </c>
      <c r="F447" t="s">
        <v>725</v>
      </c>
      <c r="G447" t="s">
        <v>422</v>
      </c>
      <c r="H447" t="s">
        <v>9</v>
      </c>
      <c r="I447" t="s">
        <v>1520</v>
      </c>
      <c r="J447">
        <v>4</v>
      </c>
      <c r="K447" t="s">
        <v>1524</v>
      </c>
      <c r="L447" t="s">
        <v>1524</v>
      </c>
      <c r="M447">
        <v>0</v>
      </c>
      <c r="N447">
        <v>2</v>
      </c>
      <c r="O447">
        <v>3</v>
      </c>
      <c r="P447">
        <v>81.8583</v>
      </c>
      <c r="Q447" t="s">
        <v>1528</v>
      </c>
      <c r="R447" t="s">
        <v>1514</v>
      </c>
    </row>
    <row r="448" spans="1:18" x14ac:dyDescent="0.45">
      <c r="A448">
        <v>447</v>
      </c>
      <c r="B448">
        <v>1</v>
      </c>
      <c r="C448" t="s">
        <v>1</v>
      </c>
      <c r="D448" t="s">
        <v>1554</v>
      </c>
      <c r="E448" t="s">
        <v>1147</v>
      </c>
      <c r="F448" t="s">
        <v>724</v>
      </c>
      <c r="G448" t="s">
        <v>292</v>
      </c>
      <c r="H448" t="s">
        <v>10</v>
      </c>
      <c r="I448" t="s">
        <v>1523</v>
      </c>
      <c r="J448">
        <v>13</v>
      </c>
      <c r="K448" t="s">
        <v>1525</v>
      </c>
      <c r="L448" t="s">
        <v>1525</v>
      </c>
      <c r="M448">
        <v>0</v>
      </c>
      <c r="N448">
        <v>1</v>
      </c>
      <c r="O448">
        <v>2</v>
      </c>
      <c r="P448">
        <v>19.5</v>
      </c>
      <c r="Q448" t="s">
        <v>1528</v>
      </c>
      <c r="R448" t="s">
        <v>1514</v>
      </c>
    </row>
    <row r="449" spans="1:18" x14ac:dyDescent="0.45">
      <c r="A449">
        <v>448</v>
      </c>
      <c r="B449">
        <v>1</v>
      </c>
      <c r="C449" t="s">
        <v>1</v>
      </c>
      <c r="D449" t="s">
        <v>1553</v>
      </c>
      <c r="E449" t="s">
        <v>1148</v>
      </c>
      <c r="F449" t="s">
        <v>722</v>
      </c>
      <c r="G449" t="s">
        <v>423</v>
      </c>
      <c r="H449" t="s">
        <v>9</v>
      </c>
      <c r="I449" t="s">
        <v>1520</v>
      </c>
      <c r="J449">
        <v>34</v>
      </c>
      <c r="K449" t="s">
        <v>1521</v>
      </c>
      <c r="L449" t="s">
        <v>1521</v>
      </c>
      <c r="M449">
        <v>0</v>
      </c>
      <c r="N449">
        <v>0</v>
      </c>
      <c r="O449">
        <v>1</v>
      </c>
      <c r="P449">
        <v>26.55</v>
      </c>
      <c r="Q449" t="s">
        <v>1528</v>
      </c>
      <c r="R449" t="s">
        <v>1514</v>
      </c>
    </row>
    <row r="450" spans="1:18" x14ac:dyDescent="0.45">
      <c r="A450">
        <v>449</v>
      </c>
      <c r="B450">
        <v>1</v>
      </c>
      <c r="C450" t="s">
        <v>1</v>
      </c>
      <c r="D450" t="s">
        <v>1552</v>
      </c>
      <c r="E450" t="s">
        <v>1149</v>
      </c>
      <c r="F450" t="s">
        <v>724</v>
      </c>
      <c r="G450" t="s">
        <v>424</v>
      </c>
      <c r="H450" t="s">
        <v>10</v>
      </c>
      <c r="I450" t="s">
        <v>1523</v>
      </c>
      <c r="J450">
        <v>5</v>
      </c>
      <c r="K450" t="s">
        <v>1524</v>
      </c>
      <c r="L450" t="s">
        <v>1524</v>
      </c>
      <c r="M450">
        <v>2</v>
      </c>
      <c r="N450">
        <v>1</v>
      </c>
      <c r="O450">
        <v>4</v>
      </c>
      <c r="P450">
        <v>19.258299999999998</v>
      </c>
      <c r="Q450" t="s">
        <v>1528</v>
      </c>
      <c r="R450" t="s">
        <v>1515</v>
      </c>
    </row>
    <row r="451" spans="1:18" x14ac:dyDescent="0.45">
      <c r="A451">
        <v>450</v>
      </c>
      <c r="B451">
        <v>1</v>
      </c>
      <c r="C451" t="s">
        <v>1</v>
      </c>
      <c r="D451" t="s">
        <v>1553</v>
      </c>
      <c r="E451" t="s">
        <v>1150</v>
      </c>
      <c r="F451" t="s">
        <v>731</v>
      </c>
      <c r="G451" t="s">
        <v>425</v>
      </c>
      <c r="H451" t="s">
        <v>9</v>
      </c>
      <c r="I451" t="s">
        <v>1520</v>
      </c>
      <c r="J451">
        <v>52</v>
      </c>
      <c r="K451" t="s">
        <v>1521</v>
      </c>
      <c r="L451" t="s">
        <v>1521</v>
      </c>
      <c r="M451">
        <v>0</v>
      </c>
      <c r="N451">
        <v>0</v>
      </c>
      <c r="O451">
        <v>1</v>
      </c>
      <c r="P451" t="s">
        <v>33</v>
      </c>
      <c r="Q451" t="s">
        <v>1528</v>
      </c>
      <c r="R451" t="s">
        <v>1514</v>
      </c>
    </row>
    <row r="452" spans="1:18" x14ac:dyDescent="0.45">
      <c r="A452">
        <v>451</v>
      </c>
      <c r="B452">
        <v>0</v>
      </c>
      <c r="C452" t="s">
        <v>1519</v>
      </c>
      <c r="D452" t="s">
        <v>1554</v>
      </c>
      <c r="E452" t="s">
        <v>1151</v>
      </c>
      <c r="F452" t="s">
        <v>722</v>
      </c>
      <c r="G452" t="s">
        <v>111</v>
      </c>
      <c r="H452" t="s">
        <v>9</v>
      </c>
      <c r="I452" t="s">
        <v>1520</v>
      </c>
      <c r="J452">
        <v>36</v>
      </c>
      <c r="K452" t="s">
        <v>1521</v>
      </c>
      <c r="L452" t="s">
        <v>1521</v>
      </c>
      <c r="M452">
        <v>1</v>
      </c>
      <c r="N452">
        <v>2</v>
      </c>
      <c r="O452">
        <v>4</v>
      </c>
      <c r="P452">
        <v>27.75</v>
      </c>
      <c r="Q452" t="s">
        <v>1528</v>
      </c>
      <c r="R452" t="s">
        <v>1514</v>
      </c>
    </row>
    <row r="453" spans="1:18" x14ac:dyDescent="0.45">
      <c r="A453">
        <v>452</v>
      </c>
      <c r="B453">
        <v>0</v>
      </c>
      <c r="C453" t="s">
        <v>1519</v>
      </c>
      <c r="D453" t="s">
        <v>1552</v>
      </c>
      <c r="E453" t="s">
        <v>1152</v>
      </c>
      <c r="F453" t="s">
        <v>722</v>
      </c>
      <c r="G453" t="s">
        <v>426</v>
      </c>
      <c r="H453" t="s">
        <v>9</v>
      </c>
      <c r="I453" t="s">
        <v>1520</v>
      </c>
      <c r="J453">
        <v>28</v>
      </c>
      <c r="K453" t="s">
        <v>1521</v>
      </c>
      <c r="L453" t="s">
        <v>1521</v>
      </c>
      <c r="M453">
        <v>1</v>
      </c>
      <c r="N453">
        <v>0</v>
      </c>
      <c r="O453">
        <v>2</v>
      </c>
      <c r="P453">
        <v>19.966699999999999</v>
      </c>
      <c r="Q453" t="s">
        <v>1528</v>
      </c>
      <c r="R453" t="s">
        <v>1514</v>
      </c>
    </row>
    <row r="454" spans="1:18" x14ac:dyDescent="0.45">
      <c r="A454">
        <v>453</v>
      </c>
      <c r="B454">
        <v>0</v>
      </c>
      <c r="C454" t="s">
        <v>1519</v>
      </c>
      <c r="D454" t="s">
        <v>1553</v>
      </c>
      <c r="E454" t="s">
        <v>1153</v>
      </c>
      <c r="F454" t="s">
        <v>722</v>
      </c>
      <c r="G454" t="s">
        <v>427</v>
      </c>
      <c r="H454" t="s">
        <v>9</v>
      </c>
      <c r="I454" t="s">
        <v>1520</v>
      </c>
      <c r="J454">
        <v>30</v>
      </c>
      <c r="K454" t="s">
        <v>1521</v>
      </c>
      <c r="L454" t="s">
        <v>1521</v>
      </c>
      <c r="M454">
        <v>0</v>
      </c>
      <c r="N454">
        <v>0</v>
      </c>
      <c r="O454">
        <v>1</v>
      </c>
      <c r="P454">
        <v>27.75</v>
      </c>
      <c r="Q454" t="s">
        <v>1528</v>
      </c>
      <c r="R454" t="s">
        <v>1515</v>
      </c>
    </row>
    <row r="455" spans="1:18" x14ac:dyDescent="0.45">
      <c r="A455">
        <v>454</v>
      </c>
      <c r="B455">
        <v>1</v>
      </c>
      <c r="C455" t="s">
        <v>1</v>
      </c>
      <c r="D455" t="s">
        <v>1553</v>
      </c>
      <c r="E455" t="s">
        <v>1154</v>
      </c>
      <c r="F455" t="s">
        <v>722</v>
      </c>
      <c r="G455" t="s">
        <v>428</v>
      </c>
      <c r="H455" t="s">
        <v>9</v>
      </c>
      <c r="I455" t="s">
        <v>1520</v>
      </c>
      <c r="J455">
        <v>49</v>
      </c>
      <c r="K455" t="s">
        <v>1521</v>
      </c>
      <c r="L455" t="s">
        <v>1521</v>
      </c>
      <c r="M455">
        <v>1</v>
      </c>
      <c r="N455">
        <v>0</v>
      </c>
      <c r="O455">
        <v>2</v>
      </c>
      <c r="P455" t="s">
        <v>37</v>
      </c>
      <c r="Q455" t="s">
        <v>1528</v>
      </c>
      <c r="R455" t="s">
        <v>1515</v>
      </c>
    </row>
    <row r="456" spans="1:18" x14ac:dyDescent="0.45">
      <c r="A456">
        <v>455</v>
      </c>
      <c r="B456">
        <v>0</v>
      </c>
      <c r="C456" t="s">
        <v>1519</v>
      </c>
      <c r="D456" t="s">
        <v>1552</v>
      </c>
      <c r="E456" t="s">
        <v>1155</v>
      </c>
      <c r="F456" t="s">
        <v>722</v>
      </c>
      <c r="G456" t="s">
        <v>429</v>
      </c>
      <c r="H456" t="s">
        <v>9</v>
      </c>
      <c r="I456" t="s">
        <v>1520</v>
      </c>
      <c r="J456">
        <v>28</v>
      </c>
      <c r="K456" t="s">
        <v>1521</v>
      </c>
      <c r="L456" t="s">
        <v>1521</v>
      </c>
      <c r="M456">
        <v>0</v>
      </c>
      <c r="N456">
        <v>0</v>
      </c>
      <c r="O456">
        <v>1</v>
      </c>
      <c r="P456" t="s">
        <v>12</v>
      </c>
      <c r="Q456" t="s">
        <v>1528</v>
      </c>
      <c r="R456" t="s">
        <v>1514</v>
      </c>
    </row>
    <row r="457" spans="1:18" x14ac:dyDescent="0.45">
      <c r="A457">
        <v>456</v>
      </c>
      <c r="B457">
        <v>1</v>
      </c>
      <c r="C457" t="s">
        <v>1</v>
      </c>
      <c r="D457" t="s">
        <v>1552</v>
      </c>
      <c r="E457" t="s">
        <v>813</v>
      </c>
      <c r="F457" t="s">
        <v>722</v>
      </c>
      <c r="G457" t="s">
        <v>430</v>
      </c>
      <c r="H457" t="s">
        <v>9</v>
      </c>
      <c r="I457" t="s">
        <v>1520</v>
      </c>
      <c r="J457">
        <v>29</v>
      </c>
      <c r="K457" t="s">
        <v>1521</v>
      </c>
      <c r="L457" t="s">
        <v>1521</v>
      </c>
      <c r="M457">
        <v>0</v>
      </c>
      <c r="N457">
        <v>0</v>
      </c>
      <c r="O457">
        <v>1</v>
      </c>
      <c r="P457">
        <v>7.8958000000000004</v>
      </c>
      <c r="Q457" t="s">
        <v>1528</v>
      </c>
      <c r="R457" t="s">
        <v>1515</v>
      </c>
    </row>
    <row r="458" spans="1:18" x14ac:dyDescent="0.45">
      <c r="A458">
        <v>457</v>
      </c>
      <c r="B458">
        <v>0</v>
      </c>
      <c r="C458" t="s">
        <v>1519</v>
      </c>
      <c r="D458" t="s">
        <v>1553</v>
      </c>
      <c r="E458" t="s">
        <v>1156</v>
      </c>
      <c r="F458" t="s">
        <v>722</v>
      </c>
      <c r="G458" t="s">
        <v>431</v>
      </c>
      <c r="H458" t="s">
        <v>9</v>
      </c>
      <c r="I458" t="s">
        <v>1520</v>
      </c>
      <c r="J458">
        <v>65</v>
      </c>
      <c r="K458" t="s">
        <v>1527</v>
      </c>
      <c r="L458" t="s">
        <v>1527</v>
      </c>
      <c r="M458">
        <v>0</v>
      </c>
      <c r="N458">
        <v>0</v>
      </c>
      <c r="O458">
        <v>1</v>
      </c>
      <c r="P458">
        <v>26.55</v>
      </c>
      <c r="Q458" t="s">
        <v>1528</v>
      </c>
      <c r="R458" t="s">
        <v>1514</v>
      </c>
    </row>
    <row r="459" spans="1:18" x14ac:dyDescent="0.45">
      <c r="A459">
        <v>458</v>
      </c>
      <c r="B459">
        <v>1</v>
      </c>
      <c r="C459" t="s">
        <v>1</v>
      </c>
      <c r="D459" t="s">
        <v>1553</v>
      </c>
      <c r="E459" t="s">
        <v>1157</v>
      </c>
      <c r="F459" t="s">
        <v>723</v>
      </c>
      <c r="G459" t="s">
        <v>432</v>
      </c>
      <c r="H459" t="s">
        <v>10</v>
      </c>
      <c r="I459" t="s">
        <v>1523</v>
      </c>
      <c r="J459">
        <v>28</v>
      </c>
      <c r="K459" t="s">
        <v>1521</v>
      </c>
      <c r="L459" t="s">
        <v>1521</v>
      </c>
      <c r="M459">
        <v>1</v>
      </c>
      <c r="N459">
        <v>0</v>
      </c>
      <c r="O459">
        <v>2</v>
      </c>
      <c r="P459">
        <v>51.862499999999997</v>
      </c>
      <c r="Q459" t="s">
        <v>1528</v>
      </c>
      <c r="R459" t="s">
        <v>1514</v>
      </c>
    </row>
    <row r="460" spans="1:18" x14ac:dyDescent="0.45">
      <c r="A460">
        <v>459</v>
      </c>
      <c r="B460">
        <v>1</v>
      </c>
      <c r="C460" t="s">
        <v>1</v>
      </c>
      <c r="D460" t="s">
        <v>1554</v>
      </c>
      <c r="E460" t="s">
        <v>1158</v>
      </c>
      <c r="F460" t="s">
        <v>724</v>
      </c>
      <c r="G460" t="s">
        <v>433</v>
      </c>
      <c r="H460" t="s">
        <v>10</v>
      </c>
      <c r="I460" t="s">
        <v>1523</v>
      </c>
      <c r="J460">
        <v>50</v>
      </c>
      <c r="K460" t="s">
        <v>1521</v>
      </c>
      <c r="L460" t="s">
        <v>1521</v>
      </c>
      <c r="M460">
        <v>0</v>
      </c>
      <c r="N460">
        <v>0</v>
      </c>
      <c r="O460">
        <v>1</v>
      </c>
      <c r="P460" t="s">
        <v>18</v>
      </c>
      <c r="Q460" t="s">
        <v>1528</v>
      </c>
      <c r="R460" t="s">
        <v>1514</v>
      </c>
    </row>
    <row r="461" spans="1:18" x14ac:dyDescent="0.45">
      <c r="A461">
        <v>460</v>
      </c>
      <c r="B461">
        <v>0</v>
      </c>
      <c r="C461" t="s">
        <v>1519</v>
      </c>
      <c r="D461" t="s">
        <v>1552</v>
      </c>
      <c r="E461" t="s">
        <v>1159</v>
      </c>
      <c r="F461" t="s">
        <v>722</v>
      </c>
      <c r="G461" t="s">
        <v>434</v>
      </c>
      <c r="H461" t="s">
        <v>9</v>
      </c>
      <c r="I461" t="s">
        <v>1520</v>
      </c>
      <c r="J461">
        <v>28</v>
      </c>
      <c r="K461" t="s">
        <v>1521</v>
      </c>
      <c r="L461" t="s">
        <v>1521</v>
      </c>
      <c r="M461">
        <v>0</v>
      </c>
      <c r="N461">
        <v>0</v>
      </c>
      <c r="O461">
        <v>1</v>
      </c>
      <c r="P461">
        <v>7.75</v>
      </c>
      <c r="Q461" t="s">
        <v>1528</v>
      </c>
      <c r="R461" t="s">
        <v>1516</v>
      </c>
    </row>
    <row r="462" spans="1:18" x14ac:dyDescent="0.45">
      <c r="A462">
        <v>461</v>
      </c>
      <c r="B462">
        <v>1</v>
      </c>
      <c r="C462" t="s">
        <v>1</v>
      </c>
      <c r="D462" t="s">
        <v>1553</v>
      </c>
      <c r="E462" t="s">
        <v>892</v>
      </c>
      <c r="F462" t="s">
        <v>722</v>
      </c>
      <c r="G462" t="s">
        <v>435</v>
      </c>
      <c r="H462" t="s">
        <v>9</v>
      </c>
      <c r="I462" t="s">
        <v>1520</v>
      </c>
      <c r="J462">
        <v>48</v>
      </c>
      <c r="K462" t="s">
        <v>1521</v>
      </c>
      <c r="L462" t="s">
        <v>1521</v>
      </c>
      <c r="M462">
        <v>0</v>
      </c>
      <c r="N462">
        <v>0</v>
      </c>
      <c r="O462">
        <v>1</v>
      </c>
      <c r="P462">
        <v>26.55</v>
      </c>
      <c r="Q462" t="s">
        <v>1528</v>
      </c>
      <c r="R462" t="s">
        <v>1514</v>
      </c>
    </row>
    <row r="463" spans="1:18" x14ac:dyDescent="0.45">
      <c r="A463">
        <v>462</v>
      </c>
      <c r="B463">
        <v>0</v>
      </c>
      <c r="C463" t="s">
        <v>1519</v>
      </c>
      <c r="D463" t="s">
        <v>1552</v>
      </c>
      <c r="E463" t="s">
        <v>922</v>
      </c>
      <c r="F463" t="s">
        <v>722</v>
      </c>
      <c r="G463" t="s">
        <v>436</v>
      </c>
      <c r="H463" t="s">
        <v>9</v>
      </c>
      <c r="I463" t="s">
        <v>1520</v>
      </c>
      <c r="J463">
        <v>34</v>
      </c>
      <c r="K463" t="s">
        <v>1521</v>
      </c>
      <c r="L463" t="s">
        <v>1521</v>
      </c>
      <c r="M463">
        <v>0</v>
      </c>
      <c r="N463">
        <v>0</v>
      </c>
      <c r="O463">
        <v>1</v>
      </c>
      <c r="P463" t="s">
        <v>12</v>
      </c>
      <c r="Q463" t="s">
        <v>1528</v>
      </c>
      <c r="R463" t="s">
        <v>1514</v>
      </c>
    </row>
    <row r="464" spans="1:18" x14ac:dyDescent="0.45">
      <c r="A464">
        <v>463</v>
      </c>
      <c r="B464">
        <v>0</v>
      </c>
      <c r="C464" t="s">
        <v>1519</v>
      </c>
      <c r="D464" t="s">
        <v>1553</v>
      </c>
      <c r="E464" t="s">
        <v>1160</v>
      </c>
      <c r="F464" t="s">
        <v>722</v>
      </c>
      <c r="G464" t="s">
        <v>437</v>
      </c>
      <c r="H464" t="s">
        <v>9</v>
      </c>
      <c r="I464" t="s">
        <v>1520</v>
      </c>
      <c r="J464">
        <v>47</v>
      </c>
      <c r="K464" t="s">
        <v>1521</v>
      </c>
      <c r="L464" t="s">
        <v>1521</v>
      </c>
      <c r="M464">
        <v>0</v>
      </c>
      <c r="N464">
        <v>0</v>
      </c>
      <c r="O464">
        <v>1</v>
      </c>
      <c r="P464">
        <v>38.5</v>
      </c>
      <c r="Q464" t="s">
        <v>1528</v>
      </c>
      <c r="R464" t="s">
        <v>1514</v>
      </c>
    </row>
    <row r="465" spans="1:18" x14ac:dyDescent="0.45">
      <c r="A465">
        <v>464</v>
      </c>
      <c r="B465">
        <v>0</v>
      </c>
      <c r="C465" t="s">
        <v>1519</v>
      </c>
      <c r="D465" t="s">
        <v>1554</v>
      </c>
      <c r="E465" t="s">
        <v>1161</v>
      </c>
      <c r="F465" t="s">
        <v>722</v>
      </c>
      <c r="G465" t="s">
        <v>438</v>
      </c>
      <c r="H465" t="s">
        <v>9</v>
      </c>
      <c r="I465" t="s">
        <v>1520</v>
      </c>
      <c r="J465">
        <v>48</v>
      </c>
      <c r="K465" t="s">
        <v>1521</v>
      </c>
      <c r="L465" t="s">
        <v>1521</v>
      </c>
      <c r="M465">
        <v>0</v>
      </c>
      <c r="N465">
        <v>0</v>
      </c>
      <c r="O465">
        <v>1</v>
      </c>
      <c r="P465">
        <v>13</v>
      </c>
      <c r="Q465" t="s">
        <v>1528</v>
      </c>
      <c r="R465" t="s">
        <v>1514</v>
      </c>
    </row>
    <row r="466" spans="1:18" x14ac:dyDescent="0.45">
      <c r="A466">
        <v>465</v>
      </c>
      <c r="B466">
        <v>0</v>
      </c>
      <c r="C466" t="s">
        <v>1519</v>
      </c>
      <c r="D466" t="s">
        <v>1552</v>
      </c>
      <c r="E466" t="s">
        <v>1162</v>
      </c>
      <c r="F466" t="s">
        <v>722</v>
      </c>
      <c r="G466" t="s">
        <v>439</v>
      </c>
      <c r="H466" t="s">
        <v>9</v>
      </c>
      <c r="I466" t="s">
        <v>1520</v>
      </c>
      <c r="J466">
        <v>28</v>
      </c>
      <c r="K466" t="s">
        <v>1521</v>
      </c>
      <c r="L466" t="s">
        <v>1521</v>
      </c>
      <c r="M466">
        <v>0</v>
      </c>
      <c r="N466">
        <v>0</v>
      </c>
      <c r="O466">
        <v>1</v>
      </c>
      <c r="P466" t="s">
        <v>12</v>
      </c>
      <c r="Q466" t="s">
        <v>1528</v>
      </c>
      <c r="R466" t="s">
        <v>1514</v>
      </c>
    </row>
    <row r="467" spans="1:18" x14ac:dyDescent="0.45">
      <c r="A467">
        <v>466</v>
      </c>
      <c r="B467">
        <v>0</v>
      </c>
      <c r="C467" t="s">
        <v>1519</v>
      </c>
      <c r="D467" t="s">
        <v>1552</v>
      </c>
      <c r="E467" t="s">
        <v>1163</v>
      </c>
      <c r="F467" t="s">
        <v>722</v>
      </c>
      <c r="G467" t="s">
        <v>440</v>
      </c>
      <c r="H467" t="s">
        <v>9</v>
      </c>
      <c r="I467" t="s">
        <v>1520</v>
      </c>
      <c r="J467">
        <v>38</v>
      </c>
      <c r="K467" t="s">
        <v>1521</v>
      </c>
      <c r="L467" t="s">
        <v>1521</v>
      </c>
      <c r="M467">
        <v>0</v>
      </c>
      <c r="N467">
        <v>0</v>
      </c>
      <c r="O467">
        <v>1</v>
      </c>
      <c r="P467" t="s">
        <v>22</v>
      </c>
      <c r="Q467" t="s">
        <v>1528</v>
      </c>
      <c r="R467" t="s">
        <v>1514</v>
      </c>
    </row>
    <row r="468" spans="1:18" x14ac:dyDescent="0.45">
      <c r="A468">
        <v>467</v>
      </c>
      <c r="B468">
        <v>0</v>
      </c>
      <c r="C468" t="s">
        <v>1519</v>
      </c>
      <c r="D468" t="s">
        <v>1554</v>
      </c>
      <c r="E468" t="s">
        <v>922</v>
      </c>
      <c r="F468" t="s">
        <v>722</v>
      </c>
      <c r="G468" t="s">
        <v>441</v>
      </c>
      <c r="H468" t="s">
        <v>9</v>
      </c>
      <c r="I468" t="s">
        <v>1520</v>
      </c>
      <c r="J468">
        <v>28</v>
      </c>
      <c r="K468" t="s">
        <v>1521</v>
      </c>
      <c r="L468" t="s">
        <v>1521</v>
      </c>
      <c r="M468">
        <v>0</v>
      </c>
      <c r="N468">
        <v>0</v>
      </c>
      <c r="O468">
        <v>1</v>
      </c>
      <c r="P468">
        <v>14.4542</v>
      </c>
      <c r="Q468" t="s">
        <v>1528</v>
      </c>
      <c r="R468" t="s">
        <v>1514</v>
      </c>
    </row>
    <row r="469" spans="1:18" x14ac:dyDescent="0.45">
      <c r="A469">
        <v>468</v>
      </c>
      <c r="B469">
        <v>0</v>
      </c>
      <c r="C469" t="s">
        <v>1519</v>
      </c>
      <c r="D469" t="s">
        <v>1553</v>
      </c>
      <c r="E469" t="s">
        <v>1164</v>
      </c>
      <c r="F469" t="s">
        <v>722</v>
      </c>
      <c r="G469" t="s">
        <v>442</v>
      </c>
      <c r="H469" t="s">
        <v>9</v>
      </c>
      <c r="I469" t="s">
        <v>1520</v>
      </c>
      <c r="J469">
        <v>56</v>
      </c>
      <c r="K469" t="s">
        <v>1521</v>
      </c>
      <c r="L469" t="s">
        <v>1521</v>
      </c>
      <c r="M469">
        <v>0</v>
      </c>
      <c r="N469">
        <v>0</v>
      </c>
      <c r="O469">
        <v>1</v>
      </c>
      <c r="P469">
        <v>26.55</v>
      </c>
      <c r="Q469" t="s">
        <v>1528</v>
      </c>
      <c r="R469" t="s">
        <v>1514</v>
      </c>
    </row>
    <row r="470" spans="1:18" x14ac:dyDescent="0.45">
      <c r="A470">
        <v>469</v>
      </c>
      <c r="B470">
        <v>0</v>
      </c>
      <c r="C470" t="s">
        <v>1519</v>
      </c>
      <c r="D470" t="s">
        <v>1552</v>
      </c>
      <c r="E470" t="s">
        <v>744</v>
      </c>
      <c r="F470" t="s">
        <v>722</v>
      </c>
      <c r="G470" t="s">
        <v>443</v>
      </c>
      <c r="H470" t="s">
        <v>9</v>
      </c>
      <c r="I470" t="s">
        <v>1520</v>
      </c>
      <c r="J470">
        <v>28</v>
      </c>
      <c r="K470" t="s">
        <v>1521</v>
      </c>
      <c r="L470" t="s">
        <v>1521</v>
      </c>
      <c r="M470">
        <v>0</v>
      </c>
      <c r="N470">
        <v>0</v>
      </c>
      <c r="O470">
        <v>1</v>
      </c>
      <c r="P470">
        <v>7.7249999999999996</v>
      </c>
      <c r="Q470" t="s">
        <v>1528</v>
      </c>
      <c r="R470" t="s">
        <v>1516</v>
      </c>
    </row>
    <row r="471" spans="1:18" x14ac:dyDescent="0.45">
      <c r="A471">
        <v>470</v>
      </c>
      <c r="B471">
        <v>1</v>
      </c>
      <c r="C471" t="s">
        <v>1</v>
      </c>
      <c r="D471" t="s">
        <v>1552</v>
      </c>
      <c r="E471" t="s">
        <v>1165</v>
      </c>
      <c r="F471" t="s">
        <v>724</v>
      </c>
      <c r="G471" t="s">
        <v>424</v>
      </c>
      <c r="H471" t="s">
        <v>10</v>
      </c>
      <c r="I471" t="s">
        <v>1523</v>
      </c>
      <c r="J471">
        <v>0.75</v>
      </c>
      <c r="K471" t="s">
        <v>1524</v>
      </c>
      <c r="L471" t="s">
        <v>1524</v>
      </c>
      <c r="M471">
        <v>2</v>
      </c>
      <c r="N471">
        <v>1</v>
      </c>
      <c r="O471">
        <v>4</v>
      </c>
      <c r="P471">
        <v>19.258299999999998</v>
      </c>
      <c r="Q471" t="s">
        <v>1528</v>
      </c>
      <c r="R471" t="s">
        <v>1515</v>
      </c>
    </row>
    <row r="472" spans="1:18" x14ac:dyDescent="0.45">
      <c r="A472">
        <v>471</v>
      </c>
      <c r="B472">
        <v>0</v>
      </c>
      <c r="C472" t="s">
        <v>1519</v>
      </c>
      <c r="D472" t="s">
        <v>1552</v>
      </c>
      <c r="E472" t="s">
        <v>904</v>
      </c>
      <c r="F472" t="s">
        <v>722</v>
      </c>
      <c r="G472" t="s">
        <v>444</v>
      </c>
      <c r="H472" t="s">
        <v>9</v>
      </c>
      <c r="I472" t="s">
        <v>1520</v>
      </c>
      <c r="J472">
        <v>28</v>
      </c>
      <c r="K472" t="s">
        <v>1521</v>
      </c>
      <c r="L472" t="s">
        <v>1521</v>
      </c>
      <c r="M472">
        <v>0</v>
      </c>
      <c r="N472">
        <v>0</v>
      </c>
      <c r="O472">
        <v>1</v>
      </c>
      <c r="P472">
        <v>7.25</v>
      </c>
      <c r="Q472" t="s">
        <v>1528</v>
      </c>
      <c r="R472" t="s">
        <v>1514</v>
      </c>
    </row>
    <row r="473" spans="1:18" x14ac:dyDescent="0.45">
      <c r="A473">
        <v>472</v>
      </c>
      <c r="B473">
        <v>0</v>
      </c>
      <c r="C473" t="s">
        <v>1519</v>
      </c>
      <c r="D473" t="s">
        <v>1552</v>
      </c>
      <c r="E473" t="s">
        <v>1166</v>
      </c>
      <c r="F473" t="s">
        <v>722</v>
      </c>
      <c r="G473" t="s">
        <v>445</v>
      </c>
      <c r="H473" t="s">
        <v>9</v>
      </c>
      <c r="I473" t="s">
        <v>1520</v>
      </c>
      <c r="J473">
        <v>38</v>
      </c>
      <c r="K473" t="s">
        <v>1521</v>
      </c>
      <c r="L473" t="s">
        <v>1521</v>
      </c>
      <c r="M473">
        <v>0</v>
      </c>
      <c r="N473">
        <v>0</v>
      </c>
      <c r="O473">
        <v>1</v>
      </c>
      <c r="P473">
        <v>8.6624999999999996</v>
      </c>
      <c r="Q473" t="s">
        <v>1528</v>
      </c>
      <c r="R473" t="s">
        <v>1514</v>
      </c>
    </row>
    <row r="474" spans="1:18" x14ac:dyDescent="0.45">
      <c r="A474">
        <v>473</v>
      </c>
      <c r="B474">
        <v>1</v>
      </c>
      <c r="C474" t="s">
        <v>1</v>
      </c>
      <c r="D474" t="s">
        <v>1554</v>
      </c>
      <c r="E474" t="s">
        <v>1167</v>
      </c>
      <c r="F474" t="s">
        <v>723</v>
      </c>
      <c r="G474" t="s">
        <v>111</v>
      </c>
      <c r="H474" t="s">
        <v>10</v>
      </c>
      <c r="I474" t="s">
        <v>1523</v>
      </c>
      <c r="J474">
        <v>33</v>
      </c>
      <c r="K474" t="s">
        <v>1521</v>
      </c>
      <c r="L474" t="s">
        <v>1521</v>
      </c>
      <c r="M474">
        <v>1</v>
      </c>
      <c r="N474">
        <v>2</v>
      </c>
      <c r="O474">
        <v>4</v>
      </c>
      <c r="P474">
        <v>27.75</v>
      </c>
      <c r="Q474" t="s">
        <v>1528</v>
      </c>
      <c r="R474" t="s">
        <v>1514</v>
      </c>
    </row>
    <row r="475" spans="1:18" x14ac:dyDescent="0.45">
      <c r="A475">
        <v>474</v>
      </c>
      <c r="B475">
        <v>1</v>
      </c>
      <c r="C475" t="s">
        <v>1</v>
      </c>
      <c r="D475" t="s">
        <v>1554</v>
      </c>
      <c r="E475" t="s">
        <v>1168</v>
      </c>
      <c r="F475" t="s">
        <v>723</v>
      </c>
      <c r="G475" t="s">
        <v>446</v>
      </c>
      <c r="H475" t="s">
        <v>10</v>
      </c>
      <c r="I475" t="s">
        <v>1523</v>
      </c>
      <c r="J475">
        <v>23</v>
      </c>
      <c r="K475" t="s">
        <v>1521</v>
      </c>
      <c r="L475" t="s">
        <v>1521</v>
      </c>
      <c r="M475">
        <v>0</v>
      </c>
      <c r="N475">
        <v>0</v>
      </c>
      <c r="O475">
        <v>1</v>
      </c>
      <c r="P475">
        <v>13.791700000000001</v>
      </c>
      <c r="Q475" t="s">
        <v>1528</v>
      </c>
      <c r="R475" t="s">
        <v>1515</v>
      </c>
    </row>
    <row r="476" spans="1:18" x14ac:dyDescent="0.45">
      <c r="A476">
        <v>475</v>
      </c>
      <c r="B476">
        <v>0</v>
      </c>
      <c r="C476" t="s">
        <v>1519</v>
      </c>
      <c r="D476" t="s">
        <v>1552</v>
      </c>
      <c r="E476" t="s">
        <v>1169</v>
      </c>
      <c r="F476" t="s">
        <v>724</v>
      </c>
      <c r="G476" t="s">
        <v>447</v>
      </c>
      <c r="H476" t="s">
        <v>10</v>
      </c>
      <c r="I476" t="s">
        <v>1523</v>
      </c>
      <c r="J476">
        <v>22</v>
      </c>
      <c r="K476" t="s">
        <v>1521</v>
      </c>
      <c r="L476" t="s">
        <v>1521</v>
      </c>
      <c r="M476">
        <v>0</v>
      </c>
      <c r="N476">
        <v>0</v>
      </c>
      <c r="O476">
        <v>1</v>
      </c>
      <c r="P476">
        <v>9.8375000000000004</v>
      </c>
      <c r="Q476" t="s">
        <v>1528</v>
      </c>
      <c r="R476" t="s">
        <v>1514</v>
      </c>
    </row>
    <row r="477" spans="1:18" x14ac:dyDescent="0.45">
      <c r="A477">
        <v>476</v>
      </c>
      <c r="B477">
        <v>0</v>
      </c>
      <c r="C477" t="s">
        <v>1519</v>
      </c>
      <c r="D477" t="s">
        <v>1553</v>
      </c>
      <c r="E477" t="s">
        <v>1170</v>
      </c>
      <c r="F477" t="s">
        <v>722</v>
      </c>
      <c r="G477" t="s">
        <v>448</v>
      </c>
      <c r="H477" t="s">
        <v>9</v>
      </c>
      <c r="I477" t="s">
        <v>1520</v>
      </c>
      <c r="J477">
        <v>28</v>
      </c>
      <c r="K477" t="s">
        <v>1521</v>
      </c>
      <c r="L477" t="s">
        <v>1521</v>
      </c>
      <c r="M477">
        <v>0</v>
      </c>
      <c r="N477">
        <v>0</v>
      </c>
      <c r="O477">
        <v>1</v>
      </c>
      <c r="P477">
        <v>52</v>
      </c>
      <c r="Q477" t="s">
        <v>1528</v>
      </c>
      <c r="R477" t="s">
        <v>1514</v>
      </c>
    </row>
    <row r="478" spans="1:18" x14ac:dyDescent="0.45">
      <c r="A478">
        <v>477</v>
      </c>
      <c r="B478">
        <v>0</v>
      </c>
      <c r="C478" t="s">
        <v>1519</v>
      </c>
      <c r="D478" t="s">
        <v>1554</v>
      </c>
      <c r="E478" t="s">
        <v>1171</v>
      </c>
      <c r="F478" t="s">
        <v>722</v>
      </c>
      <c r="G478" t="s">
        <v>449</v>
      </c>
      <c r="H478" t="s">
        <v>9</v>
      </c>
      <c r="I478" t="s">
        <v>1520</v>
      </c>
      <c r="J478">
        <v>34</v>
      </c>
      <c r="K478" t="s">
        <v>1521</v>
      </c>
      <c r="L478" t="s">
        <v>1521</v>
      </c>
      <c r="M478">
        <v>1</v>
      </c>
      <c r="N478">
        <v>0</v>
      </c>
      <c r="O478">
        <v>2</v>
      </c>
      <c r="P478">
        <v>21</v>
      </c>
      <c r="Q478" t="s">
        <v>1528</v>
      </c>
      <c r="R478" t="s">
        <v>1514</v>
      </c>
    </row>
    <row r="479" spans="1:18" x14ac:dyDescent="0.45">
      <c r="A479">
        <v>478</v>
      </c>
      <c r="B479">
        <v>0</v>
      </c>
      <c r="C479" t="s">
        <v>1519</v>
      </c>
      <c r="D479" t="s">
        <v>1552</v>
      </c>
      <c r="E479" t="s">
        <v>1172</v>
      </c>
      <c r="F479" t="s">
        <v>722</v>
      </c>
      <c r="G479" t="s">
        <v>55</v>
      </c>
      <c r="H479" t="s">
        <v>9</v>
      </c>
      <c r="I479" t="s">
        <v>1520</v>
      </c>
      <c r="J479">
        <v>29</v>
      </c>
      <c r="K479" t="s">
        <v>1521</v>
      </c>
      <c r="L479" t="s">
        <v>1521</v>
      </c>
      <c r="M479">
        <v>1</v>
      </c>
      <c r="N479">
        <v>0</v>
      </c>
      <c r="O479">
        <v>2</v>
      </c>
      <c r="P479" t="s">
        <v>38</v>
      </c>
      <c r="Q479" t="s">
        <v>1528</v>
      </c>
      <c r="R479" t="s">
        <v>1514</v>
      </c>
    </row>
    <row r="480" spans="1:18" x14ac:dyDescent="0.45">
      <c r="A480">
        <v>479</v>
      </c>
      <c r="B480">
        <v>0</v>
      </c>
      <c r="C480" t="s">
        <v>1519</v>
      </c>
      <c r="D480" t="s">
        <v>1552</v>
      </c>
      <c r="E480" t="s">
        <v>1173</v>
      </c>
      <c r="F480" t="s">
        <v>722</v>
      </c>
      <c r="G480" t="s">
        <v>450</v>
      </c>
      <c r="H480" t="s">
        <v>9</v>
      </c>
      <c r="I480" t="s">
        <v>1520</v>
      </c>
      <c r="J480">
        <v>22</v>
      </c>
      <c r="K480" t="s">
        <v>1521</v>
      </c>
      <c r="L480" t="s">
        <v>1521</v>
      </c>
      <c r="M480">
        <v>0</v>
      </c>
      <c r="N480">
        <v>0</v>
      </c>
      <c r="O480">
        <v>1</v>
      </c>
      <c r="P480" t="s">
        <v>39</v>
      </c>
      <c r="Q480" t="s">
        <v>1528</v>
      </c>
      <c r="R480" t="s">
        <v>1514</v>
      </c>
    </row>
    <row r="481" spans="1:18" x14ac:dyDescent="0.45">
      <c r="A481">
        <v>480</v>
      </c>
      <c r="B481">
        <v>1</v>
      </c>
      <c r="C481" t="s">
        <v>1</v>
      </c>
      <c r="D481" t="s">
        <v>1552</v>
      </c>
      <c r="E481" t="s">
        <v>1174</v>
      </c>
      <c r="F481" t="s">
        <v>724</v>
      </c>
      <c r="G481" t="s">
        <v>451</v>
      </c>
      <c r="H481" t="s">
        <v>10</v>
      </c>
      <c r="I481" t="s">
        <v>1523</v>
      </c>
      <c r="J481">
        <v>2</v>
      </c>
      <c r="K481" t="s">
        <v>1524</v>
      </c>
      <c r="L481" t="s">
        <v>1524</v>
      </c>
      <c r="M481">
        <v>0</v>
      </c>
      <c r="N481">
        <v>1</v>
      </c>
      <c r="O481">
        <v>2</v>
      </c>
      <c r="P481">
        <v>12.2875</v>
      </c>
      <c r="Q481" t="s">
        <v>1528</v>
      </c>
      <c r="R481" t="s">
        <v>1514</v>
      </c>
    </row>
    <row r="482" spans="1:18" x14ac:dyDescent="0.45">
      <c r="A482">
        <v>481</v>
      </c>
      <c r="B482">
        <v>0</v>
      </c>
      <c r="C482" t="s">
        <v>1519</v>
      </c>
      <c r="D482" t="s">
        <v>1552</v>
      </c>
      <c r="E482" t="s">
        <v>1175</v>
      </c>
      <c r="F482" t="s">
        <v>725</v>
      </c>
      <c r="G482" t="s">
        <v>112</v>
      </c>
      <c r="H482" t="s">
        <v>9</v>
      </c>
      <c r="I482" t="s">
        <v>1520</v>
      </c>
      <c r="J482">
        <v>9</v>
      </c>
      <c r="K482" t="s">
        <v>1524</v>
      </c>
      <c r="L482" t="s">
        <v>1524</v>
      </c>
      <c r="M482">
        <v>5</v>
      </c>
      <c r="N482">
        <v>2</v>
      </c>
      <c r="O482">
        <v>8</v>
      </c>
      <c r="P482">
        <v>46.9</v>
      </c>
      <c r="Q482" t="s">
        <v>1528</v>
      </c>
      <c r="R482" t="s">
        <v>1514</v>
      </c>
    </row>
    <row r="483" spans="1:18" x14ac:dyDescent="0.45">
      <c r="A483">
        <v>482</v>
      </c>
      <c r="B483">
        <v>0</v>
      </c>
      <c r="C483" t="s">
        <v>1519</v>
      </c>
      <c r="D483" t="s">
        <v>1554</v>
      </c>
      <c r="E483" t="s">
        <v>1176</v>
      </c>
      <c r="F483" t="s">
        <v>722</v>
      </c>
      <c r="G483" t="s">
        <v>452</v>
      </c>
      <c r="H483" t="s">
        <v>9</v>
      </c>
      <c r="I483" t="s">
        <v>1520</v>
      </c>
      <c r="J483">
        <v>28</v>
      </c>
      <c r="K483" t="s">
        <v>1521</v>
      </c>
      <c r="L483" t="s">
        <v>1521</v>
      </c>
      <c r="M483">
        <v>0</v>
      </c>
      <c r="N483">
        <v>0</v>
      </c>
      <c r="O483">
        <v>1</v>
      </c>
      <c r="P483">
        <v>14.4542</v>
      </c>
      <c r="Q483" t="s">
        <v>1528</v>
      </c>
      <c r="R483" t="s">
        <v>1514</v>
      </c>
    </row>
    <row r="484" spans="1:18" x14ac:dyDescent="0.45">
      <c r="A484">
        <v>483</v>
      </c>
      <c r="B484">
        <v>0</v>
      </c>
      <c r="C484" t="s">
        <v>1519</v>
      </c>
      <c r="D484" t="s">
        <v>1552</v>
      </c>
      <c r="E484" t="s">
        <v>1177</v>
      </c>
      <c r="F484" t="s">
        <v>722</v>
      </c>
      <c r="G484" t="s">
        <v>453</v>
      </c>
      <c r="H484" t="s">
        <v>9</v>
      </c>
      <c r="I484" t="s">
        <v>1520</v>
      </c>
      <c r="J484">
        <v>50</v>
      </c>
      <c r="K484" t="s">
        <v>1521</v>
      </c>
      <c r="L484" t="s">
        <v>1521</v>
      </c>
      <c r="M484">
        <v>0</v>
      </c>
      <c r="N484">
        <v>0</v>
      </c>
      <c r="O484">
        <v>1</v>
      </c>
      <c r="P484" t="s">
        <v>12</v>
      </c>
      <c r="Q484" t="s">
        <v>1528</v>
      </c>
      <c r="R484" t="s">
        <v>1514</v>
      </c>
    </row>
    <row r="485" spans="1:18" x14ac:dyDescent="0.45">
      <c r="A485">
        <v>484</v>
      </c>
      <c r="B485">
        <v>1</v>
      </c>
      <c r="C485" t="s">
        <v>1</v>
      </c>
      <c r="D485" t="s">
        <v>1552</v>
      </c>
      <c r="E485" t="s">
        <v>753</v>
      </c>
      <c r="F485" t="s">
        <v>723</v>
      </c>
      <c r="G485" t="s">
        <v>454</v>
      </c>
      <c r="H485" t="s">
        <v>10</v>
      </c>
      <c r="I485" t="s">
        <v>1523</v>
      </c>
      <c r="J485">
        <v>63</v>
      </c>
      <c r="K485" t="s">
        <v>1527</v>
      </c>
      <c r="L485" t="s">
        <v>1527</v>
      </c>
      <c r="M485">
        <v>0</v>
      </c>
      <c r="N485">
        <v>0</v>
      </c>
      <c r="O485">
        <v>1</v>
      </c>
      <c r="P485">
        <v>9.5875000000000004</v>
      </c>
      <c r="Q485" t="s">
        <v>1528</v>
      </c>
      <c r="R485" t="s">
        <v>1514</v>
      </c>
    </row>
    <row r="486" spans="1:18" x14ac:dyDescent="0.45">
      <c r="A486">
        <v>485</v>
      </c>
      <c r="B486">
        <v>1</v>
      </c>
      <c r="C486" t="s">
        <v>1</v>
      </c>
      <c r="D486" t="s">
        <v>1553</v>
      </c>
      <c r="E486" t="s">
        <v>1178</v>
      </c>
      <c r="F486" t="s">
        <v>722</v>
      </c>
      <c r="G486" t="s">
        <v>309</v>
      </c>
      <c r="H486" t="s">
        <v>9</v>
      </c>
      <c r="I486" t="s">
        <v>1520</v>
      </c>
      <c r="J486">
        <v>25</v>
      </c>
      <c r="K486" t="s">
        <v>1521</v>
      </c>
      <c r="L486" t="s">
        <v>1521</v>
      </c>
      <c r="M486">
        <v>1</v>
      </c>
      <c r="N486">
        <v>0</v>
      </c>
      <c r="O486">
        <v>2</v>
      </c>
      <c r="P486" t="s">
        <v>32</v>
      </c>
      <c r="Q486" t="s">
        <v>1528</v>
      </c>
      <c r="R486" t="s">
        <v>1515</v>
      </c>
    </row>
    <row r="487" spans="1:18" x14ac:dyDescent="0.45">
      <c r="A487">
        <v>486</v>
      </c>
      <c r="B487">
        <v>0</v>
      </c>
      <c r="C487" t="s">
        <v>1519</v>
      </c>
      <c r="D487" t="s">
        <v>1552</v>
      </c>
      <c r="E487" t="s">
        <v>1179</v>
      </c>
      <c r="F487" t="s">
        <v>724</v>
      </c>
      <c r="G487" t="s">
        <v>212</v>
      </c>
      <c r="H487" t="s">
        <v>10</v>
      </c>
      <c r="I487" t="s">
        <v>1523</v>
      </c>
      <c r="J487">
        <v>28</v>
      </c>
      <c r="K487" t="s">
        <v>1521</v>
      </c>
      <c r="L487" t="s">
        <v>1521</v>
      </c>
      <c r="M487">
        <v>3</v>
      </c>
      <c r="N487">
        <v>1</v>
      </c>
      <c r="O487">
        <v>5</v>
      </c>
      <c r="P487">
        <v>25.466699999999999</v>
      </c>
      <c r="Q487" t="s">
        <v>1528</v>
      </c>
      <c r="R487" t="s">
        <v>1514</v>
      </c>
    </row>
    <row r="488" spans="1:18" x14ac:dyDescent="0.45">
      <c r="A488">
        <v>487</v>
      </c>
      <c r="B488">
        <v>1</v>
      </c>
      <c r="C488" t="s">
        <v>1</v>
      </c>
      <c r="D488" t="s">
        <v>1553</v>
      </c>
      <c r="E488" t="s">
        <v>1180</v>
      </c>
      <c r="F488" t="s">
        <v>723</v>
      </c>
      <c r="G488" t="s">
        <v>253</v>
      </c>
      <c r="H488" t="s">
        <v>10</v>
      </c>
      <c r="I488" t="s">
        <v>1523</v>
      </c>
      <c r="J488">
        <v>35</v>
      </c>
      <c r="K488" t="s">
        <v>1521</v>
      </c>
      <c r="L488" t="s">
        <v>1521</v>
      </c>
      <c r="M488">
        <v>1</v>
      </c>
      <c r="N488">
        <v>0</v>
      </c>
      <c r="O488">
        <v>2</v>
      </c>
      <c r="P488">
        <v>914.45420000000001</v>
      </c>
      <c r="Q488" t="s">
        <v>1528</v>
      </c>
      <c r="R488" t="s">
        <v>1514</v>
      </c>
    </row>
    <row r="489" spans="1:18" x14ac:dyDescent="0.45">
      <c r="A489">
        <v>488</v>
      </c>
      <c r="B489">
        <v>0</v>
      </c>
      <c r="C489" t="s">
        <v>1519</v>
      </c>
      <c r="D489" t="s">
        <v>1553</v>
      </c>
      <c r="E489" t="s">
        <v>1181</v>
      </c>
      <c r="F489" t="s">
        <v>722</v>
      </c>
      <c r="G489" t="s">
        <v>455</v>
      </c>
      <c r="H489" t="s">
        <v>9</v>
      </c>
      <c r="I489" t="s">
        <v>1520</v>
      </c>
      <c r="J489">
        <v>58</v>
      </c>
      <c r="K489" t="s">
        <v>1521</v>
      </c>
      <c r="L489" t="s">
        <v>1521</v>
      </c>
      <c r="M489">
        <v>0</v>
      </c>
      <c r="N489">
        <v>0</v>
      </c>
      <c r="O489">
        <v>1</v>
      </c>
      <c r="P489">
        <v>29.7</v>
      </c>
      <c r="Q489" t="s">
        <v>1528</v>
      </c>
      <c r="R489" t="s">
        <v>1515</v>
      </c>
    </row>
    <row r="490" spans="1:18" x14ac:dyDescent="0.45">
      <c r="A490">
        <v>489</v>
      </c>
      <c r="B490">
        <v>0</v>
      </c>
      <c r="C490" t="s">
        <v>1519</v>
      </c>
      <c r="D490" t="s">
        <v>1552</v>
      </c>
      <c r="E490" t="s">
        <v>1182</v>
      </c>
      <c r="F490" t="s">
        <v>722</v>
      </c>
      <c r="G490" t="s">
        <v>456</v>
      </c>
      <c r="H490" t="s">
        <v>9</v>
      </c>
      <c r="I490" t="s">
        <v>1520</v>
      </c>
      <c r="J490">
        <v>30</v>
      </c>
      <c r="K490" t="s">
        <v>1521</v>
      </c>
      <c r="L490" t="s">
        <v>1521</v>
      </c>
      <c r="M490">
        <v>0</v>
      </c>
      <c r="N490">
        <v>0</v>
      </c>
      <c r="O490">
        <v>1</v>
      </c>
      <c r="P490" t="s">
        <v>12</v>
      </c>
      <c r="Q490" t="s">
        <v>1528</v>
      </c>
      <c r="R490" t="s">
        <v>1514</v>
      </c>
    </row>
    <row r="491" spans="1:18" x14ac:dyDescent="0.45">
      <c r="A491">
        <v>490</v>
      </c>
      <c r="B491">
        <v>1</v>
      </c>
      <c r="C491" t="s">
        <v>1</v>
      </c>
      <c r="D491" t="s">
        <v>1552</v>
      </c>
      <c r="E491" t="s">
        <v>1183</v>
      </c>
      <c r="F491" t="s">
        <v>725</v>
      </c>
      <c r="G491" t="s">
        <v>350</v>
      </c>
      <c r="H491" t="s">
        <v>9</v>
      </c>
      <c r="I491" t="s">
        <v>1520</v>
      </c>
      <c r="J491">
        <v>9</v>
      </c>
      <c r="K491" t="s">
        <v>1524</v>
      </c>
      <c r="L491" t="s">
        <v>1524</v>
      </c>
      <c r="M491">
        <v>1</v>
      </c>
      <c r="N491">
        <v>1</v>
      </c>
      <c r="O491">
        <v>3</v>
      </c>
      <c r="P491">
        <v>15.9</v>
      </c>
      <c r="Q491" t="s">
        <v>1528</v>
      </c>
      <c r="R491" t="s">
        <v>1514</v>
      </c>
    </row>
    <row r="492" spans="1:18" x14ac:dyDescent="0.45">
      <c r="A492">
        <v>491</v>
      </c>
      <c r="B492">
        <v>0</v>
      </c>
      <c r="C492" t="s">
        <v>1519</v>
      </c>
      <c r="D492" t="s">
        <v>1552</v>
      </c>
      <c r="E492" t="s">
        <v>1184</v>
      </c>
      <c r="F492" t="s">
        <v>722</v>
      </c>
      <c r="G492" t="s">
        <v>426</v>
      </c>
      <c r="H492" t="s">
        <v>9</v>
      </c>
      <c r="I492" t="s">
        <v>1520</v>
      </c>
      <c r="J492">
        <v>28</v>
      </c>
      <c r="K492" t="s">
        <v>1521</v>
      </c>
      <c r="L492" t="s">
        <v>1521</v>
      </c>
      <c r="M492">
        <v>1</v>
      </c>
      <c r="N492">
        <v>0</v>
      </c>
      <c r="O492">
        <v>2</v>
      </c>
      <c r="P492">
        <v>19.966699999999999</v>
      </c>
      <c r="Q492" t="s">
        <v>1528</v>
      </c>
      <c r="R492" t="s">
        <v>1514</v>
      </c>
    </row>
    <row r="493" spans="1:18" x14ac:dyDescent="0.45">
      <c r="A493">
        <v>492</v>
      </c>
      <c r="B493">
        <v>0</v>
      </c>
      <c r="C493" t="s">
        <v>1519</v>
      </c>
      <c r="D493" t="s">
        <v>1552</v>
      </c>
      <c r="E493" t="s">
        <v>1185</v>
      </c>
      <c r="F493" t="s">
        <v>722</v>
      </c>
      <c r="G493" t="s">
        <v>457</v>
      </c>
      <c r="H493" t="s">
        <v>9</v>
      </c>
      <c r="I493" t="s">
        <v>1520</v>
      </c>
      <c r="J493">
        <v>21</v>
      </c>
      <c r="K493" t="s">
        <v>1521</v>
      </c>
      <c r="L493" t="s">
        <v>1521</v>
      </c>
      <c r="M493">
        <v>0</v>
      </c>
      <c r="N493">
        <v>0</v>
      </c>
      <c r="O493">
        <v>1</v>
      </c>
      <c r="P493">
        <v>7.25</v>
      </c>
      <c r="Q493" t="s">
        <v>1528</v>
      </c>
      <c r="R493" t="s">
        <v>1514</v>
      </c>
    </row>
    <row r="494" spans="1:18" x14ac:dyDescent="0.45">
      <c r="A494">
        <v>493</v>
      </c>
      <c r="B494">
        <v>0</v>
      </c>
      <c r="C494" t="s">
        <v>1519</v>
      </c>
      <c r="D494" t="s">
        <v>1553</v>
      </c>
      <c r="E494" t="s">
        <v>1186</v>
      </c>
      <c r="F494" t="s">
        <v>722</v>
      </c>
      <c r="G494" t="s">
        <v>458</v>
      </c>
      <c r="H494" t="s">
        <v>9</v>
      </c>
      <c r="I494" t="s">
        <v>1520</v>
      </c>
      <c r="J494">
        <v>55</v>
      </c>
      <c r="K494" t="s">
        <v>1521</v>
      </c>
      <c r="L494" t="s">
        <v>1521</v>
      </c>
      <c r="M494">
        <v>0</v>
      </c>
      <c r="N494">
        <v>0</v>
      </c>
      <c r="O494">
        <v>1</v>
      </c>
      <c r="P494" t="s">
        <v>33</v>
      </c>
      <c r="Q494" t="s">
        <v>1528</v>
      </c>
      <c r="R494" t="s">
        <v>1514</v>
      </c>
    </row>
    <row r="495" spans="1:18" x14ac:dyDescent="0.45">
      <c r="A495">
        <v>494</v>
      </c>
      <c r="B495">
        <v>0</v>
      </c>
      <c r="C495" t="s">
        <v>1519</v>
      </c>
      <c r="D495" t="s">
        <v>1553</v>
      </c>
      <c r="E495" t="s">
        <v>1187</v>
      </c>
      <c r="F495" t="s">
        <v>722</v>
      </c>
      <c r="G495" t="s">
        <v>459</v>
      </c>
      <c r="H495" t="s">
        <v>9</v>
      </c>
      <c r="I495" t="s">
        <v>1520</v>
      </c>
      <c r="J495">
        <v>71</v>
      </c>
      <c r="K495" t="s">
        <v>1527</v>
      </c>
      <c r="L495" t="s">
        <v>1527</v>
      </c>
      <c r="M495">
        <v>0</v>
      </c>
      <c r="N495">
        <v>0</v>
      </c>
      <c r="O495">
        <v>1</v>
      </c>
      <c r="P495" t="s">
        <v>40</v>
      </c>
      <c r="Q495" t="s">
        <v>1528</v>
      </c>
      <c r="R495" t="s">
        <v>1515</v>
      </c>
    </row>
    <row r="496" spans="1:18" x14ac:dyDescent="0.45">
      <c r="A496">
        <v>495</v>
      </c>
      <c r="B496">
        <v>0</v>
      </c>
      <c r="C496" t="s">
        <v>1519</v>
      </c>
      <c r="D496" t="s">
        <v>1552</v>
      </c>
      <c r="E496" t="s">
        <v>1188</v>
      </c>
      <c r="F496" t="s">
        <v>722</v>
      </c>
      <c r="G496" t="s">
        <v>460</v>
      </c>
      <c r="H496" t="s">
        <v>9</v>
      </c>
      <c r="I496" t="s">
        <v>1520</v>
      </c>
      <c r="J496">
        <v>21</v>
      </c>
      <c r="K496" t="s">
        <v>1521</v>
      </c>
      <c r="L496" t="s">
        <v>1521</v>
      </c>
      <c r="M496">
        <v>0</v>
      </c>
      <c r="N496">
        <v>0</v>
      </c>
      <c r="O496">
        <v>1</v>
      </c>
      <c r="P496" t="s">
        <v>12</v>
      </c>
      <c r="Q496" t="s">
        <v>1528</v>
      </c>
      <c r="R496" t="s">
        <v>1514</v>
      </c>
    </row>
    <row r="497" spans="1:18" x14ac:dyDescent="0.45">
      <c r="A497">
        <v>496</v>
      </c>
      <c r="B497">
        <v>0</v>
      </c>
      <c r="C497" t="s">
        <v>1519</v>
      </c>
      <c r="D497" t="s">
        <v>1552</v>
      </c>
      <c r="E497" t="s">
        <v>934</v>
      </c>
      <c r="F497" t="s">
        <v>722</v>
      </c>
      <c r="G497" t="s">
        <v>461</v>
      </c>
      <c r="H497" t="s">
        <v>9</v>
      </c>
      <c r="I497" t="s">
        <v>1520</v>
      </c>
      <c r="J497">
        <v>28</v>
      </c>
      <c r="K497" t="s">
        <v>1521</v>
      </c>
      <c r="L497" t="s">
        <v>1521</v>
      </c>
      <c r="M497">
        <v>0</v>
      </c>
      <c r="N497">
        <v>0</v>
      </c>
      <c r="O497">
        <v>1</v>
      </c>
      <c r="P497">
        <v>14.458299999999999</v>
      </c>
      <c r="Q497" t="s">
        <v>1528</v>
      </c>
      <c r="R497" t="s">
        <v>1515</v>
      </c>
    </row>
    <row r="498" spans="1:18" x14ac:dyDescent="0.45">
      <c r="A498">
        <v>497</v>
      </c>
      <c r="B498">
        <v>1</v>
      </c>
      <c r="C498" t="s">
        <v>1</v>
      </c>
      <c r="D498" t="s">
        <v>1553</v>
      </c>
      <c r="E498" t="s">
        <v>1189</v>
      </c>
      <c r="F498" t="s">
        <v>724</v>
      </c>
      <c r="G498" t="s">
        <v>462</v>
      </c>
      <c r="H498" t="s">
        <v>10</v>
      </c>
      <c r="I498" t="s">
        <v>1523</v>
      </c>
      <c r="J498">
        <v>54</v>
      </c>
      <c r="K498" t="s">
        <v>1521</v>
      </c>
      <c r="L498" t="s">
        <v>1521</v>
      </c>
      <c r="M498">
        <v>1</v>
      </c>
      <c r="N498">
        <v>0</v>
      </c>
      <c r="O498">
        <v>2</v>
      </c>
      <c r="P498">
        <v>78.2667</v>
      </c>
      <c r="Q498" t="s">
        <v>1528</v>
      </c>
      <c r="R498" t="s">
        <v>1515</v>
      </c>
    </row>
    <row r="499" spans="1:18" x14ac:dyDescent="0.45">
      <c r="A499">
        <v>498</v>
      </c>
      <c r="B499">
        <v>0</v>
      </c>
      <c r="C499" t="s">
        <v>1519</v>
      </c>
      <c r="D499" t="s">
        <v>1552</v>
      </c>
      <c r="E499" t="s">
        <v>968</v>
      </c>
      <c r="F499" t="s">
        <v>722</v>
      </c>
      <c r="G499" t="s">
        <v>463</v>
      </c>
      <c r="H499" t="s">
        <v>9</v>
      </c>
      <c r="I499" t="s">
        <v>1520</v>
      </c>
      <c r="J499">
        <v>28</v>
      </c>
      <c r="K499" t="s">
        <v>1521</v>
      </c>
      <c r="L499" t="s">
        <v>1521</v>
      </c>
      <c r="M499">
        <v>0</v>
      </c>
      <c r="N499">
        <v>0</v>
      </c>
      <c r="O499">
        <v>1</v>
      </c>
      <c r="P499">
        <v>15.1</v>
      </c>
      <c r="Q499" t="s">
        <v>1528</v>
      </c>
      <c r="R499" t="s">
        <v>1514</v>
      </c>
    </row>
    <row r="500" spans="1:18" x14ac:dyDescent="0.45">
      <c r="A500">
        <v>499</v>
      </c>
      <c r="B500">
        <v>0</v>
      </c>
      <c r="C500" t="s">
        <v>1519</v>
      </c>
      <c r="D500" t="s">
        <v>1553</v>
      </c>
      <c r="E500" t="s">
        <v>1190</v>
      </c>
      <c r="F500" t="s">
        <v>723</v>
      </c>
      <c r="G500" t="s">
        <v>315</v>
      </c>
      <c r="H500" t="s">
        <v>10</v>
      </c>
      <c r="I500" t="s">
        <v>1523</v>
      </c>
      <c r="J500">
        <v>25</v>
      </c>
      <c r="K500" t="s">
        <v>1521</v>
      </c>
      <c r="L500" t="s">
        <v>1521</v>
      </c>
      <c r="M500">
        <v>1</v>
      </c>
      <c r="N500">
        <v>2</v>
      </c>
      <c r="O500">
        <v>4</v>
      </c>
      <c r="P500">
        <v>151.55000000000001</v>
      </c>
      <c r="Q500" t="s">
        <v>1528</v>
      </c>
      <c r="R500" t="s">
        <v>1514</v>
      </c>
    </row>
    <row r="501" spans="1:18" x14ac:dyDescent="0.45">
      <c r="A501">
        <v>500</v>
      </c>
      <c r="B501">
        <v>0</v>
      </c>
      <c r="C501" t="s">
        <v>1519</v>
      </c>
      <c r="D501" t="s">
        <v>1552</v>
      </c>
      <c r="E501" t="s">
        <v>1191</v>
      </c>
      <c r="F501" t="s">
        <v>722</v>
      </c>
      <c r="G501" t="s">
        <v>464</v>
      </c>
      <c r="H501" t="s">
        <v>9</v>
      </c>
      <c r="I501" t="s">
        <v>1520</v>
      </c>
      <c r="J501">
        <v>24</v>
      </c>
      <c r="K501" t="s">
        <v>1521</v>
      </c>
      <c r="L501" t="s">
        <v>1521</v>
      </c>
      <c r="M501">
        <v>0</v>
      </c>
      <c r="N501">
        <v>0</v>
      </c>
      <c r="O501">
        <v>1</v>
      </c>
      <c r="P501">
        <v>7.7957999999999998</v>
      </c>
      <c r="Q501" t="s">
        <v>1528</v>
      </c>
      <c r="R501" t="s">
        <v>1514</v>
      </c>
    </row>
    <row r="502" spans="1:18" x14ac:dyDescent="0.45">
      <c r="A502">
        <v>501</v>
      </c>
      <c r="B502">
        <v>0</v>
      </c>
      <c r="C502" t="s">
        <v>1519</v>
      </c>
      <c r="D502" t="s">
        <v>1552</v>
      </c>
      <c r="E502" t="s">
        <v>1192</v>
      </c>
      <c r="F502" t="s">
        <v>722</v>
      </c>
      <c r="G502" t="s">
        <v>203</v>
      </c>
      <c r="H502" t="s">
        <v>9</v>
      </c>
      <c r="I502" t="s">
        <v>1520</v>
      </c>
      <c r="J502">
        <v>17</v>
      </c>
      <c r="K502" t="s">
        <v>1525</v>
      </c>
      <c r="L502" t="s">
        <v>1525</v>
      </c>
      <c r="M502">
        <v>0</v>
      </c>
      <c r="N502">
        <v>0</v>
      </c>
      <c r="O502">
        <v>1</v>
      </c>
      <c r="P502">
        <v>8.6624999999999996</v>
      </c>
      <c r="Q502" t="s">
        <v>1528</v>
      </c>
      <c r="R502" t="s">
        <v>1514</v>
      </c>
    </row>
    <row r="503" spans="1:18" x14ac:dyDescent="0.45">
      <c r="A503">
        <v>502</v>
      </c>
      <c r="B503">
        <v>0</v>
      </c>
      <c r="C503" t="s">
        <v>1519</v>
      </c>
      <c r="D503" t="s">
        <v>1552</v>
      </c>
      <c r="E503" t="s">
        <v>1073</v>
      </c>
      <c r="F503" t="s">
        <v>724</v>
      </c>
      <c r="G503" t="s">
        <v>465</v>
      </c>
      <c r="H503" t="s">
        <v>10</v>
      </c>
      <c r="I503" t="s">
        <v>1523</v>
      </c>
      <c r="J503">
        <v>21</v>
      </c>
      <c r="K503" t="s">
        <v>1521</v>
      </c>
      <c r="L503" t="s">
        <v>1521</v>
      </c>
      <c r="M503">
        <v>0</v>
      </c>
      <c r="N503">
        <v>0</v>
      </c>
      <c r="O503">
        <v>1</v>
      </c>
      <c r="P503">
        <v>7.75</v>
      </c>
      <c r="Q503" t="s">
        <v>1528</v>
      </c>
      <c r="R503" t="s">
        <v>1516</v>
      </c>
    </row>
    <row r="504" spans="1:18" x14ac:dyDescent="0.45">
      <c r="A504">
        <v>503</v>
      </c>
      <c r="B504">
        <v>0</v>
      </c>
      <c r="C504" t="s">
        <v>1519</v>
      </c>
      <c r="D504" t="s">
        <v>1552</v>
      </c>
      <c r="E504" t="s">
        <v>1193</v>
      </c>
      <c r="F504" t="s">
        <v>724</v>
      </c>
      <c r="G504" t="s">
        <v>466</v>
      </c>
      <c r="H504" t="s">
        <v>10</v>
      </c>
      <c r="I504" t="s">
        <v>1523</v>
      </c>
      <c r="J504">
        <v>28</v>
      </c>
      <c r="K504" t="s">
        <v>1521</v>
      </c>
      <c r="L504" t="s">
        <v>1521</v>
      </c>
      <c r="M504">
        <v>0</v>
      </c>
      <c r="N504">
        <v>0</v>
      </c>
      <c r="O504">
        <v>1</v>
      </c>
      <c r="P504">
        <v>7.6292</v>
      </c>
      <c r="Q504" t="s">
        <v>1528</v>
      </c>
      <c r="R504" t="s">
        <v>1516</v>
      </c>
    </row>
    <row r="505" spans="1:18" x14ac:dyDescent="0.45">
      <c r="A505">
        <v>504</v>
      </c>
      <c r="B505">
        <v>0</v>
      </c>
      <c r="C505" t="s">
        <v>1519</v>
      </c>
      <c r="D505" t="s">
        <v>1552</v>
      </c>
      <c r="E505" t="s">
        <v>1194</v>
      </c>
      <c r="F505" t="s">
        <v>724</v>
      </c>
      <c r="G505" t="s">
        <v>467</v>
      </c>
      <c r="H505" t="s">
        <v>10</v>
      </c>
      <c r="I505" t="s">
        <v>1523</v>
      </c>
      <c r="J505">
        <v>37</v>
      </c>
      <c r="K505" t="s">
        <v>1521</v>
      </c>
      <c r="L505" t="s">
        <v>1521</v>
      </c>
      <c r="M505">
        <v>0</v>
      </c>
      <c r="N505">
        <v>0</v>
      </c>
      <c r="O505">
        <v>1</v>
      </c>
      <c r="P505">
        <v>9.5875000000000004</v>
      </c>
      <c r="Q505" t="s">
        <v>1528</v>
      </c>
      <c r="R505" t="s">
        <v>1514</v>
      </c>
    </row>
    <row r="506" spans="1:18" x14ac:dyDescent="0.45">
      <c r="A506">
        <v>505</v>
      </c>
      <c r="B506">
        <v>1</v>
      </c>
      <c r="C506" t="s">
        <v>1</v>
      </c>
      <c r="D506" t="s">
        <v>1553</v>
      </c>
      <c r="E506" t="s">
        <v>1195</v>
      </c>
      <c r="F506" t="s">
        <v>724</v>
      </c>
      <c r="G506" t="s">
        <v>468</v>
      </c>
      <c r="H506" t="s">
        <v>10</v>
      </c>
      <c r="I506" t="s">
        <v>1523</v>
      </c>
      <c r="J506">
        <v>16</v>
      </c>
      <c r="K506" t="s">
        <v>1525</v>
      </c>
      <c r="L506" t="s">
        <v>1525</v>
      </c>
      <c r="M506">
        <v>0</v>
      </c>
      <c r="N506">
        <v>0</v>
      </c>
      <c r="O506">
        <v>1</v>
      </c>
      <c r="P506">
        <v>86.5</v>
      </c>
      <c r="Q506" t="s">
        <v>1528</v>
      </c>
      <c r="R506" t="s">
        <v>1514</v>
      </c>
    </row>
    <row r="507" spans="1:18" x14ac:dyDescent="0.45">
      <c r="A507">
        <v>506</v>
      </c>
      <c r="B507">
        <v>0</v>
      </c>
      <c r="C507" t="s">
        <v>1519</v>
      </c>
      <c r="D507" t="s">
        <v>1553</v>
      </c>
      <c r="E507" t="s">
        <v>1196</v>
      </c>
      <c r="F507" t="s">
        <v>722</v>
      </c>
      <c r="G507" t="s">
        <v>321</v>
      </c>
      <c r="H507" t="s">
        <v>9</v>
      </c>
      <c r="I507" t="s">
        <v>1520</v>
      </c>
      <c r="J507">
        <v>18</v>
      </c>
      <c r="K507" t="s">
        <v>1521</v>
      </c>
      <c r="L507" t="s">
        <v>1521</v>
      </c>
      <c r="M507">
        <v>1</v>
      </c>
      <c r="N507">
        <v>0</v>
      </c>
      <c r="O507">
        <v>2</v>
      </c>
      <c r="P507" t="s">
        <v>35</v>
      </c>
      <c r="Q507" t="s">
        <v>1528</v>
      </c>
      <c r="R507" t="s">
        <v>1515</v>
      </c>
    </row>
    <row r="508" spans="1:18" x14ac:dyDescent="0.45">
      <c r="A508">
        <v>507</v>
      </c>
      <c r="B508">
        <v>1</v>
      </c>
      <c r="C508" t="s">
        <v>1</v>
      </c>
      <c r="D508" t="s">
        <v>1554</v>
      </c>
      <c r="E508" t="s">
        <v>1197</v>
      </c>
      <c r="F508" t="s">
        <v>723</v>
      </c>
      <c r="G508" t="s">
        <v>469</v>
      </c>
      <c r="H508" t="s">
        <v>10</v>
      </c>
      <c r="I508" t="s">
        <v>1523</v>
      </c>
      <c r="J508">
        <v>33</v>
      </c>
      <c r="K508" t="s">
        <v>1521</v>
      </c>
      <c r="L508" t="s">
        <v>1521</v>
      </c>
      <c r="M508">
        <v>0</v>
      </c>
      <c r="N508">
        <v>2</v>
      </c>
      <c r="O508">
        <v>3</v>
      </c>
      <c r="P508">
        <v>26</v>
      </c>
      <c r="Q508" t="s">
        <v>1528</v>
      </c>
      <c r="R508" t="s">
        <v>1514</v>
      </c>
    </row>
    <row r="509" spans="1:18" x14ac:dyDescent="0.45">
      <c r="A509">
        <v>508</v>
      </c>
      <c r="B509">
        <v>1</v>
      </c>
      <c r="C509" t="s">
        <v>1</v>
      </c>
      <c r="D509" t="s">
        <v>1553</v>
      </c>
      <c r="E509" t="s">
        <v>1198</v>
      </c>
      <c r="F509" t="s">
        <v>722</v>
      </c>
      <c r="G509" t="s">
        <v>470</v>
      </c>
      <c r="H509" t="s">
        <v>9</v>
      </c>
      <c r="I509" t="s">
        <v>1520</v>
      </c>
      <c r="J509">
        <v>28</v>
      </c>
      <c r="K509" t="s">
        <v>1521</v>
      </c>
      <c r="L509" t="s">
        <v>1521</v>
      </c>
      <c r="M509">
        <v>0</v>
      </c>
      <c r="N509">
        <v>0</v>
      </c>
      <c r="O509">
        <v>1</v>
      </c>
      <c r="P509">
        <v>26.55</v>
      </c>
      <c r="Q509" t="s">
        <v>1528</v>
      </c>
      <c r="R509" t="s">
        <v>1514</v>
      </c>
    </row>
    <row r="510" spans="1:18" x14ac:dyDescent="0.45">
      <c r="A510">
        <v>509</v>
      </c>
      <c r="B510">
        <v>0</v>
      </c>
      <c r="C510" t="s">
        <v>1519</v>
      </c>
      <c r="D510" t="s">
        <v>1552</v>
      </c>
      <c r="E510" t="s">
        <v>1199</v>
      </c>
      <c r="F510" t="s">
        <v>722</v>
      </c>
      <c r="G510" t="s">
        <v>195</v>
      </c>
      <c r="H510" t="s">
        <v>9</v>
      </c>
      <c r="I510" t="s">
        <v>1520</v>
      </c>
      <c r="J510">
        <v>28</v>
      </c>
      <c r="K510" t="s">
        <v>1521</v>
      </c>
      <c r="L510" t="s">
        <v>1521</v>
      </c>
      <c r="M510">
        <v>0</v>
      </c>
      <c r="N510">
        <v>0</v>
      </c>
      <c r="O510">
        <v>1</v>
      </c>
      <c r="P510">
        <v>22.524999999999999</v>
      </c>
      <c r="Q510" t="s">
        <v>1528</v>
      </c>
      <c r="R510" t="s">
        <v>1514</v>
      </c>
    </row>
    <row r="511" spans="1:18" x14ac:dyDescent="0.45">
      <c r="A511">
        <v>510</v>
      </c>
      <c r="B511">
        <v>1</v>
      </c>
      <c r="C511" t="s">
        <v>1</v>
      </c>
      <c r="D511" t="s">
        <v>1552</v>
      </c>
      <c r="E511" t="s">
        <v>1200</v>
      </c>
      <c r="F511" t="s">
        <v>722</v>
      </c>
      <c r="G511" t="s">
        <v>471</v>
      </c>
      <c r="H511" t="s">
        <v>9</v>
      </c>
      <c r="I511" t="s">
        <v>1520</v>
      </c>
      <c r="J511">
        <v>26</v>
      </c>
      <c r="K511" t="s">
        <v>1521</v>
      </c>
      <c r="L511" t="s">
        <v>1521</v>
      </c>
      <c r="M511">
        <v>0</v>
      </c>
      <c r="N511">
        <v>0</v>
      </c>
      <c r="O511">
        <v>1</v>
      </c>
      <c r="P511">
        <v>56.495800000000003</v>
      </c>
      <c r="Q511" t="s">
        <v>1528</v>
      </c>
      <c r="R511" t="s">
        <v>1514</v>
      </c>
    </row>
    <row r="512" spans="1:18" x14ac:dyDescent="0.45">
      <c r="A512">
        <v>511</v>
      </c>
      <c r="B512">
        <v>1</v>
      </c>
      <c r="C512" t="s">
        <v>1</v>
      </c>
      <c r="D512" t="s">
        <v>1552</v>
      </c>
      <c r="E512" t="s">
        <v>1201</v>
      </c>
      <c r="F512" t="s">
        <v>722</v>
      </c>
      <c r="G512" t="s">
        <v>472</v>
      </c>
      <c r="H512" t="s">
        <v>9</v>
      </c>
      <c r="I512" t="s">
        <v>1520</v>
      </c>
      <c r="J512">
        <v>29</v>
      </c>
      <c r="K512" t="s">
        <v>1521</v>
      </c>
      <c r="L512" t="s">
        <v>1521</v>
      </c>
      <c r="M512">
        <v>0</v>
      </c>
      <c r="N512">
        <v>0</v>
      </c>
      <c r="O512">
        <v>1</v>
      </c>
      <c r="P512">
        <v>7.75</v>
      </c>
      <c r="Q512" t="s">
        <v>1528</v>
      </c>
      <c r="R512" t="s">
        <v>1516</v>
      </c>
    </row>
    <row r="513" spans="1:18" x14ac:dyDescent="0.45">
      <c r="A513">
        <v>512</v>
      </c>
      <c r="B513">
        <v>0</v>
      </c>
      <c r="C513" t="s">
        <v>1519</v>
      </c>
      <c r="D513" t="s">
        <v>1552</v>
      </c>
      <c r="E513" t="s">
        <v>744</v>
      </c>
      <c r="F513" t="s">
        <v>722</v>
      </c>
      <c r="G513" t="s">
        <v>169</v>
      </c>
      <c r="H513" t="s">
        <v>9</v>
      </c>
      <c r="I513" t="s">
        <v>1520</v>
      </c>
      <c r="J513">
        <v>28</v>
      </c>
      <c r="K513" t="s">
        <v>1521</v>
      </c>
      <c r="L513" t="s">
        <v>1521</v>
      </c>
      <c r="M513">
        <v>0</v>
      </c>
      <c r="N513">
        <v>0</v>
      </c>
      <c r="O513">
        <v>1</v>
      </c>
      <c r="P513" t="s">
        <v>12</v>
      </c>
      <c r="Q513" t="s">
        <v>1528</v>
      </c>
      <c r="R513" t="s">
        <v>1514</v>
      </c>
    </row>
    <row r="514" spans="1:18" x14ac:dyDescent="0.45">
      <c r="A514">
        <v>513</v>
      </c>
      <c r="B514">
        <v>1</v>
      </c>
      <c r="C514" t="s">
        <v>1</v>
      </c>
      <c r="D514" t="s">
        <v>1553</v>
      </c>
      <c r="E514" t="s">
        <v>1202</v>
      </c>
      <c r="F514" t="s">
        <v>722</v>
      </c>
      <c r="G514" t="s">
        <v>473</v>
      </c>
      <c r="H514" t="s">
        <v>9</v>
      </c>
      <c r="I514" t="s">
        <v>1520</v>
      </c>
      <c r="J514">
        <v>36</v>
      </c>
      <c r="K514" t="s">
        <v>1521</v>
      </c>
      <c r="L514" t="s">
        <v>1521</v>
      </c>
      <c r="M514">
        <v>0</v>
      </c>
      <c r="N514">
        <v>0</v>
      </c>
      <c r="O514">
        <v>1</v>
      </c>
      <c r="P514">
        <v>26.287500000000001</v>
      </c>
      <c r="Q514" t="s">
        <v>1528</v>
      </c>
      <c r="R514" t="s">
        <v>1514</v>
      </c>
    </row>
    <row r="515" spans="1:18" x14ac:dyDescent="0.45">
      <c r="A515">
        <v>514</v>
      </c>
      <c r="B515">
        <v>1</v>
      </c>
      <c r="C515" t="s">
        <v>1</v>
      </c>
      <c r="D515" t="s">
        <v>1553</v>
      </c>
      <c r="E515" t="s">
        <v>1203</v>
      </c>
      <c r="F515" t="s">
        <v>723</v>
      </c>
      <c r="G515" t="s">
        <v>474</v>
      </c>
      <c r="H515" t="s">
        <v>10</v>
      </c>
      <c r="I515" t="s">
        <v>1523</v>
      </c>
      <c r="J515">
        <v>54</v>
      </c>
      <c r="K515" t="s">
        <v>1521</v>
      </c>
      <c r="L515" t="s">
        <v>1521</v>
      </c>
      <c r="M515">
        <v>1</v>
      </c>
      <c r="N515">
        <v>0</v>
      </c>
      <c r="O515">
        <v>2</v>
      </c>
      <c r="P515">
        <v>59.4</v>
      </c>
      <c r="Q515" t="s">
        <v>1528</v>
      </c>
      <c r="R515" t="s">
        <v>1515</v>
      </c>
    </row>
    <row r="516" spans="1:18" x14ac:dyDescent="0.45">
      <c r="A516">
        <v>515</v>
      </c>
      <c r="B516">
        <v>0</v>
      </c>
      <c r="C516" t="s">
        <v>1519</v>
      </c>
      <c r="D516" t="s">
        <v>1552</v>
      </c>
      <c r="E516" t="s">
        <v>1204</v>
      </c>
      <c r="F516" t="s">
        <v>722</v>
      </c>
      <c r="G516" t="s">
        <v>475</v>
      </c>
      <c r="H516" t="s">
        <v>9</v>
      </c>
      <c r="I516" t="s">
        <v>1520</v>
      </c>
      <c r="J516">
        <v>24</v>
      </c>
      <c r="K516" t="s">
        <v>1521</v>
      </c>
      <c r="L516" t="s">
        <v>1521</v>
      </c>
      <c r="M516">
        <v>0</v>
      </c>
      <c r="N516">
        <v>0</v>
      </c>
      <c r="O516">
        <v>1</v>
      </c>
      <c r="P516">
        <v>7.4958</v>
      </c>
      <c r="Q516" t="s">
        <v>1528</v>
      </c>
      <c r="R516" t="s">
        <v>1514</v>
      </c>
    </row>
    <row r="517" spans="1:18" x14ac:dyDescent="0.45">
      <c r="A517">
        <v>516</v>
      </c>
      <c r="B517">
        <v>0</v>
      </c>
      <c r="C517" t="s">
        <v>1519</v>
      </c>
      <c r="D517" t="s">
        <v>1553</v>
      </c>
      <c r="E517" t="s">
        <v>1205</v>
      </c>
      <c r="F517" t="s">
        <v>722</v>
      </c>
      <c r="G517" t="s">
        <v>476</v>
      </c>
      <c r="H517" t="s">
        <v>9</v>
      </c>
      <c r="I517" t="s">
        <v>1520</v>
      </c>
      <c r="J517">
        <v>47</v>
      </c>
      <c r="K517" t="s">
        <v>1521</v>
      </c>
      <c r="L517" t="s">
        <v>1521</v>
      </c>
      <c r="M517">
        <v>0</v>
      </c>
      <c r="N517">
        <v>0</v>
      </c>
      <c r="O517">
        <v>1</v>
      </c>
      <c r="P517" t="s">
        <v>41</v>
      </c>
      <c r="Q517" t="s">
        <v>1528</v>
      </c>
      <c r="R517" t="s">
        <v>1514</v>
      </c>
    </row>
    <row r="518" spans="1:18" x14ac:dyDescent="0.45">
      <c r="A518">
        <v>517</v>
      </c>
      <c r="B518">
        <v>1</v>
      </c>
      <c r="C518" t="s">
        <v>1</v>
      </c>
      <c r="D518" t="s">
        <v>1554</v>
      </c>
      <c r="E518" t="s">
        <v>753</v>
      </c>
      <c r="F518" t="s">
        <v>723</v>
      </c>
      <c r="G518" t="s">
        <v>477</v>
      </c>
      <c r="H518" t="s">
        <v>10</v>
      </c>
      <c r="I518" t="s">
        <v>1523</v>
      </c>
      <c r="J518">
        <v>34</v>
      </c>
      <c r="K518" t="s">
        <v>1521</v>
      </c>
      <c r="L518" t="s">
        <v>1521</v>
      </c>
      <c r="M518">
        <v>0</v>
      </c>
      <c r="N518">
        <v>0</v>
      </c>
      <c r="O518">
        <v>1</v>
      </c>
      <c r="P518" t="s">
        <v>18</v>
      </c>
      <c r="Q518" t="s">
        <v>1528</v>
      </c>
      <c r="R518" t="s">
        <v>1514</v>
      </c>
    </row>
    <row r="519" spans="1:18" x14ac:dyDescent="0.45">
      <c r="A519">
        <v>518</v>
      </c>
      <c r="B519">
        <v>0</v>
      </c>
      <c r="C519" t="s">
        <v>1519</v>
      </c>
      <c r="D519" t="s">
        <v>1552</v>
      </c>
      <c r="E519" t="s">
        <v>851</v>
      </c>
      <c r="F519" t="s">
        <v>722</v>
      </c>
      <c r="G519" t="s">
        <v>478</v>
      </c>
      <c r="H519" t="s">
        <v>9</v>
      </c>
      <c r="I519" t="s">
        <v>1520</v>
      </c>
      <c r="J519">
        <v>28</v>
      </c>
      <c r="K519" t="s">
        <v>1521</v>
      </c>
      <c r="L519" t="s">
        <v>1521</v>
      </c>
      <c r="M519">
        <v>0</v>
      </c>
      <c r="N519">
        <v>0</v>
      </c>
      <c r="O519">
        <v>1</v>
      </c>
      <c r="P519">
        <v>24.15</v>
      </c>
      <c r="Q519" t="s">
        <v>1528</v>
      </c>
      <c r="R519" t="s">
        <v>1516</v>
      </c>
    </row>
    <row r="520" spans="1:18" x14ac:dyDescent="0.45">
      <c r="A520">
        <v>519</v>
      </c>
      <c r="B520">
        <v>1</v>
      </c>
      <c r="C520" t="s">
        <v>1</v>
      </c>
      <c r="D520" t="s">
        <v>1554</v>
      </c>
      <c r="E520" t="s">
        <v>1206</v>
      </c>
      <c r="F520" t="s">
        <v>723</v>
      </c>
      <c r="G520" t="s">
        <v>479</v>
      </c>
      <c r="H520" t="s">
        <v>10</v>
      </c>
      <c r="I520" t="s">
        <v>1523</v>
      </c>
      <c r="J520">
        <v>36</v>
      </c>
      <c r="K520" t="s">
        <v>1521</v>
      </c>
      <c r="L520" t="s">
        <v>1521</v>
      </c>
      <c r="M520">
        <v>1</v>
      </c>
      <c r="N520">
        <v>0</v>
      </c>
      <c r="O520">
        <v>2</v>
      </c>
      <c r="P520">
        <v>26</v>
      </c>
      <c r="Q520" t="s">
        <v>1528</v>
      </c>
      <c r="R520" t="s">
        <v>1514</v>
      </c>
    </row>
    <row r="521" spans="1:18" x14ac:dyDescent="0.45">
      <c r="A521">
        <v>520</v>
      </c>
      <c r="B521">
        <v>0</v>
      </c>
      <c r="C521" t="s">
        <v>1519</v>
      </c>
      <c r="D521" t="s">
        <v>1552</v>
      </c>
      <c r="E521" t="s">
        <v>1207</v>
      </c>
      <c r="F521" t="s">
        <v>722</v>
      </c>
      <c r="G521" t="s">
        <v>480</v>
      </c>
      <c r="H521" t="s">
        <v>9</v>
      </c>
      <c r="I521" t="s">
        <v>1520</v>
      </c>
      <c r="J521">
        <v>32</v>
      </c>
      <c r="K521" t="s">
        <v>1521</v>
      </c>
      <c r="L521" t="s">
        <v>1521</v>
      </c>
      <c r="M521">
        <v>0</v>
      </c>
      <c r="N521">
        <v>0</v>
      </c>
      <c r="O521">
        <v>1</v>
      </c>
      <c r="P521">
        <v>7.8958000000000004</v>
      </c>
      <c r="Q521" t="s">
        <v>1528</v>
      </c>
      <c r="R521" t="s">
        <v>1514</v>
      </c>
    </row>
    <row r="522" spans="1:18" x14ac:dyDescent="0.45">
      <c r="A522">
        <v>521</v>
      </c>
      <c r="B522">
        <v>1</v>
      </c>
      <c r="C522" t="s">
        <v>1</v>
      </c>
      <c r="D522" t="s">
        <v>1553</v>
      </c>
      <c r="E522" t="s">
        <v>1208</v>
      </c>
      <c r="F522" t="s">
        <v>724</v>
      </c>
      <c r="G522" t="s">
        <v>481</v>
      </c>
      <c r="H522" t="s">
        <v>10</v>
      </c>
      <c r="I522" t="s">
        <v>1523</v>
      </c>
      <c r="J522">
        <v>30</v>
      </c>
      <c r="K522" t="s">
        <v>1521</v>
      </c>
      <c r="L522" t="s">
        <v>1521</v>
      </c>
      <c r="M522">
        <v>0</v>
      </c>
      <c r="N522">
        <v>0</v>
      </c>
      <c r="O522">
        <v>1</v>
      </c>
      <c r="P522">
        <v>93.5</v>
      </c>
      <c r="Q522" t="s">
        <v>1528</v>
      </c>
      <c r="R522" t="s">
        <v>1514</v>
      </c>
    </row>
    <row r="523" spans="1:18" x14ac:dyDescent="0.45">
      <c r="A523">
        <v>522</v>
      </c>
      <c r="B523">
        <v>0</v>
      </c>
      <c r="C523" t="s">
        <v>1519</v>
      </c>
      <c r="D523" t="s">
        <v>1552</v>
      </c>
      <c r="E523" t="s">
        <v>1209</v>
      </c>
      <c r="F523" t="s">
        <v>722</v>
      </c>
      <c r="G523" t="s">
        <v>482</v>
      </c>
      <c r="H523" t="s">
        <v>9</v>
      </c>
      <c r="I523" t="s">
        <v>1520</v>
      </c>
      <c r="J523">
        <v>22</v>
      </c>
      <c r="K523" t="s">
        <v>1521</v>
      </c>
      <c r="L523" t="s">
        <v>1521</v>
      </c>
      <c r="M523">
        <v>0</v>
      </c>
      <c r="N523">
        <v>0</v>
      </c>
      <c r="O523">
        <v>1</v>
      </c>
      <c r="P523">
        <v>7.8958000000000004</v>
      </c>
      <c r="Q523" t="s">
        <v>1528</v>
      </c>
      <c r="R523" t="s">
        <v>1514</v>
      </c>
    </row>
    <row r="524" spans="1:18" x14ac:dyDescent="0.45">
      <c r="A524">
        <v>523</v>
      </c>
      <c r="B524">
        <v>0</v>
      </c>
      <c r="C524" t="s">
        <v>1519</v>
      </c>
      <c r="D524" t="s">
        <v>1552</v>
      </c>
      <c r="E524" t="s">
        <v>1210</v>
      </c>
      <c r="F524" t="s">
        <v>722</v>
      </c>
      <c r="G524" t="s">
        <v>483</v>
      </c>
      <c r="H524" t="s">
        <v>9</v>
      </c>
      <c r="I524" t="s">
        <v>1520</v>
      </c>
      <c r="J524">
        <v>28</v>
      </c>
      <c r="K524" t="s">
        <v>1521</v>
      </c>
      <c r="L524" t="s">
        <v>1521</v>
      </c>
      <c r="M524">
        <v>0</v>
      </c>
      <c r="N524">
        <v>0</v>
      </c>
      <c r="O524">
        <v>1</v>
      </c>
      <c r="P524">
        <v>7.2249999999999996</v>
      </c>
      <c r="Q524" t="s">
        <v>1528</v>
      </c>
      <c r="R524" t="s">
        <v>1515</v>
      </c>
    </row>
    <row r="525" spans="1:18" x14ac:dyDescent="0.45">
      <c r="A525">
        <v>524</v>
      </c>
      <c r="B525">
        <v>1</v>
      </c>
      <c r="C525" t="s">
        <v>1</v>
      </c>
      <c r="D525" t="s">
        <v>1553</v>
      </c>
      <c r="E525" t="s">
        <v>1211</v>
      </c>
      <c r="F525" t="s">
        <v>723</v>
      </c>
      <c r="G525" t="s">
        <v>339</v>
      </c>
      <c r="H525" t="s">
        <v>10</v>
      </c>
      <c r="I525" t="s">
        <v>1523</v>
      </c>
      <c r="J525">
        <v>44</v>
      </c>
      <c r="K525" t="s">
        <v>1521</v>
      </c>
      <c r="L525" t="s">
        <v>1521</v>
      </c>
      <c r="M525">
        <v>0</v>
      </c>
      <c r="N525">
        <v>1</v>
      </c>
      <c r="O525">
        <v>2</v>
      </c>
      <c r="P525">
        <v>57.979199999999999</v>
      </c>
      <c r="Q525" t="s">
        <v>1528</v>
      </c>
      <c r="R525" t="s">
        <v>1515</v>
      </c>
    </row>
    <row r="526" spans="1:18" x14ac:dyDescent="0.45">
      <c r="A526">
        <v>525</v>
      </c>
      <c r="B526">
        <v>0</v>
      </c>
      <c r="C526" t="s">
        <v>1519</v>
      </c>
      <c r="D526" t="s">
        <v>1552</v>
      </c>
      <c r="E526" t="s">
        <v>1212</v>
      </c>
      <c r="F526" t="s">
        <v>722</v>
      </c>
      <c r="G526" t="s">
        <v>484</v>
      </c>
      <c r="H526" t="s">
        <v>9</v>
      </c>
      <c r="I526" t="s">
        <v>1520</v>
      </c>
      <c r="J526">
        <v>28</v>
      </c>
      <c r="K526" t="s">
        <v>1521</v>
      </c>
      <c r="L526" t="s">
        <v>1521</v>
      </c>
      <c r="M526">
        <v>0</v>
      </c>
      <c r="N526">
        <v>0</v>
      </c>
      <c r="O526">
        <v>1</v>
      </c>
      <c r="P526">
        <v>7.2291999999999996</v>
      </c>
      <c r="Q526" t="s">
        <v>1528</v>
      </c>
      <c r="R526" t="s">
        <v>1515</v>
      </c>
    </row>
    <row r="527" spans="1:18" x14ac:dyDescent="0.45">
      <c r="A527">
        <v>526</v>
      </c>
      <c r="B527">
        <v>0</v>
      </c>
      <c r="C527" t="s">
        <v>1519</v>
      </c>
      <c r="D527" t="s">
        <v>1552</v>
      </c>
      <c r="E527" t="s">
        <v>744</v>
      </c>
      <c r="F527" t="s">
        <v>722</v>
      </c>
      <c r="G527" t="s">
        <v>485</v>
      </c>
      <c r="H527" t="s">
        <v>9</v>
      </c>
      <c r="I527" t="s">
        <v>1520</v>
      </c>
      <c r="J527">
        <v>40.5</v>
      </c>
      <c r="K527" t="s">
        <v>1521</v>
      </c>
      <c r="L527" t="s">
        <v>1521</v>
      </c>
      <c r="M527">
        <v>0</v>
      </c>
      <c r="N527">
        <v>0</v>
      </c>
      <c r="O527">
        <v>1</v>
      </c>
      <c r="P527">
        <v>7.75</v>
      </c>
      <c r="Q527" t="s">
        <v>1528</v>
      </c>
      <c r="R527" t="s">
        <v>1516</v>
      </c>
    </row>
    <row r="528" spans="1:18" x14ac:dyDescent="0.45">
      <c r="A528">
        <v>527</v>
      </c>
      <c r="B528">
        <v>1</v>
      </c>
      <c r="C528" t="s">
        <v>1</v>
      </c>
      <c r="D528" t="s">
        <v>1554</v>
      </c>
      <c r="E528" t="s">
        <v>1213</v>
      </c>
      <c r="F528" t="s">
        <v>724</v>
      </c>
      <c r="G528" t="s">
        <v>486</v>
      </c>
      <c r="H528" t="s">
        <v>10</v>
      </c>
      <c r="I528" t="s">
        <v>1523</v>
      </c>
      <c r="J528">
        <v>50</v>
      </c>
      <c r="K528" t="s">
        <v>1521</v>
      </c>
      <c r="L528" t="s">
        <v>1521</v>
      </c>
      <c r="M528">
        <v>0</v>
      </c>
      <c r="N528">
        <v>0</v>
      </c>
      <c r="O528">
        <v>1</v>
      </c>
      <c r="P528" t="s">
        <v>18</v>
      </c>
      <c r="Q528" t="s">
        <v>1528</v>
      </c>
      <c r="R528" t="s">
        <v>1514</v>
      </c>
    </row>
    <row r="529" spans="1:18" x14ac:dyDescent="0.45">
      <c r="A529">
        <v>528</v>
      </c>
      <c r="B529">
        <v>0</v>
      </c>
      <c r="C529" t="s">
        <v>1519</v>
      </c>
      <c r="D529" t="s">
        <v>1553</v>
      </c>
      <c r="E529" t="s">
        <v>920</v>
      </c>
      <c r="F529" t="s">
        <v>722</v>
      </c>
      <c r="G529" t="s">
        <v>487</v>
      </c>
      <c r="H529" t="s">
        <v>9</v>
      </c>
      <c r="I529" t="s">
        <v>1520</v>
      </c>
      <c r="J529">
        <v>28</v>
      </c>
      <c r="K529" t="s">
        <v>1521</v>
      </c>
      <c r="L529" t="s">
        <v>1521</v>
      </c>
      <c r="M529">
        <v>0</v>
      </c>
      <c r="N529">
        <v>0</v>
      </c>
      <c r="O529">
        <v>1</v>
      </c>
      <c r="P529">
        <v>221.7792</v>
      </c>
      <c r="Q529" t="s">
        <v>1528</v>
      </c>
      <c r="R529" t="s">
        <v>1514</v>
      </c>
    </row>
    <row r="530" spans="1:18" x14ac:dyDescent="0.45">
      <c r="A530">
        <v>529</v>
      </c>
      <c r="B530">
        <v>0</v>
      </c>
      <c r="C530" t="s">
        <v>1519</v>
      </c>
      <c r="D530" t="s">
        <v>1552</v>
      </c>
      <c r="E530" t="s">
        <v>1214</v>
      </c>
      <c r="F530" t="s">
        <v>722</v>
      </c>
      <c r="G530" t="s">
        <v>488</v>
      </c>
      <c r="H530" t="s">
        <v>9</v>
      </c>
      <c r="I530" t="s">
        <v>1520</v>
      </c>
      <c r="J530">
        <v>39</v>
      </c>
      <c r="K530" t="s">
        <v>1521</v>
      </c>
      <c r="L530" t="s">
        <v>1521</v>
      </c>
      <c r="M530">
        <v>0</v>
      </c>
      <c r="N530">
        <v>0</v>
      </c>
      <c r="O530">
        <v>1</v>
      </c>
      <c r="P530">
        <v>7.9249999999999998</v>
      </c>
      <c r="Q530" t="s">
        <v>1528</v>
      </c>
      <c r="R530" t="s">
        <v>1514</v>
      </c>
    </row>
    <row r="531" spans="1:18" x14ac:dyDescent="0.45">
      <c r="A531">
        <v>530</v>
      </c>
      <c r="B531">
        <v>0</v>
      </c>
      <c r="C531" t="s">
        <v>1519</v>
      </c>
      <c r="D531" t="s">
        <v>1554</v>
      </c>
      <c r="E531" t="s">
        <v>1215</v>
      </c>
      <c r="F531" t="s">
        <v>722</v>
      </c>
      <c r="G531" t="s">
        <v>489</v>
      </c>
      <c r="H531" t="s">
        <v>9</v>
      </c>
      <c r="I531" t="s">
        <v>1520</v>
      </c>
      <c r="J531">
        <v>23</v>
      </c>
      <c r="K531" t="s">
        <v>1521</v>
      </c>
      <c r="L531" t="s">
        <v>1521</v>
      </c>
      <c r="M531">
        <v>2</v>
      </c>
      <c r="N531">
        <v>1</v>
      </c>
      <c r="O531">
        <v>4</v>
      </c>
      <c r="P531">
        <v>11.5</v>
      </c>
      <c r="Q531" t="s">
        <v>1528</v>
      </c>
      <c r="R531" t="s">
        <v>1514</v>
      </c>
    </row>
    <row r="532" spans="1:18" x14ac:dyDescent="0.45">
      <c r="A532">
        <v>531</v>
      </c>
      <c r="B532">
        <v>1</v>
      </c>
      <c r="C532" t="s">
        <v>1</v>
      </c>
      <c r="D532" t="s">
        <v>1554</v>
      </c>
      <c r="E532" t="s">
        <v>1216</v>
      </c>
      <c r="F532" t="s">
        <v>724</v>
      </c>
      <c r="G532" t="s">
        <v>469</v>
      </c>
      <c r="H532" t="s">
        <v>10</v>
      </c>
      <c r="I532" t="s">
        <v>1523</v>
      </c>
      <c r="J532">
        <v>2</v>
      </c>
      <c r="K532" t="s">
        <v>1524</v>
      </c>
      <c r="L532" t="s">
        <v>1524</v>
      </c>
      <c r="M532">
        <v>1</v>
      </c>
      <c r="N532">
        <v>1</v>
      </c>
      <c r="O532">
        <v>3</v>
      </c>
      <c r="P532">
        <v>26</v>
      </c>
      <c r="Q532" t="s">
        <v>1528</v>
      </c>
      <c r="R532" t="s">
        <v>1514</v>
      </c>
    </row>
    <row r="533" spans="1:18" x14ac:dyDescent="0.45">
      <c r="A533">
        <v>532</v>
      </c>
      <c r="B533">
        <v>0</v>
      </c>
      <c r="C533" t="s">
        <v>1519</v>
      </c>
      <c r="D533" t="s">
        <v>1552</v>
      </c>
      <c r="E533" t="s">
        <v>1217</v>
      </c>
      <c r="F533" t="s">
        <v>722</v>
      </c>
      <c r="G533" t="s">
        <v>490</v>
      </c>
      <c r="H533" t="s">
        <v>9</v>
      </c>
      <c r="I533" t="s">
        <v>1520</v>
      </c>
      <c r="J533">
        <v>28</v>
      </c>
      <c r="K533" t="s">
        <v>1521</v>
      </c>
      <c r="L533" t="s">
        <v>1521</v>
      </c>
      <c r="M533">
        <v>0</v>
      </c>
      <c r="N533">
        <v>0</v>
      </c>
      <c r="O533">
        <v>1</v>
      </c>
      <c r="P533">
        <v>7.2291999999999996</v>
      </c>
      <c r="Q533" t="s">
        <v>1528</v>
      </c>
      <c r="R533" t="s">
        <v>1515</v>
      </c>
    </row>
    <row r="534" spans="1:18" x14ac:dyDescent="0.45">
      <c r="A534">
        <v>533</v>
      </c>
      <c r="B534">
        <v>0</v>
      </c>
      <c r="C534" t="s">
        <v>1519</v>
      </c>
      <c r="D534" t="s">
        <v>1552</v>
      </c>
      <c r="E534" t="s">
        <v>1218</v>
      </c>
      <c r="F534" t="s">
        <v>722</v>
      </c>
      <c r="G534" t="s">
        <v>354</v>
      </c>
      <c r="H534" t="s">
        <v>9</v>
      </c>
      <c r="I534" t="s">
        <v>1520</v>
      </c>
      <c r="J534">
        <v>17</v>
      </c>
      <c r="K534" t="s">
        <v>1525</v>
      </c>
      <c r="L534" t="s">
        <v>1525</v>
      </c>
      <c r="M534">
        <v>1</v>
      </c>
      <c r="N534">
        <v>1</v>
      </c>
      <c r="O534">
        <v>3</v>
      </c>
      <c r="P534">
        <v>7.2291999999999996</v>
      </c>
      <c r="Q534" t="s">
        <v>1528</v>
      </c>
      <c r="R534" t="s">
        <v>1515</v>
      </c>
    </row>
    <row r="535" spans="1:18" x14ac:dyDescent="0.45">
      <c r="A535">
        <v>534</v>
      </c>
      <c r="B535">
        <v>1</v>
      </c>
      <c r="C535" t="s">
        <v>1</v>
      </c>
      <c r="D535" t="s">
        <v>1552</v>
      </c>
      <c r="E535" t="s">
        <v>1219</v>
      </c>
      <c r="F535" t="s">
        <v>723</v>
      </c>
      <c r="G535" t="s">
        <v>172</v>
      </c>
      <c r="H535" t="s">
        <v>10</v>
      </c>
      <c r="I535" t="s">
        <v>1523</v>
      </c>
      <c r="J535">
        <v>28</v>
      </c>
      <c r="K535" t="s">
        <v>1521</v>
      </c>
      <c r="L535" t="s">
        <v>1521</v>
      </c>
      <c r="M535">
        <v>0</v>
      </c>
      <c r="N535">
        <v>2</v>
      </c>
      <c r="O535">
        <v>3</v>
      </c>
      <c r="P535">
        <v>22.3583</v>
      </c>
      <c r="Q535" t="s">
        <v>1528</v>
      </c>
      <c r="R535" t="s">
        <v>1515</v>
      </c>
    </row>
    <row r="536" spans="1:18" x14ac:dyDescent="0.45">
      <c r="A536">
        <v>535</v>
      </c>
      <c r="B536">
        <v>0</v>
      </c>
      <c r="C536" t="s">
        <v>1519</v>
      </c>
      <c r="D536" t="s">
        <v>1552</v>
      </c>
      <c r="E536" t="s">
        <v>1110</v>
      </c>
      <c r="F536" t="s">
        <v>724</v>
      </c>
      <c r="G536" t="s">
        <v>445</v>
      </c>
      <c r="H536" t="s">
        <v>10</v>
      </c>
      <c r="I536" t="s">
        <v>1523</v>
      </c>
      <c r="J536">
        <v>30</v>
      </c>
      <c r="K536" t="s">
        <v>1521</v>
      </c>
      <c r="L536" t="s">
        <v>1521</v>
      </c>
      <c r="M536">
        <v>0</v>
      </c>
      <c r="N536">
        <v>0</v>
      </c>
      <c r="O536">
        <v>1</v>
      </c>
      <c r="P536">
        <v>8.6624999999999996</v>
      </c>
      <c r="Q536" t="s">
        <v>1528</v>
      </c>
      <c r="R536" t="s">
        <v>1514</v>
      </c>
    </row>
    <row r="537" spans="1:18" x14ac:dyDescent="0.45">
      <c r="A537">
        <v>536</v>
      </c>
      <c r="B537">
        <v>1</v>
      </c>
      <c r="C537" t="s">
        <v>1</v>
      </c>
      <c r="D537" t="s">
        <v>1554</v>
      </c>
      <c r="E537" t="s">
        <v>1220</v>
      </c>
      <c r="F537" t="s">
        <v>724</v>
      </c>
      <c r="G537" t="s">
        <v>328</v>
      </c>
      <c r="H537" t="s">
        <v>10</v>
      </c>
      <c r="I537" t="s">
        <v>1523</v>
      </c>
      <c r="J537">
        <v>7</v>
      </c>
      <c r="K537" t="s">
        <v>1524</v>
      </c>
      <c r="L537" t="s">
        <v>1524</v>
      </c>
      <c r="M537">
        <v>0</v>
      </c>
      <c r="N537">
        <v>2</v>
      </c>
      <c r="O537">
        <v>3</v>
      </c>
      <c r="P537">
        <v>26.25</v>
      </c>
      <c r="Q537" t="s">
        <v>1528</v>
      </c>
      <c r="R537" t="s">
        <v>1514</v>
      </c>
    </row>
    <row r="538" spans="1:18" x14ac:dyDescent="0.45">
      <c r="A538">
        <v>537</v>
      </c>
      <c r="B538">
        <v>0</v>
      </c>
      <c r="C538" t="s">
        <v>1519</v>
      </c>
      <c r="D538" t="s">
        <v>1553</v>
      </c>
      <c r="E538" t="s">
        <v>1221</v>
      </c>
      <c r="F538" t="s">
        <v>731</v>
      </c>
      <c r="G538" t="s">
        <v>491</v>
      </c>
      <c r="H538" t="s">
        <v>9</v>
      </c>
      <c r="I538" t="s">
        <v>1520</v>
      </c>
      <c r="J538">
        <v>45</v>
      </c>
      <c r="K538" t="s">
        <v>1521</v>
      </c>
      <c r="L538" t="s">
        <v>1521</v>
      </c>
      <c r="M538">
        <v>0</v>
      </c>
      <c r="N538">
        <v>0</v>
      </c>
      <c r="O538">
        <v>1</v>
      </c>
      <c r="P538">
        <v>26.55</v>
      </c>
      <c r="Q538" t="s">
        <v>1528</v>
      </c>
      <c r="R538" t="s">
        <v>1514</v>
      </c>
    </row>
    <row r="539" spans="1:18" x14ac:dyDescent="0.45">
      <c r="A539">
        <v>538</v>
      </c>
      <c r="B539">
        <v>1</v>
      </c>
      <c r="C539" t="s">
        <v>1</v>
      </c>
      <c r="D539" t="s">
        <v>1553</v>
      </c>
      <c r="E539" t="s">
        <v>820</v>
      </c>
      <c r="F539" t="s">
        <v>724</v>
      </c>
      <c r="G539" t="s">
        <v>492</v>
      </c>
      <c r="H539" t="s">
        <v>10</v>
      </c>
      <c r="I539" t="s">
        <v>1523</v>
      </c>
      <c r="J539">
        <v>30</v>
      </c>
      <c r="K539" t="s">
        <v>1521</v>
      </c>
      <c r="L539" t="s">
        <v>1521</v>
      </c>
      <c r="M539">
        <v>0</v>
      </c>
      <c r="N539">
        <v>0</v>
      </c>
      <c r="O539">
        <v>1</v>
      </c>
      <c r="P539" t="s">
        <v>42</v>
      </c>
      <c r="Q539" t="s">
        <v>1528</v>
      </c>
      <c r="R539" t="s">
        <v>1515</v>
      </c>
    </row>
    <row r="540" spans="1:18" x14ac:dyDescent="0.45">
      <c r="A540">
        <v>539</v>
      </c>
      <c r="B540">
        <v>0</v>
      </c>
      <c r="C540" t="s">
        <v>1519</v>
      </c>
      <c r="D540" t="s">
        <v>1552</v>
      </c>
      <c r="E540" t="s">
        <v>1222</v>
      </c>
      <c r="F540" t="s">
        <v>722</v>
      </c>
      <c r="G540" t="s">
        <v>493</v>
      </c>
      <c r="H540" t="s">
        <v>9</v>
      </c>
      <c r="I540" t="s">
        <v>1520</v>
      </c>
      <c r="J540">
        <v>28</v>
      </c>
      <c r="K540" t="s">
        <v>1521</v>
      </c>
      <c r="L540" t="s">
        <v>1521</v>
      </c>
      <c r="M540">
        <v>0</v>
      </c>
      <c r="N540">
        <v>0</v>
      </c>
      <c r="O540">
        <v>1</v>
      </c>
      <c r="P540">
        <v>14.5</v>
      </c>
      <c r="Q540" t="s">
        <v>1528</v>
      </c>
      <c r="R540" t="s">
        <v>1514</v>
      </c>
    </row>
    <row r="541" spans="1:18" x14ac:dyDescent="0.45">
      <c r="A541">
        <v>540</v>
      </c>
      <c r="B541">
        <v>1</v>
      </c>
      <c r="C541" t="s">
        <v>1</v>
      </c>
      <c r="D541" t="s">
        <v>1553</v>
      </c>
      <c r="E541" t="s">
        <v>1223</v>
      </c>
      <c r="F541" t="s">
        <v>724</v>
      </c>
      <c r="G541" t="s">
        <v>494</v>
      </c>
      <c r="H541" t="s">
        <v>10</v>
      </c>
      <c r="I541" t="s">
        <v>1523</v>
      </c>
      <c r="J541">
        <v>22</v>
      </c>
      <c r="K541" t="s">
        <v>1521</v>
      </c>
      <c r="L541" t="s">
        <v>1521</v>
      </c>
      <c r="M541">
        <v>0</v>
      </c>
      <c r="N541">
        <v>2</v>
      </c>
      <c r="O541">
        <v>3</v>
      </c>
      <c r="P541">
        <v>49.5</v>
      </c>
      <c r="Q541" t="s">
        <v>1528</v>
      </c>
      <c r="R541" t="s">
        <v>1515</v>
      </c>
    </row>
    <row r="542" spans="1:18" x14ac:dyDescent="0.45">
      <c r="A542">
        <v>541</v>
      </c>
      <c r="B542">
        <v>1</v>
      </c>
      <c r="C542" t="s">
        <v>1</v>
      </c>
      <c r="D542" t="s">
        <v>1553</v>
      </c>
      <c r="E542" t="s">
        <v>1224</v>
      </c>
      <c r="F542" t="s">
        <v>724</v>
      </c>
      <c r="G542" t="s">
        <v>495</v>
      </c>
      <c r="H542" t="s">
        <v>10</v>
      </c>
      <c r="I542" t="s">
        <v>1523</v>
      </c>
      <c r="J542">
        <v>36</v>
      </c>
      <c r="K542" t="s">
        <v>1521</v>
      </c>
      <c r="L542" t="s">
        <v>1521</v>
      </c>
      <c r="M542">
        <v>0</v>
      </c>
      <c r="N542">
        <v>2</v>
      </c>
      <c r="O542">
        <v>3</v>
      </c>
      <c r="P542">
        <v>71</v>
      </c>
      <c r="Q542" t="s">
        <v>1528</v>
      </c>
      <c r="R542" t="s">
        <v>1514</v>
      </c>
    </row>
    <row r="543" spans="1:18" x14ac:dyDescent="0.45">
      <c r="A543">
        <v>542</v>
      </c>
      <c r="B543">
        <v>0</v>
      </c>
      <c r="C543" t="s">
        <v>1519</v>
      </c>
      <c r="D543" t="s">
        <v>1552</v>
      </c>
      <c r="E543" t="s">
        <v>1225</v>
      </c>
      <c r="F543" t="s">
        <v>724</v>
      </c>
      <c r="G543" t="s">
        <v>68</v>
      </c>
      <c r="H543" t="s">
        <v>10</v>
      </c>
      <c r="I543" t="s">
        <v>1523</v>
      </c>
      <c r="J543">
        <v>9</v>
      </c>
      <c r="K543" t="s">
        <v>1524</v>
      </c>
      <c r="L543" t="s">
        <v>1524</v>
      </c>
      <c r="M543">
        <v>4</v>
      </c>
      <c r="N543">
        <v>2</v>
      </c>
      <c r="O543">
        <v>7</v>
      </c>
      <c r="P543">
        <v>31.274999999999999</v>
      </c>
      <c r="Q543" t="s">
        <v>1528</v>
      </c>
      <c r="R543" t="s">
        <v>1514</v>
      </c>
    </row>
    <row r="544" spans="1:18" x14ac:dyDescent="0.45">
      <c r="A544">
        <v>543</v>
      </c>
      <c r="B544">
        <v>0</v>
      </c>
      <c r="C544" t="s">
        <v>1519</v>
      </c>
      <c r="D544" t="s">
        <v>1552</v>
      </c>
      <c r="E544" t="s">
        <v>1226</v>
      </c>
      <c r="F544" t="s">
        <v>724</v>
      </c>
      <c r="G544" t="s">
        <v>68</v>
      </c>
      <c r="H544" t="s">
        <v>10</v>
      </c>
      <c r="I544" t="s">
        <v>1523</v>
      </c>
      <c r="J544">
        <v>11</v>
      </c>
      <c r="K544" t="s">
        <v>1524</v>
      </c>
      <c r="L544" t="s">
        <v>1524</v>
      </c>
      <c r="M544">
        <v>4</v>
      </c>
      <c r="N544">
        <v>2</v>
      </c>
      <c r="O544">
        <v>7</v>
      </c>
      <c r="P544">
        <v>31.274999999999999</v>
      </c>
      <c r="Q544" t="s">
        <v>1528</v>
      </c>
      <c r="R544" t="s">
        <v>1514</v>
      </c>
    </row>
    <row r="545" spans="1:18" x14ac:dyDescent="0.45">
      <c r="A545">
        <v>544</v>
      </c>
      <c r="B545">
        <v>1</v>
      </c>
      <c r="C545" t="s">
        <v>1</v>
      </c>
      <c r="D545" t="s">
        <v>1554</v>
      </c>
      <c r="E545" t="s">
        <v>1227</v>
      </c>
      <c r="F545" t="s">
        <v>722</v>
      </c>
      <c r="G545" t="s">
        <v>496</v>
      </c>
      <c r="H545" t="s">
        <v>9</v>
      </c>
      <c r="I545" t="s">
        <v>1520</v>
      </c>
      <c r="J545">
        <v>32</v>
      </c>
      <c r="K545" t="s">
        <v>1521</v>
      </c>
      <c r="L545" t="s">
        <v>1521</v>
      </c>
      <c r="M545">
        <v>1</v>
      </c>
      <c r="N545">
        <v>0</v>
      </c>
      <c r="O545">
        <v>2</v>
      </c>
      <c r="P545">
        <v>26</v>
      </c>
      <c r="Q545" t="s">
        <v>1528</v>
      </c>
      <c r="R545" t="s">
        <v>1514</v>
      </c>
    </row>
    <row r="546" spans="1:18" x14ac:dyDescent="0.45">
      <c r="A546">
        <v>545</v>
      </c>
      <c r="B546">
        <v>0</v>
      </c>
      <c r="C546" t="s">
        <v>1519</v>
      </c>
      <c r="D546" t="s">
        <v>1553</v>
      </c>
      <c r="E546" t="s">
        <v>1228</v>
      </c>
      <c r="F546" t="s">
        <v>722</v>
      </c>
      <c r="G546" t="s">
        <v>497</v>
      </c>
      <c r="H546" t="s">
        <v>9</v>
      </c>
      <c r="I546" t="s">
        <v>1520</v>
      </c>
      <c r="J546">
        <v>50</v>
      </c>
      <c r="K546" t="s">
        <v>1521</v>
      </c>
      <c r="L546" t="s">
        <v>1521</v>
      </c>
      <c r="M546">
        <v>1</v>
      </c>
      <c r="N546">
        <v>0</v>
      </c>
      <c r="O546">
        <v>2</v>
      </c>
      <c r="P546" t="s">
        <v>42</v>
      </c>
      <c r="Q546" t="s">
        <v>1528</v>
      </c>
      <c r="R546" t="s">
        <v>1515</v>
      </c>
    </row>
    <row r="547" spans="1:18" x14ac:dyDescent="0.45">
      <c r="A547">
        <v>546</v>
      </c>
      <c r="B547">
        <v>0</v>
      </c>
      <c r="C547" t="s">
        <v>1519</v>
      </c>
      <c r="D547" t="s">
        <v>1553</v>
      </c>
      <c r="E547" t="s">
        <v>1229</v>
      </c>
      <c r="F547" t="s">
        <v>722</v>
      </c>
      <c r="G547" t="s">
        <v>498</v>
      </c>
      <c r="H547" t="s">
        <v>9</v>
      </c>
      <c r="I547" t="s">
        <v>1520</v>
      </c>
      <c r="J547">
        <v>64</v>
      </c>
      <c r="K547" t="s">
        <v>1527</v>
      </c>
      <c r="L547" t="s">
        <v>1527</v>
      </c>
      <c r="M547">
        <v>0</v>
      </c>
      <c r="N547">
        <v>0</v>
      </c>
      <c r="O547">
        <v>1</v>
      </c>
      <c r="P547">
        <v>26</v>
      </c>
      <c r="Q547" t="s">
        <v>1528</v>
      </c>
      <c r="R547" t="s">
        <v>1514</v>
      </c>
    </row>
    <row r="548" spans="1:18" x14ac:dyDescent="0.45">
      <c r="A548">
        <v>547</v>
      </c>
      <c r="B548">
        <v>1</v>
      </c>
      <c r="C548" t="s">
        <v>1</v>
      </c>
      <c r="D548" t="s">
        <v>1554</v>
      </c>
      <c r="E548" t="s">
        <v>1230</v>
      </c>
      <c r="F548" t="s">
        <v>723</v>
      </c>
      <c r="G548" t="s">
        <v>496</v>
      </c>
      <c r="H548" t="s">
        <v>10</v>
      </c>
      <c r="I548" t="s">
        <v>1523</v>
      </c>
      <c r="J548">
        <v>19</v>
      </c>
      <c r="K548" t="s">
        <v>1521</v>
      </c>
      <c r="L548" t="s">
        <v>1521</v>
      </c>
      <c r="M548">
        <v>1</v>
      </c>
      <c r="N548">
        <v>0</v>
      </c>
      <c r="O548">
        <v>2</v>
      </c>
      <c r="P548">
        <v>26</v>
      </c>
      <c r="Q548" t="s">
        <v>1528</v>
      </c>
      <c r="R548" t="s">
        <v>1514</v>
      </c>
    </row>
    <row r="549" spans="1:18" x14ac:dyDescent="0.45">
      <c r="A549">
        <v>548</v>
      </c>
      <c r="B549">
        <v>1</v>
      </c>
      <c r="C549" t="s">
        <v>1</v>
      </c>
      <c r="D549" t="s">
        <v>1554</v>
      </c>
      <c r="E549" t="s">
        <v>1231</v>
      </c>
      <c r="F549" t="s">
        <v>722</v>
      </c>
      <c r="G549" t="s">
        <v>499</v>
      </c>
      <c r="H549" t="s">
        <v>9</v>
      </c>
      <c r="I549" t="s">
        <v>1520</v>
      </c>
      <c r="J549">
        <v>28</v>
      </c>
      <c r="K549" t="s">
        <v>1521</v>
      </c>
      <c r="L549" t="s">
        <v>1521</v>
      </c>
      <c r="M549">
        <v>0</v>
      </c>
      <c r="N549">
        <v>0</v>
      </c>
      <c r="O549">
        <v>1</v>
      </c>
      <c r="P549">
        <v>13.862500000000001</v>
      </c>
      <c r="Q549" t="s">
        <v>1528</v>
      </c>
      <c r="R549" t="s">
        <v>1515</v>
      </c>
    </row>
    <row r="550" spans="1:18" x14ac:dyDescent="0.45">
      <c r="A550">
        <v>549</v>
      </c>
      <c r="B550">
        <v>0</v>
      </c>
      <c r="C550" t="s">
        <v>1519</v>
      </c>
      <c r="D550" t="s">
        <v>1552</v>
      </c>
      <c r="E550" t="s">
        <v>1232</v>
      </c>
      <c r="F550" t="s">
        <v>722</v>
      </c>
      <c r="G550" t="s">
        <v>204</v>
      </c>
      <c r="H550" t="s">
        <v>9</v>
      </c>
      <c r="I550" t="s">
        <v>1520</v>
      </c>
      <c r="J550">
        <v>33</v>
      </c>
      <c r="K550" t="s">
        <v>1521</v>
      </c>
      <c r="L550" t="s">
        <v>1521</v>
      </c>
      <c r="M550">
        <v>1</v>
      </c>
      <c r="N550">
        <v>1</v>
      </c>
      <c r="O550">
        <v>3</v>
      </c>
      <c r="P550" t="s">
        <v>24</v>
      </c>
      <c r="Q550" t="s">
        <v>1528</v>
      </c>
      <c r="R550" t="s">
        <v>1514</v>
      </c>
    </row>
    <row r="551" spans="1:18" x14ac:dyDescent="0.45">
      <c r="A551">
        <v>550</v>
      </c>
      <c r="B551">
        <v>1</v>
      </c>
      <c r="C551" t="s">
        <v>1</v>
      </c>
      <c r="D551" t="s">
        <v>1554</v>
      </c>
      <c r="E551" t="s">
        <v>1233</v>
      </c>
      <c r="F551" t="s">
        <v>725</v>
      </c>
      <c r="G551" t="s">
        <v>380</v>
      </c>
      <c r="H551" t="s">
        <v>9</v>
      </c>
      <c r="I551" t="s">
        <v>1520</v>
      </c>
      <c r="J551">
        <v>8</v>
      </c>
      <c r="K551" t="s">
        <v>1524</v>
      </c>
      <c r="L551" t="s">
        <v>1524</v>
      </c>
      <c r="M551">
        <v>1</v>
      </c>
      <c r="N551">
        <v>1</v>
      </c>
      <c r="O551">
        <v>3</v>
      </c>
      <c r="P551">
        <v>36.75</v>
      </c>
      <c r="Q551" t="s">
        <v>1528</v>
      </c>
      <c r="R551" t="s">
        <v>1514</v>
      </c>
    </row>
    <row r="552" spans="1:18" x14ac:dyDescent="0.45">
      <c r="A552">
        <v>551</v>
      </c>
      <c r="B552">
        <v>1</v>
      </c>
      <c r="C552" t="s">
        <v>1</v>
      </c>
      <c r="D552" t="s">
        <v>1553</v>
      </c>
      <c r="E552" t="s">
        <v>1234</v>
      </c>
      <c r="F552" t="s">
        <v>722</v>
      </c>
      <c r="G552" t="s">
        <v>500</v>
      </c>
      <c r="H552" t="s">
        <v>9</v>
      </c>
      <c r="I552" t="s">
        <v>1520</v>
      </c>
      <c r="J552">
        <v>17</v>
      </c>
      <c r="K552" t="s">
        <v>1525</v>
      </c>
      <c r="L552" t="s">
        <v>1525</v>
      </c>
      <c r="M552">
        <v>0</v>
      </c>
      <c r="N552">
        <v>2</v>
      </c>
      <c r="O552">
        <v>3</v>
      </c>
      <c r="P552" t="s">
        <v>34</v>
      </c>
      <c r="Q552" t="s">
        <v>1528</v>
      </c>
      <c r="R552" t="s">
        <v>1515</v>
      </c>
    </row>
    <row r="553" spans="1:18" x14ac:dyDescent="0.45">
      <c r="A553">
        <v>552</v>
      </c>
      <c r="B553">
        <v>0</v>
      </c>
      <c r="C553" t="s">
        <v>1519</v>
      </c>
      <c r="D553" t="s">
        <v>1554</v>
      </c>
      <c r="E553" t="s">
        <v>1235</v>
      </c>
      <c r="F553" t="s">
        <v>722</v>
      </c>
      <c r="G553" t="s">
        <v>501</v>
      </c>
      <c r="H553" t="s">
        <v>9</v>
      </c>
      <c r="I553" t="s">
        <v>1520</v>
      </c>
      <c r="J553">
        <v>27</v>
      </c>
      <c r="K553" t="s">
        <v>1521</v>
      </c>
      <c r="L553" t="s">
        <v>1521</v>
      </c>
      <c r="M553">
        <v>0</v>
      </c>
      <c r="N553">
        <v>0</v>
      </c>
      <c r="O553">
        <v>1</v>
      </c>
      <c r="P553">
        <v>26</v>
      </c>
      <c r="Q553" t="s">
        <v>1528</v>
      </c>
      <c r="R553" t="s">
        <v>1514</v>
      </c>
    </row>
    <row r="554" spans="1:18" x14ac:dyDescent="0.45">
      <c r="A554">
        <v>553</v>
      </c>
      <c r="B554">
        <v>0</v>
      </c>
      <c r="C554" t="s">
        <v>1519</v>
      </c>
      <c r="D554" t="s">
        <v>1552</v>
      </c>
      <c r="E554" t="s">
        <v>1236</v>
      </c>
      <c r="F554" t="s">
        <v>722</v>
      </c>
      <c r="G554" t="s">
        <v>220</v>
      </c>
      <c r="H554" t="s">
        <v>9</v>
      </c>
      <c r="I554" t="s">
        <v>1520</v>
      </c>
      <c r="J554">
        <v>28</v>
      </c>
      <c r="K554" t="s">
        <v>1521</v>
      </c>
      <c r="L554" t="s">
        <v>1521</v>
      </c>
      <c r="M554">
        <v>0</v>
      </c>
      <c r="N554">
        <v>0</v>
      </c>
      <c r="O554">
        <v>1</v>
      </c>
      <c r="P554">
        <v>7.8292000000000002</v>
      </c>
      <c r="Q554" t="s">
        <v>1528</v>
      </c>
      <c r="R554" t="s">
        <v>1516</v>
      </c>
    </row>
    <row r="555" spans="1:18" x14ac:dyDescent="0.45">
      <c r="A555">
        <v>554</v>
      </c>
      <c r="B555">
        <v>1</v>
      </c>
      <c r="C555" t="s">
        <v>1</v>
      </c>
      <c r="D555" t="s">
        <v>1552</v>
      </c>
      <c r="E555" t="s">
        <v>1237</v>
      </c>
      <c r="F555" t="s">
        <v>722</v>
      </c>
      <c r="G555" t="s">
        <v>502</v>
      </c>
      <c r="H555" t="s">
        <v>9</v>
      </c>
      <c r="I555" t="s">
        <v>1520</v>
      </c>
      <c r="J555">
        <v>22</v>
      </c>
      <c r="K555" t="s">
        <v>1521</v>
      </c>
      <c r="L555" t="s">
        <v>1521</v>
      </c>
      <c r="M555">
        <v>0</v>
      </c>
      <c r="N555">
        <v>0</v>
      </c>
      <c r="O555">
        <v>1</v>
      </c>
      <c r="P555">
        <v>7.2249999999999996</v>
      </c>
      <c r="Q555" t="s">
        <v>1528</v>
      </c>
      <c r="R555" t="s">
        <v>1515</v>
      </c>
    </row>
    <row r="556" spans="1:18" x14ac:dyDescent="0.45">
      <c r="A556">
        <v>555</v>
      </c>
      <c r="B556">
        <v>1</v>
      </c>
      <c r="C556" t="s">
        <v>1</v>
      </c>
      <c r="D556" t="s">
        <v>1552</v>
      </c>
      <c r="E556" t="s">
        <v>1238</v>
      </c>
      <c r="F556" t="s">
        <v>724</v>
      </c>
      <c r="G556" t="s">
        <v>503</v>
      </c>
      <c r="H556" t="s">
        <v>10</v>
      </c>
      <c r="I556" t="s">
        <v>1523</v>
      </c>
      <c r="J556">
        <v>22</v>
      </c>
      <c r="K556" t="s">
        <v>1521</v>
      </c>
      <c r="L556" t="s">
        <v>1521</v>
      </c>
      <c r="M556">
        <v>0</v>
      </c>
      <c r="N556">
        <v>0</v>
      </c>
      <c r="O556">
        <v>1</v>
      </c>
      <c r="P556">
        <v>7.7750000000000004</v>
      </c>
      <c r="Q556" t="s">
        <v>1528</v>
      </c>
      <c r="R556" t="s">
        <v>1514</v>
      </c>
    </row>
    <row r="557" spans="1:18" x14ac:dyDescent="0.45">
      <c r="A557">
        <v>556</v>
      </c>
      <c r="B557">
        <v>0</v>
      </c>
      <c r="C557" t="s">
        <v>1519</v>
      </c>
      <c r="D557" t="s">
        <v>1553</v>
      </c>
      <c r="E557" t="s">
        <v>1239</v>
      </c>
      <c r="F557" t="s">
        <v>722</v>
      </c>
      <c r="G557" t="s">
        <v>504</v>
      </c>
      <c r="H557" t="s">
        <v>9</v>
      </c>
      <c r="I557" t="s">
        <v>1520</v>
      </c>
      <c r="J557">
        <v>62</v>
      </c>
      <c r="K557" t="s">
        <v>1527</v>
      </c>
      <c r="L557" t="s">
        <v>1527</v>
      </c>
      <c r="M557">
        <v>0</v>
      </c>
      <c r="N557">
        <v>0</v>
      </c>
      <c r="O557">
        <v>1</v>
      </c>
      <c r="P557">
        <v>26.55</v>
      </c>
      <c r="Q557" t="s">
        <v>1528</v>
      </c>
      <c r="R557" t="s">
        <v>1514</v>
      </c>
    </row>
    <row r="558" spans="1:18" x14ac:dyDescent="0.45">
      <c r="A558">
        <v>557</v>
      </c>
      <c r="B558">
        <v>1</v>
      </c>
      <c r="C558" t="s">
        <v>1</v>
      </c>
      <c r="D558" t="s">
        <v>1553</v>
      </c>
      <c r="E558" t="s">
        <v>753</v>
      </c>
      <c r="F558" t="s">
        <v>732</v>
      </c>
      <c r="G558" t="s">
        <v>505</v>
      </c>
      <c r="H558" t="s">
        <v>10</v>
      </c>
      <c r="I558" t="s">
        <v>1523</v>
      </c>
      <c r="J558">
        <v>48</v>
      </c>
      <c r="K558" t="s">
        <v>1521</v>
      </c>
      <c r="L558" t="s">
        <v>1521</v>
      </c>
      <c r="M558">
        <v>1</v>
      </c>
      <c r="N558">
        <v>0</v>
      </c>
      <c r="O558">
        <v>2</v>
      </c>
      <c r="P558">
        <v>39.6</v>
      </c>
      <c r="Q558" t="s">
        <v>1528</v>
      </c>
      <c r="R558" t="s">
        <v>1515</v>
      </c>
    </row>
    <row r="559" spans="1:18" x14ac:dyDescent="0.45">
      <c r="A559">
        <v>558</v>
      </c>
      <c r="B559">
        <v>0</v>
      </c>
      <c r="C559" t="s">
        <v>1519</v>
      </c>
      <c r="D559" t="s">
        <v>1553</v>
      </c>
      <c r="E559" t="s">
        <v>874</v>
      </c>
      <c r="F559" t="s">
        <v>722</v>
      </c>
      <c r="G559" t="s">
        <v>506</v>
      </c>
      <c r="H559" t="s">
        <v>9</v>
      </c>
      <c r="I559" t="s">
        <v>1520</v>
      </c>
      <c r="J559">
        <v>28</v>
      </c>
      <c r="K559" t="s">
        <v>1521</v>
      </c>
      <c r="L559" t="s">
        <v>1521</v>
      </c>
      <c r="M559">
        <v>0</v>
      </c>
      <c r="N559">
        <v>0</v>
      </c>
      <c r="O559">
        <v>1</v>
      </c>
      <c r="P559">
        <v>227.52500000000001</v>
      </c>
      <c r="Q559" t="s">
        <v>1528</v>
      </c>
      <c r="R559" t="s">
        <v>1515</v>
      </c>
    </row>
    <row r="560" spans="1:18" x14ac:dyDescent="0.45">
      <c r="A560">
        <v>559</v>
      </c>
      <c r="B560">
        <v>1</v>
      </c>
      <c r="C560" t="s">
        <v>1</v>
      </c>
      <c r="D560" t="s">
        <v>1553</v>
      </c>
      <c r="E560" t="s">
        <v>1240</v>
      </c>
      <c r="F560" t="s">
        <v>723</v>
      </c>
      <c r="G560" t="s">
        <v>283</v>
      </c>
      <c r="H560" t="s">
        <v>10</v>
      </c>
      <c r="I560" t="s">
        <v>1523</v>
      </c>
      <c r="J560">
        <v>39</v>
      </c>
      <c r="K560" t="s">
        <v>1521</v>
      </c>
      <c r="L560" t="s">
        <v>1521</v>
      </c>
      <c r="M560">
        <v>1</v>
      </c>
      <c r="N560">
        <v>1</v>
      </c>
      <c r="O560">
        <v>3</v>
      </c>
      <c r="P560">
        <v>79.650000000000006</v>
      </c>
      <c r="Q560" t="s">
        <v>1528</v>
      </c>
      <c r="R560" t="s">
        <v>1514</v>
      </c>
    </row>
    <row r="561" spans="1:18" x14ac:dyDescent="0.45">
      <c r="A561">
        <v>560</v>
      </c>
      <c r="B561">
        <v>1</v>
      </c>
      <c r="C561" t="s">
        <v>1</v>
      </c>
      <c r="D561" t="s">
        <v>1552</v>
      </c>
      <c r="E561" t="s">
        <v>1241</v>
      </c>
      <c r="F561" t="s">
        <v>723</v>
      </c>
      <c r="G561" t="s">
        <v>507</v>
      </c>
      <c r="H561" t="s">
        <v>10</v>
      </c>
      <c r="I561" t="s">
        <v>1523</v>
      </c>
      <c r="J561">
        <v>36</v>
      </c>
      <c r="K561" t="s">
        <v>1521</v>
      </c>
      <c r="L561" t="s">
        <v>1521</v>
      </c>
      <c r="M561">
        <v>1</v>
      </c>
      <c r="N561">
        <v>0</v>
      </c>
      <c r="O561">
        <v>2</v>
      </c>
      <c r="P561">
        <v>17.399999999999999</v>
      </c>
      <c r="Q561" t="s">
        <v>1528</v>
      </c>
      <c r="R561" t="s">
        <v>1514</v>
      </c>
    </row>
    <row r="562" spans="1:18" x14ac:dyDescent="0.45">
      <c r="A562">
        <v>561</v>
      </c>
      <c r="B562">
        <v>0</v>
      </c>
      <c r="C562" t="s">
        <v>1519</v>
      </c>
      <c r="D562" t="s">
        <v>1552</v>
      </c>
      <c r="E562" t="s">
        <v>1242</v>
      </c>
      <c r="F562" t="s">
        <v>722</v>
      </c>
      <c r="G562" t="s">
        <v>508</v>
      </c>
      <c r="H562" t="s">
        <v>9</v>
      </c>
      <c r="I562" t="s">
        <v>1520</v>
      </c>
      <c r="J562">
        <v>28</v>
      </c>
      <c r="K562" t="s">
        <v>1521</v>
      </c>
      <c r="L562" t="s">
        <v>1521</v>
      </c>
      <c r="M562">
        <v>0</v>
      </c>
      <c r="N562">
        <v>0</v>
      </c>
      <c r="O562">
        <v>1</v>
      </c>
      <c r="P562">
        <v>7.75</v>
      </c>
      <c r="Q562" t="s">
        <v>1528</v>
      </c>
      <c r="R562" t="s">
        <v>1516</v>
      </c>
    </row>
    <row r="563" spans="1:18" x14ac:dyDescent="0.45">
      <c r="A563">
        <v>562</v>
      </c>
      <c r="B563">
        <v>0</v>
      </c>
      <c r="C563" t="s">
        <v>1519</v>
      </c>
      <c r="D563" t="s">
        <v>1552</v>
      </c>
      <c r="E563" t="s">
        <v>1243</v>
      </c>
      <c r="F563" t="s">
        <v>722</v>
      </c>
      <c r="G563" t="s">
        <v>509</v>
      </c>
      <c r="H563" t="s">
        <v>9</v>
      </c>
      <c r="I563" t="s">
        <v>1520</v>
      </c>
      <c r="J563">
        <v>40</v>
      </c>
      <c r="K563" t="s">
        <v>1521</v>
      </c>
      <c r="L563" t="s">
        <v>1521</v>
      </c>
      <c r="M563">
        <v>0</v>
      </c>
      <c r="N563">
        <v>0</v>
      </c>
      <c r="O563">
        <v>1</v>
      </c>
      <c r="P563">
        <v>7.8958000000000004</v>
      </c>
      <c r="Q563" t="s">
        <v>1528</v>
      </c>
      <c r="R563" t="s">
        <v>1514</v>
      </c>
    </row>
    <row r="564" spans="1:18" x14ac:dyDescent="0.45">
      <c r="A564">
        <v>563</v>
      </c>
      <c r="B564">
        <v>0</v>
      </c>
      <c r="C564" t="s">
        <v>1519</v>
      </c>
      <c r="D564" t="s">
        <v>1554</v>
      </c>
      <c r="E564" t="s">
        <v>1244</v>
      </c>
      <c r="F564" t="s">
        <v>722</v>
      </c>
      <c r="G564" t="s">
        <v>510</v>
      </c>
      <c r="H564" t="s">
        <v>9</v>
      </c>
      <c r="I564" t="s">
        <v>1520</v>
      </c>
      <c r="J564">
        <v>28</v>
      </c>
      <c r="K564" t="s">
        <v>1521</v>
      </c>
      <c r="L564" t="s">
        <v>1521</v>
      </c>
      <c r="M564">
        <v>0</v>
      </c>
      <c r="N564">
        <v>0</v>
      </c>
      <c r="O564">
        <v>1</v>
      </c>
      <c r="P564">
        <v>13.5</v>
      </c>
      <c r="Q564" t="s">
        <v>1528</v>
      </c>
      <c r="R564" t="s">
        <v>1514</v>
      </c>
    </row>
    <row r="565" spans="1:18" x14ac:dyDescent="0.45">
      <c r="A565">
        <v>564</v>
      </c>
      <c r="B565">
        <v>0</v>
      </c>
      <c r="C565" t="s">
        <v>1519</v>
      </c>
      <c r="D565" t="s">
        <v>1552</v>
      </c>
      <c r="E565" t="s">
        <v>920</v>
      </c>
      <c r="F565" t="s">
        <v>722</v>
      </c>
      <c r="G565" t="s">
        <v>511</v>
      </c>
      <c r="H565" t="s">
        <v>9</v>
      </c>
      <c r="I565" t="s">
        <v>1520</v>
      </c>
      <c r="J565">
        <v>28</v>
      </c>
      <c r="K565" t="s">
        <v>1521</v>
      </c>
      <c r="L565" t="s">
        <v>1521</v>
      </c>
      <c r="M565">
        <v>0</v>
      </c>
      <c r="N565">
        <v>0</v>
      </c>
      <c r="O565">
        <v>1</v>
      </c>
      <c r="P565" t="s">
        <v>12</v>
      </c>
      <c r="Q565" t="s">
        <v>1528</v>
      </c>
      <c r="R565" t="s">
        <v>1514</v>
      </c>
    </row>
    <row r="566" spans="1:18" x14ac:dyDescent="0.45">
      <c r="A566">
        <v>565</v>
      </c>
      <c r="B566">
        <v>0</v>
      </c>
      <c r="C566" t="s">
        <v>1519</v>
      </c>
      <c r="D566" t="s">
        <v>1552</v>
      </c>
      <c r="E566" t="s">
        <v>753</v>
      </c>
      <c r="F566" t="s">
        <v>724</v>
      </c>
      <c r="G566" t="s">
        <v>512</v>
      </c>
      <c r="H566" t="s">
        <v>10</v>
      </c>
      <c r="I566" t="s">
        <v>1523</v>
      </c>
      <c r="J566">
        <v>28</v>
      </c>
      <c r="K566" t="s">
        <v>1521</v>
      </c>
      <c r="L566" t="s">
        <v>1521</v>
      </c>
      <c r="M566">
        <v>0</v>
      </c>
      <c r="N566">
        <v>0</v>
      </c>
      <c r="O566">
        <v>1</v>
      </c>
      <c r="P566" t="s">
        <v>12</v>
      </c>
      <c r="Q566" t="s">
        <v>1528</v>
      </c>
      <c r="R566" t="s">
        <v>1514</v>
      </c>
    </row>
    <row r="567" spans="1:18" x14ac:dyDescent="0.45">
      <c r="A567">
        <v>566</v>
      </c>
      <c r="B567">
        <v>0</v>
      </c>
      <c r="C567" t="s">
        <v>1519</v>
      </c>
      <c r="D567" t="s">
        <v>1552</v>
      </c>
      <c r="E567" t="s">
        <v>1245</v>
      </c>
      <c r="F567" t="s">
        <v>722</v>
      </c>
      <c r="G567" t="s">
        <v>380</v>
      </c>
      <c r="H567" t="s">
        <v>9</v>
      </c>
      <c r="I567" t="s">
        <v>1520</v>
      </c>
      <c r="J567">
        <v>24</v>
      </c>
      <c r="K567" t="s">
        <v>1521</v>
      </c>
      <c r="L567" t="s">
        <v>1521</v>
      </c>
      <c r="M567">
        <v>2</v>
      </c>
      <c r="N567">
        <v>0</v>
      </c>
      <c r="O567">
        <v>3</v>
      </c>
      <c r="P567">
        <v>24.15</v>
      </c>
      <c r="Q567" t="s">
        <v>1528</v>
      </c>
      <c r="R567" t="s">
        <v>1514</v>
      </c>
    </row>
    <row r="568" spans="1:18" x14ac:dyDescent="0.45">
      <c r="A568">
        <v>567</v>
      </c>
      <c r="B568">
        <v>0</v>
      </c>
      <c r="C568" t="s">
        <v>1519</v>
      </c>
      <c r="D568" t="s">
        <v>1552</v>
      </c>
      <c r="E568" t="s">
        <v>1246</v>
      </c>
      <c r="F568" t="s">
        <v>722</v>
      </c>
      <c r="G568" t="s">
        <v>513</v>
      </c>
      <c r="H568" t="s">
        <v>9</v>
      </c>
      <c r="I568" t="s">
        <v>1520</v>
      </c>
      <c r="J568">
        <v>19</v>
      </c>
      <c r="K568" t="s">
        <v>1521</v>
      </c>
      <c r="L568" t="s">
        <v>1521</v>
      </c>
      <c r="M568">
        <v>0</v>
      </c>
      <c r="N568">
        <v>0</v>
      </c>
      <c r="O568">
        <v>1</v>
      </c>
      <c r="P568">
        <v>7.8958000000000004</v>
      </c>
      <c r="Q568" t="s">
        <v>1528</v>
      </c>
      <c r="R568" t="s">
        <v>1514</v>
      </c>
    </row>
    <row r="569" spans="1:18" x14ac:dyDescent="0.45">
      <c r="A569">
        <v>568</v>
      </c>
      <c r="B569">
        <v>0</v>
      </c>
      <c r="C569" t="s">
        <v>1519</v>
      </c>
      <c r="D569" t="s">
        <v>1552</v>
      </c>
      <c r="E569" t="s">
        <v>1247</v>
      </c>
      <c r="F569" t="s">
        <v>723</v>
      </c>
      <c r="G569" t="s">
        <v>62</v>
      </c>
      <c r="H569" t="s">
        <v>10</v>
      </c>
      <c r="I569" t="s">
        <v>1523</v>
      </c>
      <c r="J569">
        <v>29</v>
      </c>
      <c r="K569" t="s">
        <v>1521</v>
      </c>
      <c r="L569" t="s">
        <v>1521</v>
      </c>
      <c r="M569">
        <v>0</v>
      </c>
      <c r="N569">
        <v>4</v>
      </c>
      <c r="O569">
        <v>5</v>
      </c>
      <c r="P569" t="s">
        <v>13</v>
      </c>
      <c r="Q569" t="s">
        <v>1528</v>
      </c>
      <c r="R569" t="s">
        <v>1514</v>
      </c>
    </row>
    <row r="570" spans="1:18" x14ac:dyDescent="0.45">
      <c r="A570">
        <v>569</v>
      </c>
      <c r="B570">
        <v>0</v>
      </c>
      <c r="C570" t="s">
        <v>1519</v>
      </c>
      <c r="D570" t="s">
        <v>1552</v>
      </c>
      <c r="E570" t="s">
        <v>1067</v>
      </c>
      <c r="F570" t="s">
        <v>722</v>
      </c>
      <c r="G570" t="s">
        <v>514</v>
      </c>
      <c r="H570" t="s">
        <v>9</v>
      </c>
      <c r="I570" t="s">
        <v>1520</v>
      </c>
      <c r="J570">
        <v>28</v>
      </c>
      <c r="K570" t="s">
        <v>1521</v>
      </c>
      <c r="L570" t="s">
        <v>1521</v>
      </c>
      <c r="M570">
        <v>0</v>
      </c>
      <c r="N570">
        <v>0</v>
      </c>
      <c r="O570">
        <v>1</v>
      </c>
      <c r="P570">
        <v>7.2291999999999996</v>
      </c>
      <c r="Q570" t="s">
        <v>1528</v>
      </c>
      <c r="R570" t="s">
        <v>1515</v>
      </c>
    </row>
    <row r="571" spans="1:18" x14ac:dyDescent="0.45">
      <c r="A571">
        <v>570</v>
      </c>
      <c r="B571">
        <v>1</v>
      </c>
      <c r="C571" t="s">
        <v>1</v>
      </c>
      <c r="D571" t="s">
        <v>1552</v>
      </c>
      <c r="E571" t="s">
        <v>1248</v>
      </c>
      <c r="F571" t="s">
        <v>722</v>
      </c>
      <c r="G571" t="s">
        <v>515</v>
      </c>
      <c r="H571" t="s">
        <v>9</v>
      </c>
      <c r="I571" t="s">
        <v>1520</v>
      </c>
      <c r="J571">
        <v>32</v>
      </c>
      <c r="K571" t="s">
        <v>1521</v>
      </c>
      <c r="L571" t="s">
        <v>1521</v>
      </c>
      <c r="M571">
        <v>0</v>
      </c>
      <c r="N571">
        <v>0</v>
      </c>
      <c r="O571">
        <v>1</v>
      </c>
      <c r="P571">
        <v>7.8541999999999996</v>
      </c>
      <c r="Q571" t="s">
        <v>1528</v>
      </c>
      <c r="R571" t="s">
        <v>1514</v>
      </c>
    </row>
    <row r="572" spans="1:18" x14ac:dyDescent="0.45">
      <c r="A572">
        <v>571</v>
      </c>
      <c r="B572">
        <v>1</v>
      </c>
      <c r="C572" t="s">
        <v>1</v>
      </c>
      <c r="D572" t="s">
        <v>1554</v>
      </c>
      <c r="E572" t="s">
        <v>1239</v>
      </c>
      <c r="F572" t="s">
        <v>722</v>
      </c>
      <c r="G572" t="s">
        <v>115</v>
      </c>
      <c r="H572" t="s">
        <v>9</v>
      </c>
      <c r="I572" t="s">
        <v>1520</v>
      </c>
      <c r="J572">
        <v>62</v>
      </c>
      <c r="K572" t="s">
        <v>1527</v>
      </c>
      <c r="L572" t="s">
        <v>1527</v>
      </c>
      <c r="M572">
        <v>0</v>
      </c>
      <c r="N572">
        <v>0</v>
      </c>
      <c r="O572">
        <v>1</v>
      </c>
      <c r="P572" t="s">
        <v>18</v>
      </c>
      <c r="Q572" t="s">
        <v>1528</v>
      </c>
      <c r="R572" t="s">
        <v>1514</v>
      </c>
    </row>
    <row r="573" spans="1:18" x14ac:dyDescent="0.45">
      <c r="A573">
        <v>572</v>
      </c>
      <c r="B573">
        <v>1</v>
      </c>
      <c r="C573" t="s">
        <v>1</v>
      </c>
      <c r="D573" t="s">
        <v>1553</v>
      </c>
      <c r="E573" t="s">
        <v>1249</v>
      </c>
      <c r="F573" t="s">
        <v>723</v>
      </c>
      <c r="G573" t="s">
        <v>516</v>
      </c>
      <c r="H573" t="s">
        <v>10</v>
      </c>
      <c r="I573" t="s">
        <v>1523</v>
      </c>
      <c r="J573">
        <v>53</v>
      </c>
      <c r="K573" t="s">
        <v>1521</v>
      </c>
      <c r="L573" t="s">
        <v>1521</v>
      </c>
      <c r="M573">
        <v>2</v>
      </c>
      <c r="N573">
        <v>0</v>
      </c>
      <c r="O573">
        <v>3</v>
      </c>
      <c r="P573">
        <v>51.479199999999999</v>
      </c>
      <c r="Q573" t="s">
        <v>1528</v>
      </c>
      <c r="R573" t="s">
        <v>1514</v>
      </c>
    </row>
    <row r="574" spans="1:18" x14ac:dyDescent="0.45">
      <c r="A574">
        <v>573</v>
      </c>
      <c r="B574">
        <v>1</v>
      </c>
      <c r="C574" t="s">
        <v>1</v>
      </c>
      <c r="D574" t="s">
        <v>1553</v>
      </c>
      <c r="E574" t="s">
        <v>1250</v>
      </c>
      <c r="F574" t="s">
        <v>722</v>
      </c>
      <c r="G574" t="s">
        <v>410</v>
      </c>
      <c r="H574" t="s">
        <v>9</v>
      </c>
      <c r="I574" t="s">
        <v>1520</v>
      </c>
      <c r="J574">
        <v>36</v>
      </c>
      <c r="K574" t="s">
        <v>1521</v>
      </c>
      <c r="L574" t="s">
        <v>1521</v>
      </c>
      <c r="M574">
        <v>0</v>
      </c>
      <c r="N574">
        <v>0</v>
      </c>
      <c r="O574">
        <v>1</v>
      </c>
      <c r="P574">
        <v>26.387499999999999</v>
      </c>
      <c r="Q574" t="s">
        <v>1528</v>
      </c>
      <c r="R574" t="s">
        <v>1514</v>
      </c>
    </row>
    <row r="575" spans="1:18" x14ac:dyDescent="0.45">
      <c r="A575">
        <v>574</v>
      </c>
      <c r="B575">
        <v>1</v>
      </c>
      <c r="C575" t="s">
        <v>1</v>
      </c>
      <c r="D575" t="s">
        <v>1552</v>
      </c>
      <c r="E575" t="s">
        <v>1073</v>
      </c>
      <c r="F575" t="s">
        <v>724</v>
      </c>
      <c r="G575" t="s">
        <v>317</v>
      </c>
      <c r="H575" t="s">
        <v>10</v>
      </c>
      <c r="I575" t="s">
        <v>1523</v>
      </c>
      <c r="J575">
        <v>28</v>
      </c>
      <c r="K575" t="s">
        <v>1521</v>
      </c>
      <c r="L575" t="s">
        <v>1521</v>
      </c>
      <c r="M575">
        <v>0</v>
      </c>
      <c r="N575">
        <v>0</v>
      </c>
      <c r="O575">
        <v>1</v>
      </c>
      <c r="P575">
        <v>7.75</v>
      </c>
      <c r="Q575" t="s">
        <v>1528</v>
      </c>
      <c r="R575" t="s">
        <v>1516</v>
      </c>
    </row>
    <row r="576" spans="1:18" x14ac:dyDescent="0.45">
      <c r="A576">
        <v>575</v>
      </c>
      <c r="B576">
        <v>0</v>
      </c>
      <c r="C576" t="s">
        <v>1519</v>
      </c>
      <c r="D576" t="s">
        <v>1552</v>
      </c>
      <c r="E576" t="s">
        <v>1251</v>
      </c>
      <c r="F576" t="s">
        <v>722</v>
      </c>
      <c r="G576" t="s">
        <v>517</v>
      </c>
      <c r="H576" t="s">
        <v>9</v>
      </c>
      <c r="I576" t="s">
        <v>1520</v>
      </c>
      <c r="J576">
        <v>16</v>
      </c>
      <c r="K576" t="s">
        <v>1525</v>
      </c>
      <c r="L576" t="s">
        <v>1525</v>
      </c>
      <c r="M576">
        <v>0</v>
      </c>
      <c r="N576">
        <v>0</v>
      </c>
      <c r="O576">
        <v>1</v>
      </c>
      <c r="P576" t="s">
        <v>12</v>
      </c>
      <c r="Q576" t="s">
        <v>1528</v>
      </c>
      <c r="R576" t="s">
        <v>1514</v>
      </c>
    </row>
    <row r="577" spans="1:18" x14ac:dyDescent="0.45">
      <c r="A577">
        <v>576</v>
      </c>
      <c r="B577">
        <v>0</v>
      </c>
      <c r="C577" t="s">
        <v>1519</v>
      </c>
      <c r="D577" t="s">
        <v>1552</v>
      </c>
      <c r="E577" t="s">
        <v>1239</v>
      </c>
      <c r="F577" t="s">
        <v>722</v>
      </c>
      <c r="G577" t="s">
        <v>518</v>
      </c>
      <c r="H577" t="s">
        <v>9</v>
      </c>
      <c r="I577" t="s">
        <v>1520</v>
      </c>
      <c r="J577">
        <v>19</v>
      </c>
      <c r="K577" t="s">
        <v>1521</v>
      </c>
      <c r="L577" t="s">
        <v>1521</v>
      </c>
      <c r="M577">
        <v>0</v>
      </c>
      <c r="N577">
        <v>0</v>
      </c>
      <c r="O577">
        <v>1</v>
      </c>
      <c r="P577">
        <v>14.5</v>
      </c>
      <c r="Q577" t="s">
        <v>1528</v>
      </c>
      <c r="R577" t="s">
        <v>1514</v>
      </c>
    </row>
    <row r="578" spans="1:18" x14ac:dyDescent="0.45">
      <c r="A578">
        <v>577</v>
      </c>
      <c r="B578">
        <v>1</v>
      </c>
      <c r="C578" t="s">
        <v>1</v>
      </c>
      <c r="D578" t="s">
        <v>1554</v>
      </c>
      <c r="E578" t="s">
        <v>1252</v>
      </c>
      <c r="F578" t="s">
        <v>724</v>
      </c>
      <c r="G578" t="s">
        <v>519</v>
      </c>
      <c r="H578" t="s">
        <v>10</v>
      </c>
      <c r="I578" t="s">
        <v>1523</v>
      </c>
      <c r="J578">
        <v>34</v>
      </c>
      <c r="K578" t="s">
        <v>1521</v>
      </c>
      <c r="L578" t="s">
        <v>1521</v>
      </c>
      <c r="M578">
        <v>0</v>
      </c>
      <c r="N578">
        <v>0</v>
      </c>
      <c r="O578">
        <v>1</v>
      </c>
      <c r="P578">
        <v>13</v>
      </c>
      <c r="Q578" t="s">
        <v>1528</v>
      </c>
      <c r="R578" t="s">
        <v>1514</v>
      </c>
    </row>
    <row r="579" spans="1:18" x14ac:dyDescent="0.45">
      <c r="A579">
        <v>578</v>
      </c>
      <c r="B579">
        <v>1</v>
      </c>
      <c r="C579" t="s">
        <v>1</v>
      </c>
      <c r="D579" t="s">
        <v>1553</v>
      </c>
      <c r="E579" t="s">
        <v>1253</v>
      </c>
      <c r="F579" t="s">
        <v>723</v>
      </c>
      <c r="G579" t="s">
        <v>416</v>
      </c>
      <c r="H579" t="s">
        <v>10</v>
      </c>
      <c r="I579" t="s">
        <v>1523</v>
      </c>
      <c r="J579">
        <v>39</v>
      </c>
      <c r="K579" t="s">
        <v>1521</v>
      </c>
      <c r="L579" t="s">
        <v>1521</v>
      </c>
      <c r="M579">
        <v>1</v>
      </c>
      <c r="N579">
        <v>0</v>
      </c>
      <c r="O579">
        <v>2</v>
      </c>
      <c r="P579">
        <v>55.9</v>
      </c>
      <c r="Q579" t="s">
        <v>1528</v>
      </c>
      <c r="R579" t="s">
        <v>1514</v>
      </c>
    </row>
    <row r="580" spans="1:18" x14ac:dyDescent="0.45">
      <c r="A580">
        <v>579</v>
      </c>
      <c r="B580">
        <v>0</v>
      </c>
      <c r="C580" t="s">
        <v>1519</v>
      </c>
      <c r="D580" t="s">
        <v>1552</v>
      </c>
      <c r="E580" t="s">
        <v>875</v>
      </c>
      <c r="F580" t="s">
        <v>723</v>
      </c>
      <c r="G580" t="s">
        <v>520</v>
      </c>
      <c r="H580" t="s">
        <v>10</v>
      </c>
      <c r="I580" t="s">
        <v>1523</v>
      </c>
      <c r="J580">
        <v>28</v>
      </c>
      <c r="K580" t="s">
        <v>1521</v>
      </c>
      <c r="L580" t="s">
        <v>1521</v>
      </c>
      <c r="M580">
        <v>1</v>
      </c>
      <c r="N580">
        <v>0</v>
      </c>
      <c r="O580">
        <v>2</v>
      </c>
      <c r="P580">
        <v>14.458299999999999</v>
      </c>
      <c r="Q580" t="s">
        <v>1528</v>
      </c>
      <c r="R580" t="s">
        <v>1515</v>
      </c>
    </row>
    <row r="581" spans="1:18" x14ac:dyDescent="0.45">
      <c r="A581">
        <v>580</v>
      </c>
      <c r="B581">
        <v>1</v>
      </c>
      <c r="C581" t="s">
        <v>1</v>
      </c>
      <c r="D581" t="s">
        <v>1552</v>
      </c>
      <c r="E581" t="s">
        <v>1254</v>
      </c>
      <c r="F581" t="s">
        <v>722</v>
      </c>
      <c r="G581" t="s">
        <v>162</v>
      </c>
      <c r="H581" t="s">
        <v>9</v>
      </c>
      <c r="I581" t="s">
        <v>1520</v>
      </c>
      <c r="J581">
        <v>32</v>
      </c>
      <c r="K581" t="s">
        <v>1521</v>
      </c>
      <c r="L581" t="s">
        <v>1521</v>
      </c>
      <c r="M581">
        <v>0</v>
      </c>
      <c r="N581">
        <v>0</v>
      </c>
      <c r="O581">
        <v>1</v>
      </c>
      <c r="P581">
        <v>7.9249999999999998</v>
      </c>
      <c r="Q581" t="s">
        <v>1528</v>
      </c>
      <c r="R581" t="s">
        <v>1514</v>
      </c>
    </row>
    <row r="582" spans="1:18" x14ac:dyDescent="0.45">
      <c r="A582">
        <v>581</v>
      </c>
      <c r="B582">
        <v>1</v>
      </c>
      <c r="C582" t="s">
        <v>1</v>
      </c>
      <c r="D582" t="s">
        <v>1554</v>
      </c>
      <c r="E582" t="s">
        <v>1255</v>
      </c>
      <c r="F582" t="s">
        <v>724</v>
      </c>
      <c r="G582" t="s">
        <v>521</v>
      </c>
      <c r="H582" t="s">
        <v>10</v>
      </c>
      <c r="I582" t="s">
        <v>1523</v>
      </c>
      <c r="J582">
        <v>25</v>
      </c>
      <c r="K582" t="s">
        <v>1521</v>
      </c>
      <c r="L582" t="s">
        <v>1521</v>
      </c>
      <c r="M582">
        <v>1</v>
      </c>
      <c r="N582">
        <v>1</v>
      </c>
      <c r="O582">
        <v>3</v>
      </c>
      <c r="P582">
        <v>314.45420000000001</v>
      </c>
      <c r="Q582" t="s">
        <v>1528</v>
      </c>
      <c r="R582" t="s">
        <v>1514</v>
      </c>
    </row>
    <row r="583" spans="1:18" x14ac:dyDescent="0.45">
      <c r="A583">
        <v>582</v>
      </c>
      <c r="B583">
        <v>1</v>
      </c>
      <c r="C583" t="s">
        <v>1</v>
      </c>
      <c r="D583" t="s">
        <v>1553</v>
      </c>
      <c r="E583" t="s">
        <v>1256</v>
      </c>
      <c r="F583" t="s">
        <v>723</v>
      </c>
      <c r="G583" t="s">
        <v>500</v>
      </c>
      <c r="H583" t="s">
        <v>10</v>
      </c>
      <c r="I583" t="s">
        <v>1523</v>
      </c>
      <c r="J583">
        <v>39</v>
      </c>
      <c r="K583" t="s">
        <v>1521</v>
      </c>
      <c r="L583" t="s">
        <v>1521</v>
      </c>
      <c r="M583">
        <v>1</v>
      </c>
      <c r="N583">
        <v>1</v>
      </c>
      <c r="O583">
        <v>3</v>
      </c>
      <c r="P583" t="s">
        <v>34</v>
      </c>
      <c r="Q583" t="s">
        <v>1528</v>
      </c>
      <c r="R583" t="s">
        <v>1515</v>
      </c>
    </row>
    <row r="584" spans="1:18" x14ac:dyDescent="0.45">
      <c r="A584">
        <v>583</v>
      </c>
      <c r="B584">
        <v>0</v>
      </c>
      <c r="C584" t="s">
        <v>1519</v>
      </c>
      <c r="D584" t="s">
        <v>1554</v>
      </c>
      <c r="E584" t="s">
        <v>1257</v>
      </c>
      <c r="F584" t="s">
        <v>722</v>
      </c>
      <c r="G584" t="s">
        <v>522</v>
      </c>
      <c r="H584" t="s">
        <v>9</v>
      </c>
      <c r="I584" t="s">
        <v>1520</v>
      </c>
      <c r="J584">
        <v>54</v>
      </c>
      <c r="K584" t="s">
        <v>1521</v>
      </c>
      <c r="L584" t="s">
        <v>1521</v>
      </c>
      <c r="M584">
        <v>0</v>
      </c>
      <c r="N584">
        <v>0</v>
      </c>
      <c r="O584">
        <v>1</v>
      </c>
      <c r="P584">
        <v>26</v>
      </c>
      <c r="Q584" t="s">
        <v>1528</v>
      </c>
      <c r="R584" t="s">
        <v>1514</v>
      </c>
    </row>
    <row r="585" spans="1:18" x14ac:dyDescent="0.45">
      <c r="A585">
        <v>584</v>
      </c>
      <c r="B585">
        <v>0</v>
      </c>
      <c r="C585" t="s">
        <v>1519</v>
      </c>
      <c r="D585" t="s">
        <v>1553</v>
      </c>
      <c r="E585" t="s">
        <v>1258</v>
      </c>
      <c r="F585" t="s">
        <v>722</v>
      </c>
      <c r="G585" t="s">
        <v>523</v>
      </c>
      <c r="H585" t="s">
        <v>9</v>
      </c>
      <c r="I585" t="s">
        <v>1520</v>
      </c>
      <c r="J585">
        <v>36</v>
      </c>
      <c r="K585" t="s">
        <v>1521</v>
      </c>
      <c r="L585" t="s">
        <v>1521</v>
      </c>
      <c r="M585">
        <v>0</v>
      </c>
      <c r="N585">
        <v>0</v>
      </c>
      <c r="O585">
        <v>1</v>
      </c>
      <c r="P585" t="s">
        <v>43</v>
      </c>
      <c r="Q585" t="s">
        <v>1528</v>
      </c>
      <c r="R585" t="s">
        <v>1515</v>
      </c>
    </row>
    <row r="586" spans="1:18" x14ac:dyDescent="0.45">
      <c r="A586">
        <v>585</v>
      </c>
      <c r="B586">
        <v>0</v>
      </c>
      <c r="C586" t="s">
        <v>1519</v>
      </c>
      <c r="D586" t="s">
        <v>1552</v>
      </c>
      <c r="E586" t="s">
        <v>1259</v>
      </c>
      <c r="F586" t="s">
        <v>722</v>
      </c>
      <c r="G586" t="s">
        <v>524</v>
      </c>
      <c r="H586" t="s">
        <v>9</v>
      </c>
      <c r="I586" t="s">
        <v>1520</v>
      </c>
      <c r="J586">
        <v>28</v>
      </c>
      <c r="K586" t="s">
        <v>1521</v>
      </c>
      <c r="L586" t="s">
        <v>1521</v>
      </c>
      <c r="M586">
        <v>0</v>
      </c>
      <c r="N586">
        <v>0</v>
      </c>
      <c r="O586">
        <v>1</v>
      </c>
      <c r="P586">
        <v>8.7125000000000004</v>
      </c>
      <c r="Q586" t="s">
        <v>1528</v>
      </c>
      <c r="R586" t="s">
        <v>1515</v>
      </c>
    </row>
    <row r="587" spans="1:18" x14ac:dyDescent="0.45">
      <c r="A587">
        <v>586</v>
      </c>
      <c r="B587">
        <v>1</v>
      </c>
      <c r="C587" t="s">
        <v>1</v>
      </c>
      <c r="D587" t="s">
        <v>1553</v>
      </c>
      <c r="E587" t="s">
        <v>1260</v>
      </c>
      <c r="F587" t="s">
        <v>724</v>
      </c>
      <c r="G587" t="s">
        <v>283</v>
      </c>
      <c r="H587" t="s">
        <v>10</v>
      </c>
      <c r="I587" t="s">
        <v>1523</v>
      </c>
      <c r="J587">
        <v>18</v>
      </c>
      <c r="K587" t="s">
        <v>1521</v>
      </c>
      <c r="L587" t="s">
        <v>1521</v>
      </c>
      <c r="M587">
        <v>0</v>
      </c>
      <c r="N587">
        <v>2</v>
      </c>
      <c r="O587">
        <v>3</v>
      </c>
      <c r="P587">
        <v>79.650000000000006</v>
      </c>
      <c r="Q587" t="s">
        <v>1528</v>
      </c>
      <c r="R587" t="s">
        <v>1514</v>
      </c>
    </row>
    <row r="588" spans="1:18" x14ac:dyDescent="0.45">
      <c r="A588">
        <v>587</v>
      </c>
      <c r="B588">
        <v>0</v>
      </c>
      <c r="C588" t="s">
        <v>1519</v>
      </c>
      <c r="D588" t="s">
        <v>1554</v>
      </c>
      <c r="E588" t="s">
        <v>1261</v>
      </c>
      <c r="F588" t="s">
        <v>722</v>
      </c>
      <c r="G588" t="s">
        <v>525</v>
      </c>
      <c r="H588" t="s">
        <v>9</v>
      </c>
      <c r="I588" t="s">
        <v>1520</v>
      </c>
      <c r="J588">
        <v>47</v>
      </c>
      <c r="K588" t="s">
        <v>1521</v>
      </c>
      <c r="L588" t="s">
        <v>1521</v>
      </c>
      <c r="M588">
        <v>0</v>
      </c>
      <c r="N588">
        <v>0</v>
      </c>
      <c r="O588">
        <v>1</v>
      </c>
      <c r="P588">
        <v>15</v>
      </c>
      <c r="Q588" t="s">
        <v>1528</v>
      </c>
      <c r="R588" t="s">
        <v>1514</v>
      </c>
    </row>
    <row r="589" spans="1:18" x14ac:dyDescent="0.45">
      <c r="A589">
        <v>588</v>
      </c>
      <c r="B589">
        <v>1</v>
      </c>
      <c r="C589" t="s">
        <v>1</v>
      </c>
      <c r="D589" t="s">
        <v>1553</v>
      </c>
      <c r="E589" t="s">
        <v>1262</v>
      </c>
      <c r="F589" t="s">
        <v>722</v>
      </c>
      <c r="G589" t="s">
        <v>526</v>
      </c>
      <c r="H589" t="s">
        <v>9</v>
      </c>
      <c r="I589" t="s">
        <v>1520</v>
      </c>
      <c r="J589">
        <v>60</v>
      </c>
      <c r="K589" t="s">
        <v>1527</v>
      </c>
      <c r="L589" t="e">
        <v>#N/A</v>
      </c>
      <c r="M589">
        <v>1</v>
      </c>
      <c r="N589">
        <v>1</v>
      </c>
      <c r="O589">
        <v>3</v>
      </c>
      <c r="P589">
        <v>79.2</v>
      </c>
      <c r="Q589" t="s">
        <v>1528</v>
      </c>
      <c r="R589" t="s">
        <v>1515</v>
      </c>
    </row>
    <row r="590" spans="1:18" x14ac:dyDescent="0.45">
      <c r="A590">
        <v>589</v>
      </c>
      <c r="B590">
        <v>0</v>
      </c>
      <c r="C590" t="s">
        <v>1519</v>
      </c>
      <c r="D590" t="s">
        <v>1552</v>
      </c>
      <c r="E590" t="s">
        <v>1263</v>
      </c>
      <c r="F590" t="s">
        <v>722</v>
      </c>
      <c r="G590" t="s">
        <v>527</v>
      </c>
      <c r="H590" t="s">
        <v>9</v>
      </c>
      <c r="I590" t="s">
        <v>1520</v>
      </c>
      <c r="J590">
        <v>22</v>
      </c>
      <c r="K590" t="s">
        <v>1521</v>
      </c>
      <c r="L590" t="s">
        <v>1521</v>
      </c>
      <c r="M590">
        <v>0</v>
      </c>
      <c r="N590">
        <v>0</v>
      </c>
      <c r="O590">
        <v>1</v>
      </c>
      <c r="P590" t="s">
        <v>12</v>
      </c>
      <c r="Q590" t="s">
        <v>1528</v>
      </c>
      <c r="R590" t="s">
        <v>1514</v>
      </c>
    </row>
    <row r="591" spans="1:18" x14ac:dyDescent="0.45">
      <c r="A591">
        <v>590</v>
      </c>
      <c r="B591">
        <v>0</v>
      </c>
      <c r="C591" t="s">
        <v>1519</v>
      </c>
      <c r="D591" t="s">
        <v>1552</v>
      </c>
      <c r="E591" t="s">
        <v>1155</v>
      </c>
      <c r="F591" t="s">
        <v>722</v>
      </c>
      <c r="G591" t="s">
        <v>528</v>
      </c>
      <c r="H591" t="s">
        <v>9</v>
      </c>
      <c r="I591" t="s">
        <v>1520</v>
      </c>
      <c r="J591">
        <v>28</v>
      </c>
      <c r="K591" t="s">
        <v>1521</v>
      </c>
      <c r="L591" t="s">
        <v>1521</v>
      </c>
      <c r="M591">
        <v>0</v>
      </c>
      <c r="N591">
        <v>0</v>
      </c>
      <c r="O591">
        <v>1</v>
      </c>
      <c r="P591" t="s">
        <v>12</v>
      </c>
      <c r="Q591" t="s">
        <v>1528</v>
      </c>
      <c r="R591" t="s">
        <v>1514</v>
      </c>
    </row>
    <row r="592" spans="1:18" x14ac:dyDescent="0.45">
      <c r="A592">
        <v>591</v>
      </c>
      <c r="B592">
        <v>0</v>
      </c>
      <c r="C592" t="s">
        <v>1519</v>
      </c>
      <c r="D592" t="s">
        <v>1552</v>
      </c>
      <c r="E592" t="s">
        <v>1264</v>
      </c>
      <c r="F592" t="s">
        <v>722</v>
      </c>
      <c r="G592" t="s">
        <v>529</v>
      </c>
      <c r="H592" t="s">
        <v>9</v>
      </c>
      <c r="I592" t="s">
        <v>1520</v>
      </c>
      <c r="J592">
        <v>35</v>
      </c>
      <c r="K592" t="s">
        <v>1521</v>
      </c>
      <c r="L592" t="s">
        <v>1521</v>
      </c>
      <c r="M592">
        <v>0</v>
      </c>
      <c r="N592">
        <v>0</v>
      </c>
      <c r="O592">
        <v>1</v>
      </c>
      <c r="P592">
        <v>7.125</v>
      </c>
      <c r="Q592" t="s">
        <v>1528</v>
      </c>
      <c r="R592" t="s">
        <v>1514</v>
      </c>
    </row>
    <row r="593" spans="1:18" x14ac:dyDescent="0.45">
      <c r="A593">
        <v>592</v>
      </c>
      <c r="B593">
        <v>1</v>
      </c>
      <c r="C593" t="s">
        <v>1</v>
      </c>
      <c r="D593" t="s">
        <v>1553</v>
      </c>
      <c r="E593" t="s">
        <v>1265</v>
      </c>
      <c r="F593" t="s">
        <v>723</v>
      </c>
      <c r="G593" t="s">
        <v>530</v>
      </c>
      <c r="H593" t="s">
        <v>10</v>
      </c>
      <c r="I593" t="s">
        <v>1523</v>
      </c>
      <c r="J593">
        <v>52</v>
      </c>
      <c r="K593" t="s">
        <v>1521</v>
      </c>
      <c r="L593" t="s">
        <v>1521</v>
      </c>
      <c r="M593">
        <v>1</v>
      </c>
      <c r="N593">
        <v>0</v>
      </c>
      <c r="O593">
        <v>2</v>
      </c>
      <c r="P593">
        <v>78.2667</v>
      </c>
      <c r="Q593" t="s">
        <v>1528</v>
      </c>
      <c r="R593" t="s">
        <v>1515</v>
      </c>
    </row>
    <row r="594" spans="1:18" x14ac:dyDescent="0.45">
      <c r="A594">
        <v>593</v>
      </c>
      <c r="B594">
        <v>0</v>
      </c>
      <c r="C594" t="s">
        <v>1519</v>
      </c>
      <c r="D594" t="s">
        <v>1552</v>
      </c>
      <c r="E594" t="s">
        <v>1257</v>
      </c>
      <c r="F594" t="s">
        <v>722</v>
      </c>
      <c r="G594" t="s">
        <v>531</v>
      </c>
      <c r="H594" t="s">
        <v>9</v>
      </c>
      <c r="I594" t="s">
        <v>1520</v>
      </c>
      <c r="J594">
        <v>47</v>
      </c>
      <c r="K594" t="s">
        <v>1521</v>
      </c>
      <c r="L594" t="s">
        <v>1521</v>
      </c>
      <c r="M594">
        <v>0</v>
      </c>
      <c r="N594">
        <v>0</v>
      </c>
      <c r="O594">
        <v>1</v>
      </c>
      <c r="P594">
        <v>7.25</v>
      </c>
      <c r="Q594" t="s">
        <v>1528</v>
      </c>
      <c r="R594" t="s">
        <v>1514</v>
      </c>
    </row>
    <row r="595" spans="1:18" x14ac:dyDescent="0.45">
      <c r="A595">
        <v>594</v>
      </c>
      <c r="B595">
        <v>0</v>
      </c>
      <c r="C595" t="s">
        <v>1519</v>
      </c>
      <c r="D595" t="s">
        <v>1552</v>
      </c>
      <c r="E595" t="s">
        <v>1073</v>
      </c>
      <c r="F595" t="s">
        <v>724</v>
      </c>
      <c r="G595" t="s">
        <v>222</v>
      </c>
      <c r="H595" t="s">
        <v>10</v>
      </c>
      <c r="I595" t="s">
        <v>1523</v>
      </c>
      <c r="J595">
        <v>28</v>
      </c>
      <c r="K595" t="s">
        <v>1521</v>
      </c>
      <c r="L595" t="s">
        <v>1521</v>
      </c>
      <c r="M595">
        <v>0</v>
      </c>
      <c r="N595">
        <v>2</v>
      </c>
      <c r="O595">
        <v>3</v>
      </c>
      <c r="P595">
        <v>7.75</v>
      </c>
      <c r="Q595" t="s">
        <v>1528</v>
      </c>
      <c r="R595" t="s">
        <v>1516</v>
      </c>
    </row>
    <row r="596" spans="1:18" x14ac:dyDescent="0.45">
      <c r="A596">
        <v>595</v>
      </c>
      <c r="B596">
        <v>0</v>
      </c>
      <c r="C596" t="s">
        <v>1519</v>
      </c>
      <c r="D596" t="s">
        <v>1554</v>
      </c>
      <c r="E596" t="s">
        <v>943</v>
      </c>
      <c r="F596" t="s">
        <v>722</v>
      </c>
      <c r="G596" t="s">
        <v>532</v>
      </c>
      <c r="H596" t="s">
        <v>9</v>
      </c>
      <c r="I596" t="s">
        <v>1520</v>
      </c>
      <c r="J596">
        <v>37</v>
      </c>
      <c r="K596" t="s">
        <v>1521</v>
      </c>
      <c r="L596" t="s">
        <v>1521</v>
      </c>
      <c r="M596">
        <v>1</v>
      </c>
      <c r="N596">
        <v>0</v>
      </c>
      <c r="O596">
        <v>2</v>
      </c>
      <c r="P596">
        <v>26</v>
      </c>
      <c r="Q596" t="s">
        <v>1528</v>
      </c>
      <c r="R596" t="s">
        <v>1514</v>
      </c>
    </row>
    <row r="597" spans="1:18" x14ac:dyDescent="0.45">
      <c r="A597">
        <v>596</v>
      </c>
      <c r="B597">
        <v>0</v>
      </c>
      <c r="C597" t="s">
        <v>1519</v>
      </c>
      <c r="D597" t="s">
        <v>1552</v>
      </c>
      <c r="E597" t="s">
        <v>1266</v>
      </c>
      <c r="F597" t="s">
        <v>722</v>
      </c>
      <c r="G597" t="s">
        <v>402</v>
      </c>
      <c r="H597" t="s">
        <v>9</v>
      </c>
      <c r="I597" t="s">
        <v>1520</v>
      </c>
      <c r="J597">
        <v>36</v>
      </c>
      <c r="K597" t="s">
        <v>1521</v>
      </c>
      <c r="L597" t="s">
        <v>1521</v>
      </c>
      <c r="M597">
        <v>1</v>
      </c>
      <c r="N597">
        <v>1</v>
      </c>
      <c r="O597">
        <v>3</v>
      </c>
      <c r="P597">
        <v>24.15</v>
      </c>
      <c r="Q597" t="s">
        <v>1528</v>
      </c>
      <c r="R597" t="s">
        <v>1514</v>
      </c>
    </row>
    <row r="598" spans="1:18" x14ac:dyDescent="0.45">
      <c r="A598">
        <v>597</v>
      </c>
      <c r="B598">
        <v>1</v>
      </c>
      <c r="C598" t="s">
        <v>1</v>
      </c>
      <c r="D598" t="s">
        <v>1554</v>
      </c>
      <c r="E598" t="s">
        <v>1267</v>
      </c>
      <c r="F598" t="s">
        <v>724</v>
      </c>
      <c r="G598" t="s">
        <v>533</v>
      </c>
      <c r="H598" t="s">
        <v>10</v>
      </c>
      <c r="I598" t="s">
        <v>1523</v>
      </c>
      <c r="J598">
        <v>28</v>
      </c>
      <c r="K598" t="s">
        <v>1521</v>
      </c>
      <c r="L598" t="s">
        <v>1521</v>
      </c>
      <c r="M598">
        <v>0</v>
      </c>
      <c r="N598">
        <v>0</v>
      </c>
      <c r="O598">
        <v>1</v>
      </c>
      <c r="P598">
        <v>33</v>
      </c>
      <c r="Q598" t="s">
        <v>1528</v>
      </c>
      <c r="R598" t="s">
        <v>1514</v>
      </c>
    </row>
    <row r="599" spans="1:18" x14ac:dyDescent="0.45">
      <c r="A599">
        <v>598</v>
      </c>
      <c r="B599">
        <v>0</v>
      </c>
      <c r="C599" t="s">
        <v>1519</v>
      </c>
      <c r="D599" t="s">
        <v>1552</v>
      </c>
      <c r="E599" t="s">
        <v>1105</v>
      </c>
      <c r="F599" t="s">
        <v>722</v>
      </c>
      <c r="G599" t="s">
        <v>63</v>
      </c>
      <c r="H599" t="s">
        <v>9</v>
      </c>
      <c r="I599" t="s">
        <v>1520</v>
      </c>
      <c r="J599">
        <v>49</v>
      </c>
      <c r="K599" t="s">
        <v>1521</v>
      </c>
      <c r="L599" t="s">
        <v>1521</v>
      </c>
      <c r="M599">
        <v>0</v>
      </c>
      <c r="N599">
        <v>0</v>
      </c>
      <c r="O599">
        <v>1</v>
      </c>
      <c r="P599">
        <v>14.4542</v>
      </c>
      <c r="Q599" t="s">
        <v>1528</v>
      </c>
      <c r="R599" t="s">
        <v>1514</v>
      </c>
    </row>
    <row r="600" spans="1:18" x14ac:dyDescent="0.45">
      <c r="A600">
        <v>599</v>
      </c>
      <c r="B600">
        <v>0</v>
      </c>
      <c r="C600" t="s">
        <v>1519</v>
      </c>
      <c r="D600" t="s">
        <v>1552</v>
      </c>
      <c r="E600" t="s">
        <v>774</v>
      </c>
      <c r="F600" t="s">
        <v>722</v>
      </c>
      <c r="G600" t="s">
        <v>183</v>
      </c>
      <c r="H600" t="s">
        <v>9</v>
      </c>
      <c r="I600" t="s">
        <v>1520</v>
      </c>
      <c r="J600">
        <v>28</v>
      </c>
      <c r="K600" t="s">
        <v>1521</v>
      </c>
      <c r="L600" t="s">
        <v>1521</v>
      </c>
      <c r="M600">
        <v>0</v>
      </c>
      <c r="N600">
        <v>0</v>
      </c>
      <c r="O600">
        <v>1</v>
      </c>
      <c r="P600">
        <v>7.2249999999999996</v>
      </c>
      <c r="Q600" t="s">
        <v>1528</v>
      </c>
      <c r="R600" t="s">
        <v>1515</v>
      </c>
    </row>
    <row r="601" spans="1:18" x14ac:dyDescent="0.45">
      <c r="A601">
        <v>600</v>
      </c>
      <c r="B601">
        <v>1</v>
      </c>
      <c r="C601" t="s">
        <v>1</v>
      </c>
      <c r="D601" t="s">
        <v>1553</v>
      </c>
      <c r="E601" t="s">
        <v>1268</v>
      </c>
      <c r="F601" t="s">
        <v>733</v>
      </c>
      <c r="G601" t="s">
        <v>505</v>
      </c>
      <c r="H601" t="s">
        <v>9</v>
      </c>
      <c r="I601" t="s">
        <v>1520</v>
      </c>
      <c r="J601">
        <v>49</v>
      </c>
      <c r="K601" t="s">
        <v>1521</v>
      </c>
      <c r="L601" t="s">
        <v>1521</v>
      </c>
      <c r="M601">
        <v>1</v>
      </c>
      <c r="N601">
        <v>0</v>
      </c>
      <c r="O601">
        <v>2</v>
      </c>
      <c r="P601">
        <v>56.929200000000002</v>
      </c>
      <c r="Q601" t="s">
        <v>1528</v>
      </c>
      <c r="R601" t="s">
        <v>1515</v>
      </c>
    </row>
    <row r="602" spans="1:18" x14ac:dyDescent="0.45">
      <c r="A602">
        <v>601</v>
      </c>
      <c r="B602">
        <v>1</v>
      </c>
      <c r="C602" t="s">
        <v>1</v>
      </c>
      <c r="D602" t="s">
        <v>1554</v>
      </c>
      <c r="E602" t="s">
        <v>1269</v>
      </c>
      <c r="F602" t="s">
        <v>723</v>
      </c>
      <c r="G602" t="s">
        <v>247</v>
      </c>
      <c r="H602" t="s">
        <v>10</v>
      </c>
      <c r="I602" t="s">
        <v>1523</v>
      </c>
      <c r="J602">
        <v>24</v>
      </c>
      <c r="K602" t="s">
        <v>1521</v>
      </c>
      <c r="L602" t="s">
        <v>1521</v>
      </c>
      <c r="M602">
        <v>2</v>
      </c>
      <c r="N602">
        <v>1</v>
      </c>
      <c r="O602">
        <v>4</v>
      </c>
      <c r="P602">
        <v>27</v>
      </c>
      <c r="Q602" t="s">
        <v>1528</v>
      </c>
      <c r="R602" t="s">
        <v>1514</v>
      </c>
    </row>
    <row r="603" spans="1:18" x14ac:dyDescent="0.45">
      <c r="A603">
        <v>602</v>
      </c>
      <c r="B603">
        <v>0</v>
      </c>
      <c r="C603" t="s">
        <v>1519</v>
      </c>
      <c r="D603" t="s">
        <v>1552</v>
      </c>
      <c r="E603" t="s">
        <v>1270</v>
      </c>
      <c r="F603" t="s">
        <v>722</v>
      </c>
      <c r="G603" t="s">
        <v>534</v>
      </c>
      <c r="H603" t="s">
        <v>9</v>
      </c>
      <c r="I603" t="s">
        <v>1520</v>
      </c>
      <c r="J603">
        <v>28</v>
      </c>
      <c r="K603" t="s">
        <v>1521</v>
      </c>
      <c r="L603" t="s">
        <v>1521</v>
      </c>
      <c r="M603">
        <v>0</v>
      </c>
      <c r="N603">
        <v>0</v>
      </c>
      <c r="O603">
        <v>1</v>
      </c>
      <c r="P603">
        <v>7.8958000000000004</v>
      </c>
      <c r="Q603" t="s">
        <v>1528</v>
      </c>
      <c r="R603" t="s">
        <v>1514</v>
      </c>
    </row>
    <row r="604" spans="1:18" x14ac:dyDescent="0.45">
      <c r="A604">
        <v>603</v>
      </c>
      <c r="B604">
        <v>0</v>
      </c>
      <c r="C604" t="s">
        <v>1519</v>
      </c>
      <c r="D604" t="s">
        <v>1553</v>
      </c>
      <c r="E604" t="s">
        <v>995</v>
      </c>
      <c r="F604" t="s">
        <v>722</v>
      </c>
      <c r="G604" t="s">
        <v>535</v>
      </c>
      <c r="H604" t="s">
        <v>9</v>
      </c>
      <c r="I604" t="s">
        <v>1520</v>
      </c>
      <c r="J604">
        <v>28</v>
      </c>
      <c r="K604" t="s">
        <v>1521</v>
      </c>
      <c r="L604" t="s">
        <v>1521</v>
      </c>
      <c r="M604">
        <v>0</v>
      </c>
      <c r="N604">
        <v>0</v>
      </c>
      <c r="O604">
        <v>1</v>
      </c>
      <c r="P604">
        <v>42.4</v>
      </c>
      <c r="Q604" t="s">
        <v>1528</v>
      </c>
      <c r="R604" t="s">
        <v>1514</v>
      </c>
    </row>
    <row r="605" spans="1:18" x14ac:dyDescent="0.45">
      <c r="A605">
        <v>604</v>
      </c>
      <c r="B605">
        <v>0</v>
      </c>
      <c r="C605" t="s">
        <v>1519</v>
      </c>
      <c r="D605" t="s">
        <v>1552</v>
      </c>
      <c r="E605" t="s">
        <v>1271</v>
      </c>
      <c r="F605" t="s">
        <v>722</v>
      </c>
      <c r="G605" t="s">
        <v>536</v>
      </c>
      <c r="H605" t="s">
        <v>9</v>
      </c>
      <c r="I605" t="s">
        <v>1520</v>
      </c>
      <c r="J605">
        <v>44</v>
      </c>
      <c r="K605" t="s">
        <v>1521</v>
      </c>
      <c r="L605" t="s">
        <v>1521</v>
      </c>
      <c r="M605">
        <v>0</v>
      </c>
      <c r="N605">
        <v>0</v>
      </c>
      <c r="O605">
        <v>1</v>
      </c>
      <c r="P605" t="s">
        <v>12</v>
      </c>
      <c r="Q605" t="s">
        <v>1528</v>
      </c>
      <c r="R605" t="s">
        <v>1514</v>
      </c>
    </row>
    <row r="606" spans="1:18" x14ac:dyDescent="0.45">
      <c r="A606">
        <v>605</v>
      </c>
      <c r="B606">
        <v>1</v>
      </c>
      <c r="C606" t="s">
        <v>1</v>
      </c>
      <c r="D606" t="s">
        <v>1553</v>
      </c>
      <c r="E606" t="s">
        <v>1272</v>
      </c>
      <c r="F606" t="s">
        <v>722</v>
      </c>
      <c r="G606" t="s">
        <v>537</v>
      </c>
      <c r="H606" t="s">
        <v>9</v>
      </c>
      <c r="I606" t="s">
        <v>1520</v>
      </c>
      <c r="J606">
        <v>35</v>
      </c>
      <c r="K606" t="s">
        <v>1521</v>
      </c>
      <c r="L606" t="s">
        <v>1521</v>
      </c>
      <c r="M606">
        <v>0</v>
      </c>
      <c r="N606">
        <v>0</v>
      </c>
      <c r="O606">
        <v>1</v>
      </c>
      <c r="P606">
        <v>26.55</v>
      </c>
      <c r="Q606" t="s">
        <v>1528</v>
      </c>
      <c r="R606" t="s">
        <v>1515</v>
      </c>
    </row>
    <row r="607" spans="1:18" x14ac:dyDescent="0.45">
      <c r="A607">
        <v>606</v>
      </c>
      <c r="B607">
        <v>0</v>
      </c>
      <c r="C607" t="s">
        <v>1519</v>
      </c>
      <c r="D607" t="s">
        <v>1552</v>
      </c>
      <c r="E607" t="s">
        <v>1273</v>
      </c>
      <c r="F607" t="s">
        <v>722</v>
      </c>
      <c r="G607" t="s">
        <v>538</v>
      </c>
      <c r="H607" t="s">
        <v>9</v>
      </c>
      <c r="I607" t="s">
        <v>1520</v>
      </c>
      <c r="J607">
        <v>36</v>
      </c>
      <c r="K607" t="s">
        <v>1521</v>
      </c>
      <c r="L607" t="s">
        <v>1521</v>
      </c>
      <c r="M607">
        <v>1</v>
      </c>
      <c r="N607">
        <v>0</v>
      </c>
      <c r="O607">
        <v>2</v>
      </c>
      <c r="P607">
        <v>15.55</v>
      </c>
      <c r="Q607" t="s">
        <v>1528</v>
      </c>
      <c r="R607" t="s">
        <v>1514</v>
      </c>
    </row>
    <row r="608" spans="1:18" x14ac:dyDescent="0.45">
      <c r="A608">
        <v>607</v>
      </c>
      <c r="B608">
        <v>0</v>
      </c>
      <c r="C608" t="s">
        <v>1519</v>
      </c>
      <c r="D608" t="s">
        <v>1552</v>
      </c>
      <c r="E608" t="s">
        <v>1274</v>
      </c>
      <c r="F608" t="s">
        <v>722</v>
      </c>
      <c r="G608" t="s">
        <v>539</v>
      </c>
      <c r="H608" t="s">
        <v>9</v>
      </c>
      <c r="I608" t="s">
        <v>1520</v>
      </c>
      <c r="J608">
        <v>30</v>
      </c>
      <c r="K608" t="s">
        <v>1521</v>
      </c>
      <c r="L608" t="s">
        <v>1521</v>
      </c>
      <c r="M608">
        <v>0</v>
      </c>
      <c r="N608">
        <v>0</v>
      </c>
      <c r="O608">
        <v>1</v>
      </c>
      <c r="P608">
        <v>7.8958000000000004</v>
      </c>
      <c r="Q608" t="s">
        <v>1528</v>
      </c>
      <c r="R608" t="s">
        <v>1514</v>
      </c>
    </row>
    <row r="609" spans="1:18" x14ac:dyDescent="0.45">
      <c r="A609">
        <v>608</v>
      </c>
      <c r="B609">
        <v>1</v>
      </c>
      <c r="C609" t="s">
        <v>1</v>
      </c>
      <c r="D609" t="s">
        <v>1553</v>
      </c>
      <c r="E609" t="s">
        <v>1275</v>
      </c>
      <c r="F609" t="s">
        <v>722</v>
      </c>
      <c r="G609" t="s">
        <v>540</v>
      </c>
      <c r="H609" t="s">
        <v>9</v>
      </c>
      <c r="I609" t="s">
        <v>1520</v>
      </c>
      <c r="J609">
        <v>27</v>
      </c>
      <c r="K609" t="s">
        <v>1521</v>
      </c>
      <c r="L609" t="s">
        <v>1521</v>
      </c>
      <c r="M609">
        <v>0</v>
      </c>
      <c r="N609">
        <v>0</v>
      </c>
      <c r="O609">
        <v>1</v>
      </c>
      <c r="P609" t="s">
        <v>33</v>
      </c>
      <c r="Q609" t="s">
        <v>1528</v>
      </c>
      <c r="R609" t="s">
        <v>1514</v>
      </c>
    </row>
    <row r="610" spans="1:18" x14ac:dyDescent="0.45">
      <c r="A610">
        <v>609</v>
      </c>
      <c r="B610">
        <v>1</v>
      </c>
      <c r="C610" t="s">
        <v>1</v>
      </c>
      <c r="D610" t="s">
        <v>1554</v>
      </c>
      <c r="E610" t="s">
        <v>875</v>
      </c>
      <c r="F610" t="s">
        <v>723</v>
      </c>
      <c r="G610" t="s">
        <v>96</v>
      </c>
      <c r="H610" t="s">
        <v>10</v>
      </c>
      <c r="I610" t="s">
        <v>1523</v>
      </c>
      <c r="J610">
        <v>22</v>
      </c>
      <c r="K610" t="s">
        <v>1521</v>
      </c>
      <c r="L610" t="s">
        <v>1521</v>
      </c>
      <c r="M610">
        <v>1</v>
      </c>
      <c r="N610">
        <v>2</v>
      </c>
      <c r="O610">
        <v>4</v>
      </c>
      <c r="P610">
        <v>41.5792</v>
      </c>
      <c r="Q610" t="s">
        <v>1528</v>
      </c>
      <c r="R610" t="s">
        <v>1515</v>
      </c>
    </row>
    <row r="611" spans="1:18" x14ac:dyDescent="0.45">
      <c r="A611">
        <v>610</v>
      </c>
      <c r="B611">
        <v>1</v>
      </c>
      <c r="C611" t="s">
        <v>1</v>
      </c>
      <c r="D611" t="s">
        <v>1553</v>
      </c>
      <c r="E611" t="s">
        <v>1276</v>
      </c>
      <c r="F611" t="s">
        <v>724</v>
      </c>
      <c r="G611" t="s">
        <v>541</v>
      </c>
      <c r="H611" t="s">
        <v>10</v>
      </c>
      <c r="I611" t="s">
        <v>1523</v>
      </c>
      <c r="J611">
        <v>40</v>
      </c>
      <c r="K611" t="s">
        <v>1521</v>
      </c>
      <c r="L611" t="s">
        <v>1521</v>
      </c>
      <c r="M611">
        <v>0</v>
      </c>
      <c r="N611">
        <v>0</v>
      </c>
      <c r="O611">
        <v>1</v>
      </c>
      <c r="P611">
        <v>153.46250000000001</v>
      </c>
      <c r="Q611" t="s">
        <v>1528</v>
      </c>
      <c r="R611" t="s">
        <v>1514</v>
      </c>
    </row>
    <row r="612" spans="1:18" x14ac:dyDescent="0.45">
      <c r="A612">
        <v>611</v>
      </c>
      <c r="B612">
        <v>0</v>
      </c>
      <c r="C612" t="s">
        <v>1519</v>
      </c>
      <c r="D612" t="s">
        <v>1552</v>
      </c>
      <c r="E612" t="s">
        <v>1277</v>
      </c>
      <c r="F612" t="s">
        <v>723</v>
      </c>
      <c r="G612" t="s">
        <v>68</v>
      </c>
      <c r="H612" t="s">
        <v>10</v>
      </c>
      <c r="I612" t="s">
        <v>1523</v>
      </c>
      <c r="J612">
        <v>39</v>
      </c>
      <c r="K612" t="s">
        <v>1521</v>
      </c>
      <c r="L612" t="s">
        <v>1521</v>
      </c>
      <c r="M612">
        <v>1</v>
      </c>
      <c r="N612">
        <v>5</v>
      </c>
      <c r="O612">
        <v>7</v>
      </c>
      <c r="P612">
        <v>31.274999999999999</v>
      </c>
      <c r="Q612" t="s">
        <v>1528</v>
      </c>
      <c r="R612" t="s">
        <v>1514</v>
      </c>
    </row>
    <row r="613" spans="1:18" x14ac:dyDescent="0.45">
      <c r="A613">
        <v>612</v>
      </c>
      <c r="B613">
        <v>0</v>
      </c>
      <c r="C613" t="s">
        <v>1519</v>
      </c>
      <c r="D613" t="s">
        <v>1552</v>
      </c>
      <c r="E613" t="s">
        <v>1278</v>
      </c>
      <c r="F613" t="s">
        <v>722</v>
      </c>
      <c r="G613" t="s">
        <v>542</v>
      </c>
      <c r="H613" t="s">
        <v>9</v>
      </c>
      <c r="I613" t="s">
        <v>1520</v>
      </c>
      <c r="J613">
        <v>28</v>
      </c>
      <c r="K613" t="s">
        <v>1521</v>
      </c>
      <c r="L613" t="s">
        <v>1521</v>
      </c>
      <c r="M613">
        <v>0</v>
      </c>
      <c r="N613">
        <v>0</v>
      </c>
      <c r="O613">
        <v>1</v>
      </c>
      <c r="P613" t="s">
        <v>22</v>
      </c>
      <c r="Q613" t="s">
        <v>1528</v>
      </c>
      <c r="R613" t="s">
        <v>1514</v>
      </c>
    </row>
    <row r="614" spans="1:18" x14ac:dyDescent="0.45">
      <c r="A614">
        <v>613</v>
      </c>
      <c r="B614">
        <v>1</v>
      </c>
      <c r="C614" t="s">
        <v>1</v>
      </c>
      <c r="D614" t="s">
        <v>1552</v>
      </c>
      <c r="E614" t="s">
        <v>1279</v>
      </c>
      <c r="F614" t="s">
        <v>724</v>
      </c>
      <c r="G614" t="s">
        <v>266</v>
      </c>
      <c r="H614" t="s">
        <v>10</v>
      </c>
      <c r="I614" t="s">
        <v>1523</v>
      </c>
      <c r="J614">
        <v>28</v>
      </c>
      <c r="K614" t="s">
        <v>1521</v>
      </c>
      <c r="L614" t="s">
        <v>1521</v>
      </c>
      <c r="M614">
        <v>1</v>
      </c>
      <c r="N614">
        <v>0</v>
      </c>
      <c r="O614">
        <v>2</v>
      </c>
      <c r="P614">
        <v>15.5</v>
      </c>
      <c r="Q614" t="s">
        <v>1528</v>
      </c>
      <c r="R614" t="s">
        <v>1516</v>
      </c>
    </row>
    <row r="615" spans="1:18" x14ac:dyDescent="0.45">
      <c r="A615">
        <v>614</v>
      </c>
      <c r="B615">
        <v>0</v>
      </c>
      <c r="C615" t="s">
        <v>1519</v>
      </c>
      <c r="D615" t="s">
        <v>1552</v>
      </c>
      <c r="E615" t="s">
        <v>920</v>
      </c>
      <c r="F615" t="s">
        <v>722</v>
      </c>
      <c r="G615" t="s">
        <v>543</v>
      </c>
      <c r="H615" t="s">
        <v>9</v>
      </c>
      <c r="I615" t="s">
        <v>1520</v>
      </c>
      <c r="J615">
        <v>28</v>
      </c>
      <c r="K615" t="s">
        <v>1521</v>
      </c>
      <c r="L615" t="s">
        <v>1521</v>
      </c>
      <c r="M615">
        <v>0</v>
      </c>
      <c r="N615">
        <v>0</v>
      </c>
      <c r="O615">
        <v>1</v>
      </c>
      <c r="P615">
        <v>7.75</v>
      </c>
      <c r="Q615" t="s">
        <v>1528</v>
      </c>
      <c r="R615" t="s">
        <v>1516</v>
      </c>
    </row>
    <row r="616" spans="1:18" x14ac:dyDescent="0.45">
      <c r="A616">
        <v>615</v>
      </c>
      <c r="B616">
        <v>0</v>
      </c>
      <c r="C616" t="s">
        <v>1519</v>
      </c>
      <c r="D616" t="s">
        <v>1552</v>
      </c>
      <c r="E616" t="s">
        <v>1280</v>
      </c>
      <c r="F616" t="s">
        <v>722</v>
      </c>
      <c r="G616" t="s">
        <v>544</v>
      </c>
      <c r="H616" t="s">
        <v>9</v>
      </c>
      <c r="I616" t="s">
        <v>1520</v>
      </c>
      <c r="J616">
        <v>35</v>
      </c>
      <c r="K616" t="s">
        <v>1521</v>
      </c>
      <c r="L616" t="s">
        <v>1521</v>
      </c>
      <c r="M616">
        <v>0</v>
      </c>
      <c r="N616">
        <v>0</v>
      </c>
      <c r="O616">
        <v>1</v>
      </c>
      <c r="P616" t="s">
        <v>12</v>
      </c>
      <c r="Q616" t="s">
        <v>1528</v>
      </c>
      <c r="R616" t="s">
        <v>1514</v>
      </c>
    </row>
    <row r="617" spans="1:18" x14ac:dyDescent="0.45">
      <c r="A617">
        <v>616</v>
      </c>
      <c r="B617">
        <v>1</v>
      </c>
      <c r="C617" t="s">
        <v>1</v>
      </c>
      <c r="D617" t="s">
        <v>1554</v>
      </c>
      <c r="E617" t="s">
        <v>1281</v>
      </c>
      <c r="F617" t="s">
        <v>724</v>
      </c>
      <c r="G617" t="s">
        <v>545</v>
      </c>
      <c r="H617" t="s">
        <v>10</v>
      </c>
      <c r="I617" t="s">
        <v>1523</v>
      </c>
      <c r="J617">
        <v>24</v>
      </c>
      <c r="K617" t="s">
        <v>1521</v>
      </c>
      <c r="L617" t="s">
        <v>1521</v>
      </c>
      <c r="M617">
        <v>1</v>
      </c>
      <c r="N617">
        <v>2</v>
      </c>
      <c r="O617">
        <v>4</v>
      </c>
      <c r="P617">
        <v>65</v>
      </c>
      <c r="Q617" t="s">
        <v>1528</v>
      </c>
      <c r="R617" t="s">
        <v>1514</v>
      </c>
    </row>
    <row r="618" spans="1:18" x14ac:dyDescent="0.45">
      <c r="A618">
        <v>617</v>
      </c>
      <c r="B618">
        <v>0</v>
      </c>
      <c r="C618" t="s">
        <v>1519</v>
      </c>
      <c r="D618" t="s">
        <v>1552</v>
      </c>
      <c r="E618" t="s">
        <v>1282</v>
      </c>
      <c r="F618" t="s">
        <v>722</v>
      </c>
      <c r="G618" t="s">
        <v>406</v>
      </c>
      <c r="H618" t="s">
        <v>9</v>
      </c>
      <c r="I618" t="s">
        <v>1520</v>
      </c>
      <c r="J618">
        <v>34</v>
      </c>
      <c r="K618" t="s">
        <v>1521</v>
      </c>
      <c r="L618" t="s">
        <v>1521</v>
      </c>
      <c r="M618">
        <v>1</v>
      </c>
      <c r="N618">
        <v>1</v>
      </c>
      <c r="O618">
        <v>3</v>
      </c>
      <c r="P618">
        <v>14.4</v>
      </c>
      <c r="Q618" t="s">
        <v>1528</v>
      </c>
      <c r="R618" t="s">
        <v>1514</v>
      </c>
    </row>
    <row r="619" spans="1:18" x14ac:dyDescent="0.45">
      <c r="A619">
        <v>618</v>
      </c>
      <c r="B619">
        <v>0</v>
      </c>
      <c r="C619" t="s">
        <v>1519</v>
      </c>
      <c r="D619" t="s">
        <v>1552</v>
      </c>
      <c r="E619" t="s">
        <v>1283</v>
      </c>
      <c r="F619" t="s">
        <v>723</v>
      </c>
      <c r="G619" t="s">
        <v>276</v>
      </c>
      <c r="H619" t="s">
        <v>10</v>
      </c>
      <c r="I619" t="s">
        <v>1523</v>
      </c>
      <c r="J619">
        <v>26</v>
      </c>
      <c r="K619" t="s">
        <v>1521</v>
      </c>
      <c r="L619" t="s">
        <v>1521</v>
      </c>
      <c r="M619">
        <v>1</v>
      </c>
      <c r="N619">
        <v>0</v>
      </c>
      <c r="O619">
        <v>2</v>
      </c>
      <c r="P619">
        <v>16.100000000000001</v>
      </c>
      <c r="Q619" t="s">
        <v>1528</v>
      </c>
      <c r="R619" t="s">
        <v>1514</v>
      </c>
    </row>
    <row r="620" spans="1:18" x14ac:dyDescent="0.45">
      <c r="A620">
        <v>619</v>
      </c>
      <c r="B620">
        <v>1</v>
      </c>
      <c r="C620" t="s">
        <v>1</v>
      </c>
      <c r="D620" t="s">
        <v>1554</v>
      </c>
      <c r="E620" t="s">
        <v>1284</v>
      </c>
      <c r="F620" t="s">
        <v>724</v>
      </c>
      <c r="G620" t="s">
        <v>217</v>
      </c>
      <c r="H620" t="s">
        <v>10</v>
      </c>
      <c r="I620" t="s">
        <v>1523</v>
      </c>
      <c r="J620">
        <v>4</v>
      </c>
      <c r="K620" t="s">
        <v>1524</v>
      </c>
      <c r="L620" t="s">
        <v>1524</v>
      </c>
      <c r="M620">
        <v>2</v>
      </c>
      <c r="N620">
        <v>1</v>
      </c>
      <c r="O620">
        <v>4</v>
      </c>
      <c r="P620">
        <v>39</v>
      </c>
      <c r="Q620" t="s">
        <v>1528</v>
      </c>
      <c r="R620" t="s">
        <v>1514</v>
      </c>
    </row>
    <row r="621" spans="1:18" x14ac:dyDescent="0.45">
      <c r="A621">
        <v>620</v>
      </c>
      <c r="B621">
        <v>0</v>
      </c>
      <c r="C621" t="s">
        <v>1519</v>
      </c>
      <c r="D621" t="s">
        <v>1554</v>
      </c>
      <c r="E621" t="s">
        <v>759</v>
      </c>
      <c r="F621" t="s">
        <v>722</v>
      </c>
      <c r="G621" t="s">
        <v>546</v>
      </c>
      <c r="H621" t="s">
        <v>9</v>
      </c>
      <c r="I621" t="s">
        <v>1520</v>
      </c>
      <c r="J621">
        <v>26</v>
      </c>
      <c r="K621" t="s">
        <v>1521</v>
      </c>
      <c r="L621" t="s">
        <v>1521</v>
      </c>
      <c r="M621">
        <v>0</v>
      </c>
      <c r="N621">
        <v>0</v>
      </c>
      <c r="O621">
        <v>1</v>
      </c>
      <c r="P621" t="s">
        <v>18</v>
      </c>
      <c r="Q621" t="s">
        <v>1528</v>
      </c>
      <c r="R621" t="s">
        <v>1514</v>
      </c>
    </row>
    <row r="622" spans="1:18" x14ac:dyDescent="0.45">
      <c r="A622">
        <v>621</v>
      </c>
      <c r="B622">
        <v>0</v>
      </c>
      <c r="C622" t="s">
        <v>1519</v>
      </c>
      <c r="D622" t="s">
        <v>1552</v>
      </c>
      <c r="E622" t="s">
        <v>1285</v>
      </c>
      <c r="F622" t="s">
        <v>722</v>
      </c>
      <c r="G622" t="s">
        <v>547</v>
      </c>
      <c r="H622" t="s">
        <v>9</v>
      </c>
      <c r="I622" t="s">
        <v>1520</v>
      </c>
      <c r="J622">
        <v>27</v>
      </c>
      <c r="K622" t="s">
        <v>1521</v>
      </c>
      <c r="L622" t="s">
        <v>1521</v>
      </c>
      <c r="M622">
        <v>1</v>
      </c>
      <c r="N622">
        <v>0</v>
      </c>
      <c r="O622">
        <v>2</v>
      </c>
      <c r="P622">
        <v>14.4542</v>
      </c>
      <c r="Q622" t="s">
        <v>1528</v>
      </c>
      <c r="R622" t="s">
        <v>1515</v>
      </c>
    </row>
    <row r="623" spans="1:18" x14ac:dyDescent="0.45">
      <c r="A623">
        <v>622</v>
      </c>
      <c r="B623">
        <v>1</v>
      </c>
      <c r="C623" t="s">
        <v>1</v>
      </c>
      <c r="D623" t="s">
        <v>1553</v>
      </c>
      <c r="E623" t="s">
        <v>1286</v>
      </c>
      <c r="F623" t="s">
        <v>722</v>
      </c>
      <c r="G623" t="s">
        <v>548</v>
      </c>
      <c r="H623" t="s">
        <v>9</v>
      </c>
      <c r="I623" t="s">
        <v>1520</v>
      </c>
      <c r="J623">
        <v>42</v>
      </c>
      <c r="K623" t="s">
        <v>1521</v>
      </c>
      <c r="L623" t="s">
        <v>1521</v>
      </c>
      <c r="M623">
        <v>1</v>
      </c>
      <c r="N623">
        <v>0</v>
      </c>
      <c r="O623">
        <v>2</v>
      </c>
      <c r="P623">
        <v>52.554200000000002</v>
      </c>
      <c r="Q623" t="s">
        <v>1528</v>
      </c>
      <c r="R623" t="s">
        <v>1514</v>
      </c>
    </row>
    <row r="624" spans="1:18" x14ac:dyDescent="0.45">
      <c r="A624">
        <v>623</v>
      </c>
      <c r="B624">
        <v>1</v>
      </c>
      <c r="C624" t="s">
        <v>1</v>
      </c>
      <c r="D624" t="s">
        <v>1552</v>
      </c>
      <c r="E624" t="s">
        <v>1287</v>
      </c>
      <c r="F624" t="s">
        <v>722</v>
      </c>
      <c r="G624" t="s">
        <v>377</v>
      </c>
      <c r="H624" t="s">
        <v>9</v>
      </c>
      <c r="I624" t="s">
        <v>1520</v>
      </c>
      <c r="J624">
        <v>20</v>
      </c>
      <c r="K624" t="s">
        <v>1521</v>
      </c>
      <c r="L624" t="s">
        <v>1521</v>
      </c>
      <c r="M624">
        <v>1</v>
      </c>
      <c r="N624">
        <v>1</v>
      </c>
      <c r="O624">
        <v>3</v>
      </c>
      <c r="P624">
        <v>15.7417</v>
      </c>
      <c r="Q624" t="s">
        <v>1528</v>
      </c>
      <c r="R624" t="s">
        <v>1515</v>
      </c>
    </row>
    <row r="625" spans="1:18" x14ac:dyDescent="0.45">
      <c r="A625">
        <v>624</v>
      </c>
      <c r="B625">
        <v>0</v>
      </c>
      <c r="C625" t="s">
        <v>1519</v>
      </c>
      <c r="D625" t="s">
        <v>1552</v>
      </c>
      <c r="E625" t="s">
        <v>1288</v>
      </c>
      <c r="F625" t="s">
        <v>722</v>
      </c>
      <c r="G625" t="s">
        <v>549</v>
      </c>
      <c r="H625" t="s">
        <v>9</v>
      </c>
      <c r="I625" t="s">
        <v>1520</v>
      </c>
      <c r="J625">
        <v>21</v>
      </c>
      <c r="K625" t="s">
        <v>1521</v>
      </c>
      <c r="L625" t="s">
        <v>1521</v>
      </c>
      <c r="M625">
        <v>0</v>
      </c>
      <c r="N625">
        <v>0</v>
      </c>
      <c r="O625">
        <v>1</v>
      </c>
      <c r="P625">
        <v>7.8541999999999996</v>
      </c>
      <c r="Q625" t="s">
        <v>1528</v>
      </c>
      <c r="R625" t="s">
        <v>1514</v>
      </c>
    </row>
    <row r="626" spans="1:18" x14ac:dyDescent="0.45">
      <c r="A626">
        <v>625</v>
      </c>
      <c r="B626">
        <v>0</v>
      </c>
      <c r="C626" t="s">
        <v>1519</v>
      </c>
      <c r="D626" t="s">
        <v>1552</v>
      </c>
      <c r="E626" t="s">
        <v>1289</v>
      </c>
      <c r="F626" t="s">
        <v>722</v>
      </c>
      <c r="G626" t="s">
        <v>550</v>
      </c>
      <c r="H626" t="s">
        <v>9</v>
      </c>
      <c r="I626" t="s">
        <v>1520</v>
      </c>
      <c r="J626">
        <v>21</v>
      </c>
      <c r="K626" t="s">
        <v>1521</v>
      </c>
      <c r="L626" t="s">
        <v>1521</v>
      </c>
      <c r="M626">
        <v>0</v>
      </c>
      <c r="N626">
        <v>0</v>
      </c>
      <c r="O626">
        <v>1</v>
      </c>
      <c r="P626">
        <v>16.100000000000001</v>
      </c>
      <c r="Q626" t="s">
        <v>1528</v>
      </c>
      <c r="R626" t="s">
        <v>1514</v>
      </c>
    </row>
    <row r="627" spans="1:18" x14ac:dyDescent="0.45">
      <c r="A627">
        <v>626</v>
      </c>
      <c r="B627">
        <v>0</v>
      </c>
      <c r="C627" t="s">
        <v>1519</v>
      </c>
      <c r="D627" t="s">
        <v>1553</v>
      </c>
      <c r="E627" t="s">
        <v>932</v>
      </c>
      <c r="F627" t="s">
        <v>722</v>
      </c>
      <c r="G627" t="s">
        <v>551</v>
      </c>
      <c r="H627" t="s">
        <v>9</v>
      </c>
      <c r="I627" t="s">
        <v>1520</v>
      </c>
      <c r="J627">
        <v>61</v>
      </c>
      <c r="K627" t="s">
        <v>1527</v>
      </c>
      <c r="L627" t="s">
        <v>1527</v>
      </c>
      <c r="M627">
        <v>0</v>
      </c>
      <c r="N627">
        <v>0</v>
      </c>
      <c r="O627">
        <v>1</v>
      </c>
      <c r="P627" t="s">
        <v>44</v>
      </c>
      <c r="Q627" t="s">
        <v>1528</v>
      </c>
      <c r="R627" t="s">
        <v>1514</v>
      </c>
    </row>
    <row r="628" spans="1:18" x14ac:dyDescent="0.45">
      <c r="A628">
        <v>627</v>
      </c>
      <c r="B628">
        <v>0</v>
      </c>
      <c r="C628" t="s">
        <v>1519</v>
      </c>
      <c r="D628" t="s">
        <v>1554</v>
      </c>
      <c r="E628" t="s">
        <v>1290</v>
      </c>
      <c r="F628" t="s">
        <v>727</v>
      </c>
      <c r="G628" t="s">
        <v>552</v>
      </c>
      <c r="H628" t="s">
        <v>9</v>
      </c>
      <c r="I628" t="s">
        <v>1520</v>
      </c>
      <c r="J628">
        <v>57</v>
      </c>
      <c r="K628" t="s">
        <v>1521</v>
      </c>
      <c r="L628" t="s">
        <v>1521</v>
      </c>
      <c r="M628">
        <v>0</v>
      </c>
      <c r="N628">
        <v>0</v>
      </c>
      <c r="O628">
        <v>1</v>
      </c>
      <c r="P628">
        <v>12.35</v>
      </c>
      <c r="Q628" t="s">
        <v>1528</v>
      </c>
      <c r="R628" t="s">
        <v>1516</v>
      </c>
    </row>
    <row r="629" spans="1:18" x14ac:dyDescent="0.45">
      <c r="A629">
        <v>628</v>
      </c>
      <c r="B629">
        <v>1</v>
      </c>
      <c r="C629" t="s">
        <v>1</v>
      </c>
      <c r="D629" t="s">
        <v>1553</v>
      </c>
      <c r="E629" t="s">
        <v>1291</v>
      </c>
      <c r="F629" t="s">
        <v>724</v>
      </c>
      <c r="G629" t="s">
        <v>553</v>
      </c>
      <c r="H629" t="s">
        <v>10</v>
      </c>
      <c r="I629" t="s">
        <v>1523</v>
      </c>
      <c r="J629">
        <v>21</v>
      </c>
      <c r="K629" t="s">
        <v>1521</v>
      </c>
      <c r="L629" t="s">
        <v>1521</v>
      </c>
      <c r="M629">
        <v>0</v>
      </c>
      <c r="N629">
        <v>0</v>
      </c>
      <c r="O629">
        <v>1</v>
      </c>
      <c r="P629">
        <v>77.958299999999994</v>
      </c>
      <c r="Q629" t="s">
        <v>1528</v>
      </c>
      <c r="R629" t="s">
        <v>1514</v>
      </c>
    </row>
    <row r="630" spans="1:18" x14ac:dyDescent="0.45">
      <c r="A630">
        <v>629</v>
      </c>
      <c r="B630">
        <v>0</v>
      </c>
      <c r="C630" t="s">
        <v>1519</v>
      </c>
      <c r="D630" t="s">
        <v>1552</v>
      </c>
      <c r="E630" t="s">
        <v>1292</v>
      </c>
      <c r="F630" t="s">
        <v>722</v>
      </c>
      <c r="G630" t="s">
        <v>554</v>
      </c>
      <c r="H630" t="s">
        <v>9</v>
      </c>
      <c r="I630" t="s">
        <v>1520</v>
      </c>
      <c r="J630">
        <v>26</v>
      </c>
      <c r="K630" t="s">
        <v>1521</v>
      </c>
      <c r="L630" t="s">
        <v>1521</v>
      </c>
      <c r="M630">
        <v>0</v>
      </c>
      <c r="N630">
        <v>0</v>
      </c>
      <c r="O630">
        <v>1</v>
      </c>
      <c r="P630">
        <v>7.8958000000000004</v>
      </c>
      <c r="Q630" t="s">
        <v>1528</v>
      </c>
      <c r="R630" t="s">
        <v>1514</v>
      </c>
    </row>
    <row r="631" spans="1:18" x14ac:dyDescent="0.45">
      <c r="A631">
        <v>630</v>
      </c>
      <c r="B631">
        <v>0</v>
      </c>
      <c r="C631" t="s">
        <v>1519</v>
      </c>
      <c r="D631" t="s">
        <v>1552</v>
      </c>
      <c r="E631" t="s">
        <v>1293</v>
      </c>
      <c r="F631" t="s">
        <v>722</v>
      </c>
      <c r="G631" t="s">
        <v>555</v>
      </c>
      <c r="H631" t="s">
        <v>9</v>
      </c>
      <c r="I631" t="s">
        <v>1520</v>
      </c>
      <c r="J631">
        <v>28</v>
      </c>
      <c r="K631" t="s">
        <v>1521</v>
      </c>
      <c r="L631" t="s">
        <v>1521</v>
      </c>
      <c r="M631">
        <v>0</v>
      </c>
      <c r="N631">
        <v>0</v>
      </c>
      <c r="O631">
        <v>1</v>
      </c>
      <c r="P631">
        <v>7.7332999999999998</v>
      </c>
      <c r="Q631" t="s">
        <v>1528</v>
      </c>
      <c r="R631" t="s">
        <v>1516</v>
      </c>
    </row>
    <row r="632" spans="1:18" x14ac:dyDescent="0.45">
      <c r="A632">
        <v>631</v>
      </c>
      <c r="B632">
        <v>1</v>
      </c>
      <c r="C632" t="s">
        <v>1</v>
      </c>
      <c r="D632" t="s">
        <v>1553</v>
      </c>
      <c r="E632" t="s">
        <v>1294</v>
      </c>
      <c r="F632" t="s">
        <v>722</v>
      </c>
      <c r="G632" t="s">
        <v>556</v>
      </c>
      <c r="H632" t="s">
        <v>9</v>
      </c>
      <c r="I632" t="s">
        <v>1520</v>
      </c>
      <c r="J632">
        <v>80</v>
      </c>
      <c r="K632" t="s">
        <v>1527</v>
      </c>
      <c r="L632" t="s">
        <v>1527</v>
      </c>
      <c r="M632">
        <v>0</v>
      </c>
      <c r="N632">
        <v>0</v>
      </c>
      <c r="O632">
        <v>1</v>
      </c>
      <c r="P632">
        <v>314.45420000000001</v>
      </c>
      <c r="Q632" t="s">
        <v>1528</v>
      </c>
      <c r="R632" t="s">
        <v>1514</v>
      </c>
    </row>
    <row r="633" spans="1:18" x14ac:dyDescent="0.45">
      <c r="A633">
        <v>632</v>
      </c>
      <c r="B633">
        <v>0</v>
      </c>
      <c r="C633" t="s">
        <v>1519</v>
      </c>
      <c r="D633" t="s">
        <v>1552</v>
      </c>
      <c r="E633" t="s">
        <v>1295</v>
      </c>
      <c r="F633" t="s">
        <v>722</v>
      </c>
      <c r="G633" t="s">
        <v>557</v>
      </c>
      <c r="H633" t="s">
        <v>9</v>
      </c>
      <c r="I633" t="s">
        <v>1520</v>
      </c>
      <c r="J633">
        <v>51</v>
      </c>
      <c r="K633" t="s">
        <v>1521</v>
      </c>
      <c r="L633" t="s">
        <v>1521</v>
      </c>
      <c r="M633">
        <v>0</v>
      </c>
      <c r="N633">
        <v>0</v>
      </c>
      <c r="O633">
        <v>1</v>
      </c>
      <c r="P633" t="s">
        <v>45</v>
      </c>
      <c r="Q633" t="s">
        <v>1528</v>
      </c>
      <c r="R633" t="s">
        <v>1514</v>
      </c>
    </row>
    <row r="634" spans="1:18" x14ac:dyDescent="0.45">
      <c r="A634">
        <v>633</v>
      </c>
      <c r="B634">
        <v>1</v>
      </c>
      <c r="C634" t="s">
        <v>1</v>
      </c>
      <c r="D634" t="s">
        <v>1553</v>
      </c>
      <c r="E634" t="s">
        <v>1296</v>
      </c>
      <c r="F634" t="s">
        <v>728</v>
      </c>
      <c r="G634" t="s">
        <v>558</v>
      </c>
      <c r="H634" t="s">
        <v>9</v>
      </c>
      <c r="I634" t="s">
        <v>1520</v>
      </c>
      <c r="J634">
        <v>32</v>
      </c>
      <c r="K634" t="s">
        <v>1521</v>
      </c>
      <c r="L634" t="s">
        <v>1521</v>
      </c>
      <c r="M634">
        <v>0</v>
      </c>
      <c r="N634">
        <v>0</v>
      </c>
      <c r="O634">
        <v>1</v>
      </c>
      <c r="P634" t="s">
        <v>33</v>
      </c>
      <c r="Q634" t="s">
        <v>1528</v>
      </c>
      <c r="R634" t="s">
        <v>1515</v>
      </c>
    </row>
    <row r="635" spans="1:18" x14ac:dyDescent="0.45">
      <c r="A635">
        <v>634</v>
      </c>
      <c r="B635">
        <v>0</v>
      </c>
      <c r="C635" t="s">
        <v>1519</v>
      </c>
      <c r="D635" t="s">
        <v>1553</v>
      </c>
      <c r="E635" t="s">
        <v>1297</v>
      </c>
      <c r="F635" t="s">
        <v>722</v>
      </c>
      <c r="G635" t="s">
        <v>559</v>
      </c>
      <c r="H635" t="s">
        <v>9</v>
      </c>
      <c r="I635" t="s">
        <v>1520</v>
      </c>
      <c r="J635">
        <v>28</v>
      </c>
      <c r="K635" t="s">
        <v>1521</v>
      </c>
      <c r="L635" t="s">
        <v>1521</v>
      </c>
      <c r="M635">
        <v>0</v>
      </c>
      <c r="N635">
        <v>0</v>
      </c>
      <c r="O635">
        <v>1</v>
      </c>
      <c r="P635">
        <v>14.4542</v>
      </c>
      <c r="Q635" t="s">
        <v>1528</v>
      </c>
      <c r="R635" t="s">
        <v>1514</v>
      </c>
    </row>
    <row r="636" spans="1:18" x14ac:dyDescent="0.45">
      <c r="A636">
        <v>635</v>
      </c>
      <c r="B636">
        <v>0</v>
      </c>
      <c r="C636" t="s">
        <v>1519</v>
      </c>
      <c r="D636" t="s">
        <v>1552</v>
      </c>
      <c r="E636" t="s">
        <v>1298</v>
      </c>
      <c r="F636" t="s">
        <v>724</v>
      </c>
      <c r="G636" t="s">
        <v>116</v>
      </c>
      <c r="H636" t="s">
        <v>10</v>
      </c>
      <c r="I636" t="s">
        <v>1523</v>
      </c>
      <c r="J636">
        <v>9</v>
      </c>
      <c r="K636" t="s">
        <v>1524</v>
      </c>
      <c r="L636" t="s">
        <v>1524</v>
      </c>
      <c r="M636">
        <v>3</v>
      </c>
      <c r="N636">
        <v>2</v>
      </c>
      <c r="O636">
        <v>6</v>
      </c>
      <c r="P636">
        <v>27.9</v>
      </c>
      <c r="Q636" t="s">
        <v>1528</v>
      </c>
      <c r="R636" t="s">
        <v>1514</v>
      </c>
    </row>
    <row r="637" spans="1:18" x14ac:dyDescent="0.45">
      <c r="A637">
        <v>636</v>
      </c>
      <c r="B637">
        <v>1</v>
      </c>
      <c r="C637" t="s">
        <v>1</v>
      </c>
      <c r="D637" t="s">
        <v>1554</v>
      </c>
      <c r="E637" t="s">
        <v>1073</v>
      </c>
      <c r="F637" t="s">
        <v>724</v>
      </c>
      <c r="G637" t="s">
        <v>560</v>
      </c>
      <c r="H637" t="s">
        <v>10</v>
      </c>
      <c r="I637" t="s">
        <v>1523</v>
      </c>
      <c r="J637">
        <v>28</v>
      </c>
      <c r="K637" t="s">
        <v>1521</v>
      </c>
      <c r="L637" t="s">
        <v>1521</v>
      </c>
      <c r="M637">
        <v>0</v>
      </c>
      <c r="N637">
        <v>0</v>
      </c>
      <c r="O637">
        <v>1</v>
      </c>
      <c r="P637">
        <v>13</v>
      </c>
      <c r="Q637" t="s">
        <v>1528</v>
      </c>
      <c r="R637" t="s">
        <v>1514</v>
      </c>
    </row>
    <row r="638" spans="1:18" x14ac:dyDescent="0.45">
      <c r="A638">
        <v>637</v>
      </c>
      <c r="B638">
        <v>0</v>
      </c>
      <c r="C638" t="s">
        <v>1519</v>
      </c>
      <c r="D638" t="s">
        <v>1552</v>
      </c>
      <c r="E638" t="s">
        <v>1299</v>
      </c>
      <c r="F638" t="s">
        <v>722</v>
      </c>
      <c r="G638" t="s">
        <v>561</v>
      </c>
      <c r="H638" t="s">
        <v>9</v>
      </c>
      <c r="I638" t="s">
        <v>1520</v>
      </c>
      <c r="J638">
        <v>32</v>
      </c>
      <c r="K638" t="s">
        <v>1521</v>
      </c>
      <c r="L638" t="s">
        <v>1521</v>
      </c>
      <c r="M638">
        <v>0</v>
      </c>
      <c r="N638">
        <v>0</v>
      </c>
      <c r="O638">
        <v>1</v>
      </c>
      <c r="P638">
        <v>7.9249999999999998</v>
      </c>
      <c r="Q638" t="s">
        <v>1528</v>
      </c>
      <c r="R638" t="s">
        <v>1514</v>
      </c>
    </row>
    <row r="639" spans="1:18" x14ac:dyDescent="0.45">
      <c r="A639">
        <v>638</v>
      </c>
      <c r="B639">
        <v>0</v>
      </c>
      <c r="C639" t="s">
        <v>1519</v>
      </c>
      <c r="D639" t="s">
        <v>1554</v>
      </c>
      <c r="E639" t="s">
        <v>1300</v>
      </c>
      <c r="F639" t="s">
        <v>722</v>
      </c>
      <c r="G639" t="s">
        <v>263</v>
      </c>
      <c r="H639" t="s">
        <v>9</v>
      </c>
      <c r="I639" t="s">
        <v>1520</v>
      </c>
      <c r="J639">
        <v>31</v>
      </c>
      <c r="K639" t="s">
        <v>1521</v>
      </c>
      <c r="L639" t="s">
        <v>1521</v>
      </c>
      <c r="M639">
        <v>1</v>
      </c>
      <c r="N639">
        <v>1</v>
      </c>
      <c r="O639">
        <v>3</v>
      </c>
      <c r="P639">
        <v>26.25</v>
      </c>
      <c r="Q639" t="s">
        <v>1528</v>
      </c>
      <c r="R639" t="s">
        <v>1514</v>
      </c>
    </row>
    <row r="640" spans="1:18" x14ac:dyDescent="0.45">
      <c r="A640">
        <v>639</v>
      </c>
      <c r="B640">
        <v>0</v>
      </c>
      <c r="C640" t="s">
        <v>1519</v>
      </c>
      <c r="D640" t="s">
        <v>1552</v>
      </c>
      <c r="E640" t="s">
        <v>1301</v>
      </c>
      <c r="F640" t="s">
        <v>723</v>
      </c>
      <c r="G640" t="s">
        <v>103</v>
      </c>
      <c r="H640" t="s">
        <v>10</v>
      </c>
      <c r="I640" t="s">
        <v>1523</v>
      </c>
      <c r="J640">
        <v>41</v>
      </c>
      <c r="K640" t="s">
        <v>1521</v>
      </c>
      <c r="L640" t="s">
        <v>1521</v>
      </c>
      <c r="M640">
        <v>0</v>
      </c>
      <c r="N640">
        <v>5</v>
      </c>
      <c r="O640">
        <v>6</v>
      </c>
      <c r="P640">
        <v>39.6875</v>
      </c>
      <c r="Q640" t="s">
        <v>1528</v>
      </c>
      <c r="R640" t="s">
        <v>1514</v>
      </c>
    </row>
    <row r="641" spans="1:18" x14ac:dyDescent="0.45">
      <c r="A641">
        <v>640</v>
      </c>
      <c r="B641">
        <v>0</v>
      </c>
      <c r="C641" t="s">
        <v>1519</v>
      </c>
      <c r="D641" t="s">
        <v>1552</v>
      </c>
      <c r="E641" t="s">
        <v>1302</v>
      </c>
      <c r="F641" t="s">
        <v>722</v>
      </c>
      <c r="G641" t="s">
        <v>413</v>
      </c>
      <c r="H641" t="s">
        <v>9</v>
      </c>
      <c r="I641" t="s">
        <v>1520</v>
      </c>
      <c r="J641">
        <v>28</v>
      </c>
      <c r="K641" t="s">
        <v>1521</v>
      </c>
      <c r="L641" t="s">
        <v>1521</v>
      </c>
      <c r="M641">
        <v>1</v>
      </c>
      <c r="N641">
        <v>0</v>
      </c>
      <c r="O641">
        <v>2</v>
      </c>
      <c r="P641">
        <v>16.100000000000001</v>
      </c>
      <c r="Q641" t="s">
        <v>1528</v>
      </c>
      <c r="R641" t="s">
        <v>1514</v>
      </c>
    </row>
    <row r="642" spans="1:18" x14ac:dyDescent="0.45">
      <c r="A642">
        <v>641</v>
      </c>
      <c r="B642">
        <v>0</v>
      </c>
      <c r="C642" t="s">
        <v>1519</v>
      </c>
      <c r="D642" t="s">
        <v>1552</v>
      </c>
      <c r="E642" t="s">
        <v>1303</v>
      </c>
      <c r="F642" t="s">
        <v>722</v>
      </c>
      <c r="G642" t="s">
        <v>562</v>
      </c>
      <c r="H642" t="s">
        <v>9</v>
      </c>
      <c r="I642" t="s">
        <v>1520</v>
      </c>
      <c r="J642">
        <v>20</v>
      </c>
      <c r="K642" t="s">
        <v>1521</v>
      </c>
      <c r="L642" t="s">
        <v>1521</v>
      </c>
      <c r="M642">
        <v>0</v>
      </c>
      <c r="N642">
        <v>0</v>
      </c>
      <c r="O642">
        <v>1</v>
      </c>
      <c r="P642">
        <v>7.8541999999999996</v>
      </c>
      <c r="Q642" t="s">
        <v>1528</v>
      </c>
      <c r="R642" t="s">
        <v>1514</v>
      </c>
    </row>
    <row r="643" spans="1:18" x14ac:dyDescent="0.45">
      <c r="A643">
        <v>642</v>
      </c>
      <c r="B643">
        <v>1</v>
      </c>
      <c r="C643" t="s">
        <v>1</v>
      </c>
      <c r="D643" t="s">
        <v>1553</v>
      </c>
      <c r="E643" t="s">
        <v>1304</v>
      </c>
      <c r="F643" t="s">
        <v>734</v>
      </c>
      <c r="G643" t="s">
        <v>563</v>
      </c>
      <c r="H643" t="s">
        <v>10</v>
      </c>
      <c r="I643" t="s">
        <v>1523</v>
      </c>
      <c r="J643">
        <v>24</v>
      </c>
      <c r="K643" t="s">
        <v>1521</v>
      </c>
      <c r="L643" t="s">
        <v>1521</v>
      </c>
      <c r="M643">
        <v>0</v>
      </c>
      <c r="N643">
        <v>0</v>
      </c>
      <c r="O643">
        <v>1</v>
      </c>
      <c r="P643">
        <v>69.3</v>
      </c>
      <c r="Q643" t="s">
        <v>1528</v>
      </c>
      <c r="R643" t="s">
        <v>1515</v>
      </c>
    </row>
    <row r="644" spans="1:18" x14ac:dyDescent="0.45">
      <c r="A644">
        <v>643</v>
      </c>
      <c r="B644">
        <v>0</v>
      </c>
      <c r="C644" t="s">
        <v>1519</v>
      </c>
      <c r="D644" t="s">
        <v>1552</v>
      </c>
      <c r="E644" t="s">
        <v>1305</v>
      </c>
      <c r="F644" t="s">
        <v>724</v>
      </c>
      <c r="G644" t="s">
        <v>116</v>
      </c>
      <c r="H644" t="s">
        <v>10</v>
      </c>
      <c r="I644" t="s">
        <v>1523</v>
      </c>
      <c r="J644">
        <v>2</v>
      </c>
      <c r="K644" t="s">
        <v>1524</v>
      </c>
      <c r="L644" t="s">
        <v>1524</v>
      </c>
      <c r="M644">
        <v>3</v>
      </c>
      <c r="N644">
        <v>2</v>
      </c>
      <c r="O644">
        <v>6</v>
      </c>
      <c r="P644">
        <v>27.9</v>
      </c>
      <c r="Q644" t="s">
        <v>1528</v>
      </c>
      <c r="R644" t="s">
        <v>1514</v>
      </c>
    </row>
    <row r="645" spans="1:18" x14ac:dyDescent="0.45">
      <c r="A645">
        <v>644</v>
      </c>
      <c r="B645">
        <v>1</v>
      </c>
      <c r="C645" t="s">
        <v>1</v>
      </c>
      <c r="D645" t="s">
        <v>1552</v>
      </c>
      <c r="E645" t="s">
        <v>1306</v>
      </c>
      <c r="F645" t="s">
        <v>722</v>
      </c>
      <c r="G645" t="s">
        <v>564</v>
      </c>
      <c r="H645" t="s">
        <v>9</v>
      </c>
      <c r="I645" t="s">
        <v>1520</v>
      </c>
      <c r="J645">
        <v>28</v>
      </c>
      <c r="K645" t="s">
        <v>1521</v>
      </c>
      <c r="L645" t="s">
        <v>1521</v>
      </c>
      <c r="M645">
        <v>0</v>
      </c>
      <c r="N645">
        <v>0</v>
      </c>
      <c r="O645">
        <v>1</v>
      </c>
      <c r="P645">
        <v>56.495800000000003</v>
      </c>
      <c r="Q645" t="s">
        <v>1528</v>
      </c>
      <c r="R645" t="s">
        <v>1514</v>
      </c>
    </row>
    <row r="646" spans="1:18" x14ac:dyDescent="0.45">
      <c r="A646">
        <v>645</v>
      </c>
      <c r="B646">
        <v>1</v>
      </c>
      <c r="C646" t="s">
        <v>1</v>
      </c>
      <c r="D646" t="s">
        <v>1552</v>
      </c>
      <c r="E646" t="s">
        <v>1307</v>
      </c>
      <c r="F646" t="s">
        <v>724</v>
      </c>
      <c r="G646" t="s">
        <v>424</v>
      </c>
      <c r="H646" t="s">
        <v>10</v>
      </c>
      <c r="I646" t="s">
        <v>1523</v>
      </c>
      <c r="J646">
        <v>0.75</v>
      </c>
      <c r="K646" t="s">
        <v>1524</v>
      </c>
      <c r="L646" t="s">
        <v>1524</v>
      </c>
      <c r="M646">
        <v>2</v>
      </c>
      <c r="N646">
        <v>1</v>
      </c>
      <c r="O646">
        <v>4</v>
      </c>
      <c r="P646">
        <v>19.258299999999998</v>
      </c>
      <c r="Q646" t="s">
        <v>1528</v>
      </c>
      <c r="R646" t="s">
        <v>1515</v>
      </c>
    </row>
    <row r="647" spans="1:18" x14ac:dyDescent="0.45">
      <c r="A647">
        <v>646</v>
      </c>
      <c r="B647">
        <v>1</v>
      </c>
      <c r="C647" t="s">
        <v>1</v>
      </c>
      <c r="D647" t="s">
        <v>1553</v>
      </c>
      <c r="E647" t="s">
        <v>1308</v>
      </c>
      <c r="F647" t="s">
        <v>722</v>
      </c>
      <c r="G647" t="s">
        <v>105</v>
      </c>
      <c r="H647" t="s">
        <v>9</v>
      </c>
      <c r="I647" t="s">
        <v>1520</v>
      </c>
      <c r="J647">
        <v>48</v>
      </c>
      <c r="K647" t="s">
        <v>1521</v>
      </c>
      <c r="L647" t="s">
        <v>1521</v>
      </c>
      <c r="M647">
        <v>1</v>
      </c>
      <c r="N647">
        <v>0</v>
      </c>
      <c r="O647">
        <v>2</v>
      </c>
      <c r="P647">
        <v>76.729200000000006</v>
      </c>
      <c r="Q647" t="s">
        <v>1528</v>
      </c>
      <c r="R647" t="s">
        <v>1515</v>
      </c>
    </row>
    <row r="648" spans="1:18" x14ac:dyDescent="0.45">
      <c r="A648">
        <v>647</v>
      </c>
      <c r="B648">
        <v>0</v>
      </c>
      <c r="C648" t="s">
        <v>1519</v>
      </c>
      <c r="D648" t="s">
        <v>1552</v>
      </c>
      <c r="E648" t="s">
        <v>1309</v>
      </c>
      <c r="F648" t="s">
        <v>722</v>
      </c>
      <c r="G648" t="s">
        <v>565</v>
      </c>
      <c r="H648" t="s">
        <v>9</v>
      </c>
      <c r="I648" t="s">
        <v>1520</v>
      </c>
      <c r="J648">
        <v>19</v>
      </c>
      <c r="K648" t="s">
        <v>1521</v>
      </c>
      <c r="L648" t="s">
        <v>1521</v>
      </c>
      <c r="M648">
        <v>0</v>
      </c>
      <c r="N648">
        <v>0</v>
      </c>
      <c r="O648">
        <v>1</v>
      </c>
      <c r="P648">
        <v>7.8958000000000004</v>
      </c>
      <c r="Q648" t="s">
        <v>1528</v>
      </c>
      <c r="R648" t="s">
        <v>1514</v>
      </c>
    </row>
    <row r="649" spans="1:18" x14ac:dyDescent="0.45">
      <c r="A649">
        <v>648</v>
      </c>
      <c r="B649">
        <v>1</v>
      </c>
      <c r="C649" t="s">
        <v>1</v>
      </c>
      <c r="D649" t="s">
        <v>1553</v>
      </c>
      <c r="E649" t="s">
        <v>1310</v>
      </c>
      <c r="F649" t="s">
        <v>735</v>
      </c>
      <c r="G649" t="s">
        <v>566</v>
      </c>
      <c r="H649" t="s">
        <v>9</v>
      </c>
      <c r="I649" t="s">
        <v>1520</v>
      </c>
      <c r="J649">
        <v>56</v>
      </c>
      <c r="K649" t="s">
        <v>1521</v>
      </c>
      <c r="L649" t="s">
        <v>1521</v>
      </c>
      <c r="M649">
        <v>0</v>
      </c>
      <c r="N649">
        <v>0</v>
      </c>
      <c r="O649">
        <v>1</v>
      </c>
      <c r="P649">
        <v>35.5</v>
      </c>
      <c r="Q649" t="s">
        <v>1528</v>
      </c>
      <c r="R649" t="s">
        <v>1515</v>
      </c>
    </row>
    <row r="650" spans="1:18" x14ac:dyDescent="0.45">
      <c r="A650">
        <v>649</v>
      </c>
      <c r="B650">
        <v>0</v>
      </c>
      <c r="C650" t="s">
        <v>1519</v>
      </c>
      <c r="D650" t="s">
        <v>1552</v>
      </c>
      <c r="E650" t="s">
        <v>1227</v>
      </c>
      <c r="F650" t="s">
        <v>722</v>
      </c>
      <c r="G650" t="s">
        <v>567</v>
      </c>
      <c r="H650" t="s">
        <v>9</v>
      </c>
      <c r="I650" t="s">
        <v>1520</v>
      </c>
      <c r="J650">
        <v>28</v>
      </c>
      <c r="K650" t="s">
        <v>1521</v>
      </c>
      <c r="L650" t="s">
        <v>1521</v>
      </c>
      <c r="M650">
        <v>0</v>
      </c>
      <c r="N650">
        <v>0</v>
      </c>
      <c r="O650">
        <v>1</v>
      </c>
      <c r="P650">
        <v>7.55</v>
      </c>
      <c r="Q650" t="s">
        <v>1528</v>
      </c>
      <c r="R650" t="s">
        <v>1514</v>
      </c>
    </row>
    <row r="651" spans="1:18" x14ac:dyDescent="0.45">
      <c r="A651">
        <v>650</v>
      </c>
      <c r="B651">
        <v>1</v>
      </c>
      <c r="C651" t="s">
        <v>1</v>
      </c>
      <c r="D651" t="s">
        <v>1552</v>
      </c>
      <c r="E651" t="s">
        <v>1311</v>
      </c>
      <c r="F651" t="s">
        <v>724</v>
      </c>
      <c r="G651" t="s">
        <v>460</v>
      </c>
      <c r="H651" t="s">
        <v>10</v>
      </c>
      <c r="I651" t="s">
        <v>1523</v>
      </c>
      <c r="J651">
        <v>23</v>
      </c>
      <c r="K651" t="s">
        <v>1521</v>
      </c>
      <c r="L651" t="s">
        <v>1521</v>
      </c>
      <c r="M651">
        <v>0</v>
      </c>
      <c r="N651">
        <v>0</v>
      </c>
      <c r="O651">
        <v>1</v>
      </c>
      <c r="P651">
        <v>7.55</v>
      </c>
      <c r="Q651" t="s">
        <v>1528</v>
      </c>
      <c r="R651" t="s">
        <v>1514</v>
      </c>
    </row>
    <row r="652" spans="1:18" x14ac:dyDescent="0.45">
      <c r="A652">
        <v>651</v>
      </c>
      <c r="B652">
        <v>0</v>
      </c>
      <c r="C652" t="s">
        <v>1519</v>
      </c>
      <c r="D652" t="s">
        <v>1552</v>
      </c>
      <c r="E652" t="s">
        <v>1312</v>
      </c>
      <c r="F652" t="s">
        <v>722</v>
      </c>
      <c r="G652" t="s">
        <v>568</v>
      </c>
      <c r="H652" t="s">
        <v>9</v>
      </c>
      <c r="I652" t="s">
        <v>1520</v>
      </c>
      <c r="J652">
        <v>28</v>
      </c>
      <c r="K652" t="s">
        <v>1521</v>
      </c>
      <c r="L652" t="s">
        <v>1521</v>
      </c>
      <c r="M652">
        <v>0</v>
      </c>
      <c r="N652">
        <v>0</v>
      </c>
      <c r="O652">
        <v>1</v>
      </c>
      <c r="P652">
        <v>7.8958000000000004</v>
      </c>
      <c r="Q652" t="s">
        <v>1528</v>
      </c>
      <c r="R652" t="s">
        <v>1514</v>
      </c>
    </row>
    <row r="653" spans="1:18" x14ac:dyDescent="0.45">
      <c r="A653">
        <v>652</v>
      </c>
      <c r="B653">
        <v>1</v>
      </c>
      <c r="C653" t="s">
        <v>1</v>
      </c>
      <c r="D653" t="s">
        <v>1554</v>
      </c>
      <c r="E653" t="s">
        <v>1313</v>
      </c>
      <c r="F653" t="s">
        <v>724</v>
      </c>
      <c r="G653" t="s">
        <v>148</v>
      </c>
      <c r="H653" t="s">
        <v>10</v>
      </c>
      <c r="I653" t="s">
        <v>1523</v>
      </c>
      <c r="J653">
        <v>18</v>
      </c>
      <c r="K653" t="s">
        <v>1521</v>
      </c>
      <c r="L653" t="s">
        <v>1521</v>
      </c>
      <c r="M653">
        <v>0</v>
      </c>
      <c r="N653">
        <v>1</v>
      </c>
      <c r="O653">
        <v>2</v>
      </c>
      <c r="P653">
        <v>23</v>
      </c>
      <c r="Q653" t="s">
        <v>1528</v>
      </c>
      <c r="R653" t="s">
        <v>1514</v>
      </c>
    </row>
    <row r="654" spans="1:18" x14ac:dyDescent="0.45">
      <c r="A654">
        <v>653</v>
      </c>
      <c r="B654">
        <v>0</v>
      </c>
      <c r="C654" t="s">
        <v>1519</v>
      </c>
      <c r="D654" t="s">
        <v>1552</v>
      </c>
      <c r="E654" t="s">
        <v>1314</v>
      </c>
      <c r="F654" t="s">
        <v>722</v>
      </c>
      <c r="G654" t="s">
        <v>569</v>
      </c>
      <c r="H654" t="s">
        <v>9</v>
      </c>
      <c r="I654" t="s">
        <v>1520</v>
      </c>
      <c r="J654">
        <v>21</v>
      </c>
      <c r="K654" t="s">
        <v>1521</v>
      </c>
      <c r="L654" t="s">
        <v>1521</v>
      </c>
      <c r="M654">
        <v>0</v>
      </c>
      <c r="N654">
        <v>0</v>
      </c>
      <c r="O654">
        <v>1</v>
      </c>
      <c r="P654">
        <v>8.4332999999999991</v>
      </c>
      <c r="Q654" t="s">
        <v>1528</v>
      </c>
      <c r="R654" t="s">
        <v>1514</v>
      </c>
    </row>
    <row r="655" spans="1:18" x14ac:dyDescent="0.45">
      <c r="A655">
        <v>654</v>
      </c>
      <c r="B655">
        <v>1</v>
      </c>
      <c r="C655" t="s">
        <v>1</v>
      </c>
      <c r="D655" t="s">
        <v>1552</v>
      </c>
      <c r="E655" t="s">
        <v>1315</v>
      </c>
      <c r="F655" t="s">
        <v>724</v>
      </c>
      <c r="G655" t="s">
        <v>570</v>
      </c>
      <c r="H655" t="s">
        <v>10</v>
      </c>
      <c r="I655" t="s">
        <v>1523</v>
      </c>
      <c r="J655">
        <v>28</v>
      </c>
      <c r="K655" t="s">
        <v>1521</v>
      </c>
      <c r="L655" t="s">
        <v>1521</v>
      </c>
      <c r="M655">
        <v>0</v>
      </c>
      <c r="N655">
        <v>0</v>
      </c>
      <c r="O655">
        <v>1</v>
      </c>
      <c r="P655">
        <v>7.8292000000000002</v>
      </c>
      <c r="Q655" t="s">
        <v>1528</v>
      </c>
      <c r="R655" t="s">
        <v>1516</v>
      </c>
    </row>
    <row r="656" spans="1:18" x14ac:dyDescent="0.45">
      <c r="A656">
        <v>655</v>
      </c>
      <c r="B656">
        <v>0</v>
      </c>
      <c r="C656" t="s">
        <v>1519</v>
      </c>
      <c r="D656" t="s">
        <v>1552</v>
      </c>
      <c r="E656" t="s">
        <v>996</v>
      </c>
      <c r="F656" t="s">
        <v>724</v>
      </c>
      <c r="G656" t="s">
        <v>571</v>
      </c>
      <c r="H656" t="s">
        <v>10</v>
      </c>
      <c r="I656" t="s">
        <v>1523</v>
      </c>
      <c r="J656">
        <v>18</v>
      </c>
      <c r="K656" t="s">
        <v>1521</v>
      </c>
      <c r="L656" t="s">
        <v>1521</v>
      </c>
      <c r="M656">
        <v>0</v>
      </c>
      <c r="N656">
        <v>0</v>
      </c>
      <c r="O656">
        <v>1</v>
      </c>
      <c r="P656">
        <v>6.75</v>
      </c>
      <c r="Q656" t="s">
        <v>1528</v>
      </c>
      <c r="R656" t="s">
        <v>1516</v>
      </c>
    </row>
    <row r="657" spans="1:18" x14ac:dyDescent="0.45">
      <c r="A657">
        <v>656</v>
      </c>
      <c r="B657">
        <v>0</v>
      </c>
      <c r="C657" t="s">
        <v>1519</v>
      </c>
      <c r="D657" t="s">
        <v>1554</v>
      </c>
      <c r="E657" t="s">
        <v>1316</v>
      </c>
      <c r="F657" t="s">
        <v>722</v>
      </c>
      <c r="G657" t="s">
        <v>167</v>
      </c>
      <c r="H657" t="s">
        <v>9</v>
      </c>
      <c r="I657" t="s">
        <v>1520</v>
      </c>
      <c r="J657">
        <v>24</v>
      </c>
      <c r="K657" t="s">
        <v>1521</v>
      </c>
      <c r="L657" t="s">
        <v>1521</v>
      </c>
      <c r="M657">
        <v>2</v>
      </c>
      <c r="N657">
        <v>0</v>
      </c>
      <c r="O657">
        <v>3</v>
      </c>
      <c r="P657">
        <v>73.5</v>
      </c>
      <c r="Q657" t="s">
        <v>1528</v>
      </c>
      <c r="R657" t="s">
        <v>1514</v>
      </c>
    </row>
    <row r="658" spans="1:18" x14ac:dyDescent="0.45">
      <c r="A658">
        <v>657</v>
      </c>
      <c r="B658">
        <v>0</v>
      </c>
      <c r="C658" t="s">
        <v>1519</v>
      </c>
      <c r="D658" t="s">
        <v>1552</v>
      </c>
      <c r="E658" t="s">
        <v>994</v>
      </c>
      <c r="F658" t="s">
        <v>722</v>
      </c>
      <c r="G658" t="s">
        <v>572</v>
      </c>
      <c r="H658" t="s">
        <v>9</v>
      </c>
      <c r="I658" t="s">
        <v>1520</v>
      </c>
      <c r="J658">
        <v>28</v>
      </c>
      <c r="K658" t="s">
        <v>1521</v>
      </c>
      <c r="L658" t="s">
        <v>1521</v>
      </c>
      <c r="M658">
        <v>0</v>
      </c>
      <c r="N658">
        <v>0</v>
      </c>
      <c r="O658">
        <v>1</v>
      </c>
      <c r="P658">
        <v>7.8958000000000004</v>
      </c>
      <c r="Q658" t="s">
        <v>1528</v>
      </c>
      <c r="R658" t="s">
        <v>1514</v>
      </c>
    </row>
    <row r="659" spans="1:18" x14ac:dyDescent="0.45">
      <c r="A659">
        <v>658</v>
      </c>
      <c r="B659">
        <v>0</v>
      </c>
      <c r="C659" t="s">
        <v>1519</v>
      </c>
      <c r="D659" t="s">
        <v>1552</v>
      </c>
      <c r="E659" t="s">
        <v>1317</v>
      </c>
      <c r="F659" t="s">
        <v>723</v>
      </c>
      <c r="G659" t="s">
        <v>222</v>
      </c>
      <c r="H659" t="s">
        <v>10</v>
      </c>
      <c r="I659" t="s">
        <v>1523</v>
      </c>
      <c r="J659">
        <v>32</v>
      </c>
      <c r="K659" t="s">
        <v>1521</v>
      </c>
      <c r="L659" t="s">
        <v>1521</v>
      </c>
      <c r="M659">
        <v>1</v>
      </c>
      <c r="N659">
        <v>1</v>
      </c>
      <c r="O659">
        <v>3</v>
      </c>
      <c r="P659">
        <v>15.5</v>
      </c>
      <c r="Q659" t="s">
        <v>1528</v>
      </c>
      <c r="R659" t="s">
        <v>1516</v>
      </c>
    </row>
    <row r="660" spans="1:18" x14ac:dyDescent="0.45">
      <c r="A660">
        <v>659</v>
      </c>
      <c r="B660">
        <v>0</v>
      </c>
      <c r="C660" t="s">
        <v>1519</v>
      </c>
      <c r="D660" t="s">
        <v>1554</v>
      </c>
      <c r="E660" t="s">
        <v>1318</v>
      </c>
      <c r="F660" t="s">
        <v>722</v>
      </c>
      <c r="G660" t="s">
        <v>573</v>
      </c>
      <c r="H660" t="s">
        <v>9</v>
      </c>
      <c r="I660" t="s">
        <v>1520</v>
      </c>
      <c r="J660">
        <v>23</v>
      </c>
      <c r="K660" t="s">
        <v>1521</v>
      </c>
      <c r="L660" t="s">
        <v>1521</v>
      </c>
      <c r="M660">
        <v>0</v>
      </c>
      <c r="N660">
        <v>0</v>
      </c>
      <c r="O660">
        <v>1</v>
      </c>
      <c r="P660">
        <v>13</v>
      </c>
      <c r="Q660" t="s">
        <v>1528</v>
      </c>
      <c r="R660" t="s">
        <v>1514</v>
      </c>
    </row>
    <row r="661" spans="1:18" x14ac:dyDescent="0.45">
      <c r="A661">
        <v>660</v>
      </c>
      <c r="B661">
        <v>0</v>
      </c>
      <c r="C661" t="s">
        <v>1519</v>
      </c>
      <c r="D661" t="s">
        <v>1553</v>
      </c>
      <c r="E661" t="s">
        <v>1319</v>
      </c>
      <c r="F661" t="s">
        <v>722</v>
      </c>
      <c r="G661" t="s">
        <v>245</v>
      </c>
      <c r="H661" t="s">
        <v>9</v>
      </c>
      <c r="I661" t="s">
        <v>1520</v>
      </c>
      <c r="J661">
        <v>58</v>
      </c>
      <c r="K661" t="s">
        <v>1521</v>
      </c>
      <c r="L661" t="s">
        <v>1521</v>
      </c>
      <c r="M661">
        <v>0</v>
      </c>
      <c r="N661">
        <v>2</v>
      </c>
      <c r="O661">
        <v>3</v>
      </c>
      <c r="P661">
        <v>113.27500000000001</v>
      </c>
      <c r="Q661" t="s">
        <v>1528</v>
      </c>
      <c r="R661" t="s">
        <v>1515</v>
      </c>
    </row>
    <row r="662" spans="1:18" x14ac:dyDescent="0.45">
      <c r="A662">
        <v>661</v>
      </c>
      <c r="B662">
        <v>1</v>
      </c>
      <c r="C662" t="s">
        <v>1</v>
      </c>
      <c r="D662" t="s">
        <v>1553</v>
      </c>
      <c r="E662" t="s">
        <v>1320</v>
      </c>
      <c r="F662" t="s">
        <v>728</v>
      </c>
      <c r="G662" t="s">
        <v>341</v>
      </c>
      <c r="H662" t="s">
        <v>9</v>
      </c>
      <c r="I662" t="s">
        <v>1520</v>
      </c>
      <c r="J662">
        <v>50</v>
      </c>
      <c r="K662" t="s">
        <v>1521</v>
      </c>
      <c r="L662" t="s">
        <v>1521</v>
      </c>
      <c r="M662">
        <v>2</v>
      </c>
      <c r="N662">
        <v>0</v>
      </c>
      <c r="O662">
        <v>3</v>
      </c>
      <c r="P662">
        <v>133.65</v>
      </c>
      <c r="Q662" t="s">
        <v>1528</v>
      </c>
      <c r="R662" t="s">
        <v>1514</v>
      </c>
    </row>
    <row r="663" spans="1:18" x14ac:dyDescent="0.45">
      <c r="A663">
        <v>662</v>
      </c>
      <c r="B663">
        <v>0</v>
      </c>
      <c r="C663" t="s">
        <v>1519</v>
      </c>
      <c r="D663" t="s">
        <v>1552</v>
      </c>
      <c r="E663" t="s">
        <v>1321</v>
      </c>
      <c r="F663" t="s">
        <v>722</v>
      </c>
      <c r="G663" t="s">
        <v>574</v>
      </c>
      <c r="H663" t="s">
        <v>9</v>
      </c>
      <c r="I663" t="s">
        <v>1520</v>
      </c>
      <c r="J663">
        <v>40</v>
      </c>
      <c r="K663" t="s">
        <v>1521</v>
      </c>
      <c r="L663" t="s">
        <v>1521</v>
      </c>
      <c r="M663">
        <v>0</v>
      </c>
      <c r="N663">
        <v>0</v>
      </c>
      <c r="O663">
        <v>1</v>
      </c>
      <c r="P663">
        <v>7.2249999999999996</v>
      </c>
      <c r="Q663" t="s">
        <v>1528</v>
      </c>
      <c r="R663" t="s">
        <v>1515</v>
      </c>
    </row>
    <row r="664" spans="1:18" x14ac:dyDescent="0.45">
      <c r="A664">
        <v>663</v>
      </c>
      <c r="B664">
        <v>0</v>
      </c>
      <c r="C664" t="s">
        <v>1519</v>
      </c>
      <c r="D664" t="s">
        <v>1553</v>
      </c>
      <c r="E664" t="s">
        <v>1322</v>
      </c>
      <c r="F664" t="s">
        <v>722</v>
      </c>
      <c r="G664" t="s">
        <v>575</v>
      </c>
      <c r="H664" t="s">
        <v>9</v>
      </c>
      <c r="I664" t="s">
        <v>1520</v>
      </c>
      <c r="J664">
        <v>47</v>
      </c>
      <c r="K664" t="s">
        <v>1521</v>
      </c>
      <c r="L664" t="s">
        <v>1521</v>
      </c>
      <c r="M664">
        <v>0</v>
      </c>
      <c r="N664">
        <v>0</v>
      </c>
      <c r="O664">
        <v>1</v>
      </c>
      <c r="P664">
        <v>25.587499999999999</v>
      </c>
      <c r="Q664" t="s">
        <v>1528</v>
      </c>
      <c r="R664" t="s">
        <v>1514</v>
      </c>
    </row>
    <row r="665" spans="1:18" x14ac:dyDescent="0.45">
      <c r="A665">
        <v>664</v>
      </c>
      <c r="B665">
        <v>0</v>
      </c>
      <c r="C665" t="s">
        <v>1519</v>
      </c>
      <c r="D665" t="s">
        <v>1552</v>
      </c>
      <c r="E665" t="s">
        <v>1323</v>
      </c>
      <c r="F665" t="s">
        <v>722</v>
      </c>
      <c r="G665" t="s">
        <v>475</v>
      </c>
      <c r="H665" t="s">
        <v>9</v>
      </c>
      <c r="I665" t="s">
        <v>1520</v>
      </c>
      <c r="J665">
        <v>36</v>
      </c>
      <c r="K665" t="s">
        <v>1521</v>
      </c>
      <c r="L665" t="s">
        <v>1521</v>
      </c>
      <c r="M665">
        <v>0</v>
      </c>
      <c r="N665">
        <v>0</v>
      </c>
      <c r="O665">
        <v>1</v>
      </c>
      <c r="P665">
        <v>7.4958</v>
      </c>
      <c r="Q665" t="s">
        <v>1528</v>
      </c>
      <c r="R665" t="s">
        <v>1514</v>
      </c>
    </row>
    <row r="666" spans="1:18" x14ac:dyDescent="0.45">
      <c r="A666">
        <v>665</v>
      </c>
      <c r="B666">
        <v>1</v>
      </c>
      <c r="C666" t="s">
        <v>1</v>
      </c>
      <c r="D666" t="s">
        <v>1552</v>
      </c>
      <c r="E666" t="s">
        <v>1324</v>
      </c>
      <c r="F666" t="s">
        <v>722</v>
      </c>
      <c r="G666" t="s">
        <v>576</v>
      </c>
      <c r="H666" t="s">
        <v>9</v>
      </c>
      <c r="I666" t="s">
        <v>1520</v>
      </c>
      <c r="J666">
        <v>20</v>
      </c>
      <c r="K666" t="s">
        <v>1521</v>
      </c>
      <c r="L666" t="s">
        <v>1521</v>
      </c>
      <c r="M666">
        <v>1</v>
      </c>
      <c r="N666">
        <v>0</v>
      </c>
      <c r="O666">
        <v>2</v>
      </c>
      <c r="P666">
        <v>7.9249999999999998</v>
      </c>
      <c r="Q666" t="s">
        <v>1528</v>
      </c>
      <c r="R666" t="s">
        <v>1514</v>
      </c>
    </row>
    <row r="667" spans="1:18" x14ac:dyDescent="0.45">
      <c r="A667">
        <v>666</v>
      </c>
      <c r="B667">
        <v>0</v>
      </c>
      <c r="C667" t="s">
        <v>1519</v>
      </c>
      <c r="D667" t="s">
        <v>1554</v>
      </c>
      <c r="E667" t="s">
        <v>1325</v>
      </c>
      <c r="F667" t="s">
        <v>722</v>
      </c>
      <c r="G667" t="s">
        <v>167</v>
      </c>
      <c r="H667" t="s">
        <v>9</v>
      </c>
      <c r="I667" t="s">
        <v>1520</v>
      </c>
      <c r="J667">
        <v>32</v>
      </c>
      <c r="K667" t="s">
        <v>1521</v>
      </c>
      <c r="L667" t="s">
        <v>1521</v>
      </c>
      <c r="M667">
        <v>2</v>
      </c>
      <c r="N667">
        <v>0</v>
      </c>
      <c r="O667">
        <v>3</v>
      </c>
      <c r="P667">
        <v>73.5</v>
      </c>
      <c r="Q667" t="s">
        <v>1528</v>
      </c>
      <c r="R667" t="s">
        <v>1514</v>
      </c>
    </row>
    <row r="668" spans="1:18" x14ac:dyDescent="0.45">
      <c r="A668">
        <v>667</v>
      </c>
      <c r="B668">
        <v>0</v>
      </c>
      <c r="C668" t="s">
        <v>1519</v>
      </c>
      <c r="D668" t="s">
        <v>1554</v>
      </c>
      <c r="E668" t="s">
        <v>1326</v>
      </c>
      <c r="F668" t="s">
        <v>722</v>
      </c>
      <c r="G668" t="s">
        <v>577</v>
      </c>
      <c r="H668" t="s">
        <v>9</v>
      </c>
      <c r="I668" t="s">
        <v>1520</v>
      </c>
      <c r="J668">
        <v>25</v>
      </c>
      <c r="K668" t="s">
        <v>1521</v>
      </c>
      <c r="L668" t="s">
        <v>1521</v>
      </c>
      <c r="M668">
        <v>0</v>
      </c>
      <c r="N668">
        <v>0</v>
      </c>
      <c r="O668">
        <v>1</v>
      </c>
      <c r="P668">
        <v>13</v>
      </c>
      <c r="Q668" t="s">
        <v>1528</v>
      </c>
      <c r="R668" t="s">
        <v>1514</v>
      </c>
    </row>
    <row r="669" spans="1:18" x14ac:dyDescent="0.45">
      <c r="A669">
        <v>668</v>
      </c>
      <c r="B669">
        <v>0</v>
      </c>
      <c r="C669" t="s">
        <v>1519</v>
      </c>
      <c r="D669" t="s">
        <v>1552</v>
      </c>
      <c r="E669" t="s">
        <v>1327</v>
      </c>
      <c r="F669" t="s">
        <v>722</v>
      </c>
      <c r="G669" t="s">
        <v>578</v>
      </c>
      <c r="H669" t="s">
        <v>9</v>
      </c>
      <c r="I669" t="s">
        <v>1520</v>
      </c>
      <c r="J669">
        <v>28</v>
      </c>
      <c r="K669" t="s">
        <v>1521</v>
      </c>
      <c r="L669" t="s">
        <v>1521</v>
      </c>
      <c r="M669">
        <v>0</v>
      </c>
      <c r="N669">
        <v>0</v>
      </c>
      <c r="O669">
        <v>1</v>
      </c>
      <c r="P669">
        <v>7.7750000000000004</v>
      </c>
      <c r="Q669" t="s">
        <v>1528</v>
      </c>
      <c r="R669" t="s">
        <v>1514</v>
      </c>
    </row>
    <row r="670" spans="1:18" x14ac:dyDescent="0.45">
      <c r="A670">
        <v>669</v>
      </c>
      <c r="B670">
        <v>0</v>
      </c>
      <c r="C670" t="s">
        <v>1519</v>
      </c>
      <c r="D670" t="s">
        <v>1552</v>
      </c>
      <c r="E670" t="s">
        <v>1328</v>
      </c>
      <c r="F670" t="s">
        <v>722</v>
      </c>
      <c r="G670" t="s">
        <v>579</v>
      </c>
      <c r="H670" t="s">
        <v>9</v>
      </c>
      <c r="I670" t="s">
        <v>1520</v>
      </c>
      <c r="J670">
        <v>43</v>
      </c>
      <c r="K670" t="s">
        <v>1521</v>
      </c>
      <c r="L670" t="s">
        <v>1521</v>
      </c>
      <c r="M670">
        <v>0</v>
      </c>
      <c r="N670">
        <v>0</v>
      </c>
      <c r="O670">
        <v>1</v>
      </c>
      <c r="P670" t="s">
        <v>12</v>
      </c>
      <c r="Q670" t="s">
        <v>1528</v>
      </c>
      <c r="R670" t="s">
        <v>1514</v>
      </c>
    </row>
    <row r="671" spans="1:18" x14ac:dyDescent="0.45">
      <c r="A671">
        <v>670</v>
      </c>
      <c r="B671">
        <v>1</v>
      </c>
      <c r="C671" t="s">
        <v>1</v>
      </c>
      <c r="D671" t="s">
        <v>1553</v>
      </c>
      <c r="E671" t="s">
        <v>1329</v>
      </c>
      <c r="F671" t="s">
        <v>723</v>
      </c>
      <c r="G671" t="s">
        <v>580</v>
      </c>
      <c r="H671" t="s">
        <v>10</v>
      </c>
      <c r="I671" t="s">
        <v>1523</v>
      </c>
      <c r="J671">
        <v>28</v>
      </c>
      <c r="K671" t="s">
        <v>1521</v>
      </c>
      <c r="L671" t="s">
        <v>1521</v>
      </c>
      <c r="M671">
        <v>1</v>
      </c>
      <c r="N671">
        <v>0</v>
      </c>
      <c r="O671">
        <v>2</v>
      </c>
      <c r="P671">
        <v>52</v>
      </c>
      <c r="Q671" t="s">
        <v>1528</v>
      </c>
      <c r="R671" t="s">
        <v>1514</v>
      </c>
    </row>
    <row r="672" spans="1:18" x14ac:dyDescent="0.45">
      <c r="A672">
        <v>671</v>
      </c>
      <c r="B672">
        <v>1</v>
      </c>
      <c r="C672" t="s">
        <v>1</v>
      </c>
      <c r="D672" t="s">
        <v>1554</v>
      </c>
      <c r="E672" t="s">
        <v>1330</v>
      </c>
      <c r="F672" t="s">
        <v>723</v>
      </c>
      <c r="G672" t="s">
        <v>227</v>
      </c>
      <c r="H672" t="s">
        <v>10</v>
      </c>
      <c r="I672" t="s">
        <v>1523</v>
      </c>
      <c r="J672">
        <v>40</v>
      </c>
      <c r="K672" t="s">
        <v>1521</v>
      </c>
      <c r="L672" t="s">
        <v>1521</v>
      </c>
      <c r="M672">
        <v>1</v>
      </c>
      <c r="N672">
        <v>1</v>
      </c>
      <c r="O672">
        <v>3</v>
      </c>
      <c r="P672">
        <v>39</v>
      </c>
      <c r="Q672" t="s">
        <v>1528</v>
      </c>
      <c r="R672" t="s">
        <v>1514</v>
      </c>
    </row>
    <row r="673" spans="1:18" x14ac:dyDescent="0.45">
      <c r="A673">
        <v>672</v>
      </c>
      <c r="B673">
        <v>0</v>
      </c>
      <c r="C673" t="s">
        <v>1519</v>
      </c>
      <c r="D673" t="s">
        <v>1553</v>
      </c>
      <c r="E673" t="s">
        <v>1331</v>
      </c>
      <c r="F673" t="s">
        <v>722</v>
      </c>
      <c r="G673" t="s">
        <v>581</v>
      </c>
      <c r="H673" t="s">
        <v>9</v>
      </c>
      <c r="I673" t="s">
        <v>1520</v>
      </c>
      <c r="J673">
        <v>31</v>
      </c>
      <c r="K673" t="s">
        <v>1521</v>
      </c>
      <c r="L673" t="s">
        <v>1521</v>
      </c>
      <c r="M673">
        <v>1</v>
      </c>
      <c r="N673">
        <v>0</v>
      </c>
      <c r="O673">
        <v>2</v>
      </c>
      <c r="P673">
        <v>52</v>
      </c>
      <c r="Q673" t="s">
        <v>1528</v>
      </c>
      <c r="R673" t="s">
        <v>1514</v>
      </c>
    </row>
    <row r="674" spans="1:18" x14ac:dyDescent="0.45">
      <c r="A674">
        <v>673</v>
      </c>
      <c r="B674">
        <v>0</v>
      </c>
      <c r="C674" t="s">
        <v>1519</v>
      </c>
      <c r="D674" t="s">
        <v>1554</v>
      </c>
      <c r="E674" t="s">
        <v>1332</v>
      </c>
      <c r="F674" t="s">
        <v>722</v>
      </c>
      <c r="G674" t="s">
        <v>582</v>
      </c>
      <c r="H674" t="s">
        <v>9</v>
      </c>
      <c r="I674" t="s">
        <v>1520</v>
      </c>
      <c r="J674">
        <v>70</v>
      </c>
      <c r="K674" t="s">
        <v>1527</v>
      </c>
      <c r="L674" t="s">
        <v>1527</v>
      </c>
      <c r="M674">
        <v>0</v>
      </c>
      <c r="N674">
        <v>0</v>
      </c>
      <c r="O674">
        <v>1</v>
      </c>
      <c r="P674" t="s">
        <v>18</v>
      </c>
      <c r="Q674" t="s">
        <v>1528</v>
      </c>
      <c r="R674" t="s">
        <v>1514</v>
      </c>
    </row>
    <row r="675" spans="1:18" x14ac:dyDescent="0.45">
      <c r="A675">
        <v>674</v>
      </c>
      <c r="B675">
        <v>1</v>
      </c>
      <c r="C675" t="s">
        <v>1</v>
      </c>
      <c r="D675" t="s">
        <v>1554</v>
      </c>
      <c r="E675" t="s">
        <v>1333</v>
      </c>
      <c r="F675" t="s">
        <v>722</v>
      </c>
      <c r="G675" t="s">
        <v>583</v>
      </c>
      <c r="H675" t="s">
        <v>9</v>
      </c>
      <c r="I675" t="s">
        <v>1520</v>
      </c>
      <c r="J675">
        <v>31</v>
      </c>
      <c r="K675" t="s">
        <v>1521</v>
      </c>
      <c r="L675" t="s">
        <v>1521</v>
      </c>
      <c r="M675">
        <v>0</v>
      </c>
      <c r="N675">
        <v>0</v>
      </c>
      <c r="O675">
        <v>1</v>
      </c>
      <c r="P675">
        <v>13</v>
      </c>
      <c r="Q675" t="s">
        <v>1528</v>
      </c>
      <c r="R675" t="s">
        <v>1514</v>
      </c>
    </row>
    <row r="676" spans="1:18" x14ac:dyDescent="0.45">
      <c r="A676">
        <v>675</v>
      </c>
      <c r="B676">
        <v>0</v>
      </c>
      <c r="C676" t="s">
        <v>1519</v>
      </c>
      <c r="D676" t="s">
        <v>1554</v>
      </c>
      <c r="E676" t="s">
        <v>1334</v>
      </c>
      <c r="F676" t="s">
        <v>722</v>
      </c>
      <c r="G676" t="s">
        <v>584</v>
      </c>
      <c r="H676" t="s">
        <v>9</v>
      </c>
      <c r="I676" t="s">
        <v>1520</v>
      </c>
      <c r="J676">
        <v>28</v>
      </c>
      <c r="K676" t="s">
        <v>1521</v>
      </c>
      <c r="L676" t="s">
        <v>1521</v>
      </c>
      <c r="M676">
        <v>0</v>
      </c>
      <c r="N676">
        <v>0</v>
      </c>
      <c r="O676">
        <v>1</v>
      </c>
      <c r="P676">
        <v>14.4542</v>
      </c>
      <c r="Q676" t="s">
        <v>1528</v>
      </c>
      <c r="R676" t="s">
        <v>1514</v>
      </c>
    </row>
    <row r="677" spans="1:18" x14ac:dyDescent="0.45">
      <c r="A677">
        <v>676</v>
      </c>
      <c r="B677">
        <v>0</v>
      </c>
      <c r="C677" t="s">
        <v>1519</v>
      </c>
      <c r="D677" t="s">
        <v>1552</v>
      </c>
      <c r="E677" t="s">
        <v>1335</v>
      </c>
      <c r="F677" t="s">
        <v>722</v>
      </c>
      <c r="G677" t="s">
        <v>585</v>
      </c>
      <c r="H677" t="s">
        <v>9</v>
      </c>
      <c r="I677" t="s">
        <v>1520</v>
      </c>
      <c r="J677">
        <v>18</v>
      </c>
      <c r="K677" t="s">
        <v>1521</v>
      </c>
      <c r="L677" t="s">
        <v>1521</v>
      </c>
      <c r="M677">
        <v>0</v>
      </c>
      <c r="N677">
        <v>0</v>
      </c>
      <c r="O677">
        <v>1</v>
      </c>
      <c r="P677">
        <v>7.7750000000000004</v>
      </c>
      <c r="Q677" t="s">
        <v>1528</v>
      </c>
      <c r="R677" t="s">
        <v>1514</v>
      </c>
    </row>
    <row r="678" spans="1:18" x14ac:dyDescent="0.45">
      <c r="A678">
        <v>677</v>
      </c>
      <c r="B678">
        <v>0</v>
      </c>
      <c r="C678" t="s">
        <v>1519</v>
      </c>
      <c r="D678" t="s">
        <v>1552</v>
      </c>
      <c r="E678" t="s">
        <v>1336</v>
      </c>
      <c r="F678" t="s">
        <v>722</v>
      </c>
      <c r="G678" t="s">
        <v>586</v>
      </c>
      <c r="H678" t="s">
        <v>9</v>
      </c>
      <c r="I678" t="s">
        <v>1520</v>
      </c>
      <c r="J678">
        <v>24.5</v>
      </c>
      <c r="K678" t="s">
        <v>1521</v>
      </c>
      <c r="L678" t="s">
        <v>1521</v>
      </c>
      <c r="M678">
        <v>0</v>
      </c>
      <c r="N678">
        <v>0</v>
      </c>
      <c r="O678">
        <v>1</v>
      </c>
      <c r="P678" t="s">
        <v>12</v>
      </c>
      <c r="Q678" t="s">
        <v>1528</v>
      </c>
      <c r="R678" t="s">
        <v>1514</v>
      </c>
    </row>
    <row r="679" spans="1:18" x14ac:dyDescent="0.45">
      <c r="A679">
        <v>678</v>
      </c>
      <c r="B679">
        <v>1</v>
      </c>
      <c r="C679" t="s">
        <v>1</v>
      </c>
      <c r="D679" t="s">
        <v>1552</v>
      </c>
      <c r="E679" t="s">
        <v>876</v>
      </c>
      <c r="F679" t="s">
        <v>724</v>
      </c>
      <c r="G679" t="s">
        <v>587</v>
      </c>
      <c r="H679" t="s">
        <v>10</v>
      </c>
      <c r="I679" t="s">
        <v>1523</v>
      </c>
      <c r="J679">
        <v>18</v>
      </c>
      <c r="K679" t="s">
        <v>1521</v>
      </c>
      <c r="L679" t="s">
        <v>1521</v>
      </c>
      <c r="M679">
        <v>0</v>
      </c>
      <c r="N679">
        <v>0</v>
      </c>
      <c r="O679">
        <v>1</v>
      </c>
      <c r="P679">
        <v>9.8416999999999994</v>
      </c>
      <c r="Q679" t="s">
        <v>1528</v>
      </c>
      <c r="R679" t="s">
        <v>1514</v>
      </c>
    </row>
    <row r="680" spans="1:18" x14ac:dyDescent="0.45">
      <c r="A680">
        <v>679</v>
      </c>
      <c r="B680">
        <v>0</v>
      </c>
      <c r="C680" t="s">
        <v>1519</v>
      </c>
      <c r="D680" t="s">
        <v>1552</v>
      </c>
      <c r="E680" t="s">
        <v>1337</v>
      </c>
      <c r="F680" t="s">
        <v>723</v>
      </c>
      <c r="G680" t="s">
        <v>112</v>
      </c>
      <c r="H680" t="s">
        <v>10</v>
      </c>
      <c r="I680" t="s">
        <v>1523</v>
      </c>
      <c r="J680">
        <v>43</v>
      </c>
      <c r="K680" t="s">
        <v>1521</v>
      </c>
      <c r="L680" t="s">
        <v>1521</v>
      </c>
      <c r="M680">
        <v>1</v>
      </c>
      <c r="N680">
        <v>6</v>
      </c>
      <c r="O680">
        <v>8</v>
      </c>
      <c r="P680">
        <v>46.9</v>
      </c>
      <c r="Q680" t="s">
        <v>1528</v>
      </c>
      <c r="R680" t="s">
        <v>1514</v>
      </c>
    </row>
    <row r="681" spans="1:18" x14ac:dyDescent="0.45">
      <c r="A681">
        <v>680</v>
      </c>
      <c r="B681">
        <v>1</v>
      </c>
      <c r="C681" t="s">
        <v>1</v>
      </c>
      <c r="D681" t="s">
        <v>1553</v>
      </c>
      <c r="E681" t="s">
        <v>1338</v>
      </c>
      <c r="F681" t="s">
        <v>722</v>
      </c>
      <c r="G681" t="s">
        <v>588</v>
      </c>
      <c r="H681" t="s">
        <v>9</v>
      </c>
      <c r="I681" t="s">
        <v>1520</v>
      </c>
      <c r="J681">
        <v>36</v>
      </c>
      <c r="K681" t="s">
        <v>1521</v>
      </c>
      <c r="L681" t="s">
        <v>1521</v>
      </c>
      <c r="M681">
        <v>0</v>
      </c>
      <c r="N681">
        <v>1</v>
      </c>
      <c r="O681">
        <v>2</v>
      </c>
      <c r="P681">
        <v>512.32920000000001</v>
      </c>
      <c r="Q681" t="s">
        <v>1528</v>
      </c>
      <c r="R681" t="s">
        <v>1515</v>
      </c>
    </row>
    <row r="682" spans="1:18" x14ac:dyDescent="0.45">
      <c r="A682">
        <v>681</v>
      </c>
      <c r="B682">
        <v>0</v>
      </c>
      <c r="C682" t="s">
        <v>1519</v>
      </c>
      <c r="D682" t="s">
        <v>1552</v>
      </c>
      <c r="E682" t="s">
        <v>1339</v>
      </c>
      <c r="F682" t="s">
        <v>724</v>
      </c>
      <c r="G682" t="s">
        <v>589</v>
      </c>
      <c r="H682" t="s">
        <v>10</v>
      </c>
      <c r="I682" t="s">
        <v>1523</v>
      </c>
      <c r="J682">
        <v>28</v>
      </c>
      <c r="K682" t="s">
        <v>1521</v>
      </c>
      <c r="L682" t="s">
        <v>1521</v>
      </c>
      <c r="M682">
        <v>0</v>
      </c>
      <c r="N682">
        <v>0</v>
      </c>
      <c r="O682">
        <v>1</v>
      </c>
      <c r="P682">
        <v>8.1374999999999993</v>
      </c>
      <c r="Q682" t="s">
        <v>1528</v>
      </c>
      <c r="R682" t="s">
        <v>1516</v>
      </c>
    </row>
    <row r="683" spans="1:18" x14ac:dyDescent="0.45">
      <c r="A683">
        <v>682</v>
      </c>
      <c r="B683">
        <v>1</v>
      </c>
      <c r="C683" t="s">
        <v>1</v>
      </c>
      <c r="D683" t="s">
        <v>1553</v>
      </c>
      <c r="E683" t="s">
        <v>1340</v>
      </c>
      <c r="F683" t="s">
        <v>722</v>
      </c>
      <c r="G683" t="s">
        <v>590</v>
      </c>
      <c r="H683" t="s">
        <v>9</v>
      </c>
      <c r="I683" t="s">
        <v>1520</v>
      </c>
      <c r="J683">
        <v>27</v>
      </c>
      <c r="K683" t="s">
        <v>1521</v>
      </c>
      <c r="L683" t="s">
        <v>1521</v>
      </c>
      <c r="M683">
        <v>0</v>
      </c>
      <c r="N683">
        <v>0</v>
      </c>
      <c r="O683">
        <v>1</v>
      </c>
      <c r="P683">
        <v>76.729200000000006</v>
      </c>
      <c r="Q683" t="s">
        <v>1528</v>
      </c>
      <c r="R683" t="s">
        <v>1515</v>
      </c>
    </row>
    <row r="684" spans="1:18" x14ac:dyDescent="0.45">
      <c r="A684">
        <v>683</v>
      </c>
      <c r="B684">
        <v>0</v>
      </c>
      <c r="C684" t="s">
        <v>1519</v>
      </c>
      <c r="D684" t="s">
        <v>1552</v>
      </c>
      <c r="E684" t="s">
        <v>1341</v>
      </c>
      <c r="F684" t="s">
        <v>722</v>
      </c>
      <c r="G684" t="s">
        <v>591</v>
      </c>
      <c r="H684" t="s">
        <v>9</v>
      </c>
      <c r="I684" t="s">
        <v>1520</v>
      </c>
      <c r="J684">
        <v>20</v>
      </c>
      <c r="K684" t="s">
        <v>1521</v>
      </c>
      <c r="L684" t="s">
        <v>1521</v>
      </c>
      <c r="M684">
        <v>0</v>
      </c>
      <c r="N684">
        <v>0</v>
      </c>
      <c r="O684">
        <v>1</v>
      </c>
      <c r="P684">
        <v>9.2249999999999996</v>
      </c>
      <c r="Q684" t="s">
        <v>1528</v>
      </c>
      <c r="R684" t="s">
        <v>1514</v>
      </c>
    </row>
    <row r="685" spans="1:18" x14ac:dyDescent="0.45">
      <c r="A685">
        <v>684</v>
      </c>
      <c r="B685">
        <v>0</v>
      </c>
      <c r="C685" t="s">
        <v>1519</v>
      </c>
      <c r="D685" t="s">
        <v>1552</v>
      </c>
      <c r="E685" t="s">
        <v>1342</v>
      </c>
      <c r="F685" t="s">
        <v>722</v>
      </c>
      <c r="G685" t="s">
        <v>112</v>
      </c>
      <c r="H685" t="s">
        <v>9</v>
      </c>
      <c r="I685" t="s">
        <v>1520</v>
      </c>
      <c r="J685">
        <v>14</v>
      </c>
      <c r="K685" t="s">
        <v>1525</v>
      </c>
      <c r="L685" t="s">
        <v>1525</v>
      </c>
      <c r="M685">
        <v>5</v>
      </c>
      <c r="N685">
        <v>2</v>
      </c>
      <c r="O685">
        <v>8</v>
      </c>
      <c r="P685">
        <v>46.9</v>
      </c>
      <c r="Q685" t="s">
        <v>1528</v>
      </c>
      <c r="R685" t="s">
        <v>1514</v>
      </c>
    </row>
    <row r="686" spans="1:18" x14ac:dyDescent="0.45">
      <c r="A686">
        <v>685</v>
      </c>
      <c r="B686">
        <v>0</v>
      </c>
      <c r="C686" t="s">
        <v>1519</v>
      </c>
      <c r="D686" t="s">
        <v>1554</v>
      </c>
      <c r="E686" t="s">
        <v>1343</v>
      </c>
      <c r="F686" t="s">
        <v>722</v>
      </c>
      <c r="G686" t="s">
        <v>227</v>
      </c>
      <c r="H686" t="s">
        <v>9</v>
      </c>
      <c r="I686" t="s">
        <v>1520</v>
      </c>
      <c r="J686">
        <v>60</v>
      </c>
      <c r="K686" t="s">
        <v>1527</v>
      </c>
      <c r="L686" t="e">
        <v>#N/A</v>
      </c>
      <c r="M686">
        <v>1</v>
      </c>
      <c r="N686">
        <v>1</v>
      </c>
      <c r="O686">
        <v>3</v>
      </c>
      <c r="P686">
        <v>39</v>
      </c>
      <c r="Q686" t="s">
        <v>1528</v>
      </c>
      <c r="R686" t="s">
        <v>1514</v>
      </c>
    </row>
    <row r="687" spans="1:18" x14ac:dyDescent="0.45">
      <c r="A687">
        <v>686</v>
      </c>
      <c r="B687">
        <v>0</v>
      </c>
      <c r="C687" t="s">
        <v>1519</v>
      </c>
      <c r="D687" t="s">
        <v>1554</v>
      </c>
      <c r="E687" t="s">
        <v>1344</v>
      </c>
      <c r="F687" t="s">
        <v>722</v>
      </c>
      <c r="G687" t="s">
        <v>96</v>
      </c>
      <c r="H687" t="s">
        <v>9</v>
      </c>
      <c r="I687" t="s">
        <v>1520</v>
      </c>
      <c r="J687">
        <v>25</v>
      </c>
      <c r="K687" t="s">
        <v>1521</v>
      </c>
      <c r="L687" t="s">
        <v>1521</v>
      </c>
      <c r="M687">
        <v>1</v>
      </c>
      <c r="N687">
        <v>2</v>
      </c>
      <c r="O687">
        <v>4</v>
      </c>
      <c r="P687">
        <v>41.5792</v>
      </c>
      <c r="Q687" t="s">
        <v>1528</v>
      </c>
      <c r="R687" t="s">
        <v>1515</v>
      </c>
    </row>
    <row r="688" spans="1:18" x14ac:dyDescent="0.45">
      <c r="A688">
        <v>687</v>
      </c>
      <c r="B688">
        <v>0</v>
      </c>
      <c r="C688" t="s">
        <v>1519</v>
      </c>
      <c r="D688" t="s">
        <v>1552</v>
      </c>
      <c r="E688" t="s">
        <v>1345</v>
      </c>
      <c r="F688" t="s">
        <v>722</v>
      </c>
      <c r="G688" t="s">
        <v>103</v>
      </c>
      <c r="H688" t="s">
        <v>9</v>
      </c>
      <c r="I688" t="s">
        <v>1520</v>
      </c>
      <c r="J688">
        <v>14</v>
      </c>
      <c r="K688" t="s">
        <v>1525</v>
      </c>
      <c r="L688" t="s">
        <v>1525</v>
      </c>
      <c r="M688">
        <v>4</v>
      </c>
      <c r="N688">
        <v>1</v>
      </c>
      <c r="O688">
        <v>6</v>
      </c>
      <c r="P688">
        <v>39.6875</v>
      </c>
      <c r="Q688" t="s">
        <v>1528</v>
      </c>
      <c r="R688" t="s">
        <v>1514</v>
      </c>
    </row>
    <row r="689" spans="1:18" x14ac:dyDescent="0.45">
      <c r="A689">
        <v>688</v>
      </c>
      <c r="B689">
        <v>0</v>
      </c>
      <c r="C689" t="s">
        <v>1519</v>
      </c>
      <c r="D689" t="s">
        <v>1552</v>
      </c>
      <c r="E689" t="s">
        <v>1346</v>
      </c>
      <c r="F689" t="s">
        <v>722</v>
      </c>
      <c r="G689" t="s">
        <v>592</v>
      </c>
      <c r="H689" t="s">
        <v>9</v>
      </c>
      <c r="I689" t="s">
        <v>1520</v>
      </c>
      <c r="J689">
        <v>19</v>
      </c>
      <c r="K689" t="s">
        <v>1521</v>
      </c>
      <c r="L689" t="s">
        <v>1521</v>
      </c>
      <c r="M689">
        <v>0</v>
      </c>
      <c r="N689">
        <v>0</v>
      </c>
      <c r="O689">
        <v>1</v>
      </c>
      <c r="P689" t="s">
        <v>46</v>
      </c>
      <c r="Q689" t="s">
        <v>1528</v>
      </c>
      <c r="R689" t="s">
        <v>1514</v>
      </c>
    </row>
    <row r="690" spans="1:18" x14ac:dyDescent="0.45">
      <c r="A690">
        <v>689</v>
      </c>
      <c r="B690">
        <v>0</v>
      </c>
      <c r="C690" t="s">
        <v>1519</v>
      </c>
      <c r="D690" t="s">
        <v>1552</v>
      </c>
      <c r="E690" t="s">
        <v>1347</v>
      </c>
      <c r="F690" t="s">
        <v>722</v>
      </c>
      <c r="G690" t="s">
        <v>593</v>
      </c>
      <c r="H690" t="s">
        <v>9</v>
      </c>
      <c r="I690" t="s">
        <v>1520</v>
      </c>
      <c r="J690">
        <v>18</v>
      </c>
      <c r="K690" t="s">
        <v>1521</v>
      </c>
      <c r="L690" t="s">
        <v>1521</v>
      </c>
      <c r="M690">
        <v>0</v>
      </c>
      <c r="N690">
        <v>0</v>
      </c>
      <c r="O690">
        <v>1</v>
      </c>
      <c r="P690">
        <v>7.7957999999999998</v>
      </c>
      <c r="Q690" t="s">
        <v>1528</v>
      </c>
      <c r="R690" t="s">
        <v>1514</v>
      </c>
    </row>
    <row r="691" spans="1:18" x14ac:dyDescent="0.45">
      <c r="A691">
        <v>690</v>
      </c>
      <c r="B691">
        <v>1</v>
      </c>
      <c r="C691" t="s">
        <v>1</v>
      </c>
      <c r="D691" t="s">
        <v>1553</v>
      </c>
      <c r="E691" t="s">
        <v>1348</v>
      </c>
      <c r="F691" t="s">
        <v>724</v>
      </c>
      <c r="G691" t="s">
        <v>594</v>
      </c>
      <c r="H691" t="s">
        <v>10</v>
      </c>
      <c r="I691" t="s">
        <v>1523</v>
      </c>
      <c r="J691">
        <v>15</v>
      </c>
      <c r="K691" t="s">
        <v>1525</v>
      </c>
      <c r="L691" t="s">
        <v>1525</v>
      </c>
      <c r="M691">
        <v>0</v>
      </c>
      <c r="N691">
        <v>1</v>
      </c>
      <c r="O691">
        <v>2</v>
      </c>
      <c r="P691">
        <v>211.33750000000001</v>
      </c>
      <c r="Q691" t="s">
        <v>1528</v>
      </c>
      <c r="R691" t="s">
        <v>1514</v>
      </c>
    </row>
    <row r="692" spans="1:18" x14ac:dyDescent="0.45">
      <c r="A692">
        <v>691</v>
      </c>
      <c r="B692">
        <v>1</v>
      </c>
      <c r="C692" t="s">
        <v>1</v>
      </c>
      <c r="D692" t="s">
        <v>1553</v>
      </c>
      <c r="E692" t="s">
        <v>1349</v>
      </c>
      <c r="F692" t="s">
        <v>722</v>
      </c>
      <c r="G692" t="s">
        <v>595</v>
      </c>
      <c r="H692" t="s">
        <v>9</v>
      </c>
      <c r="I692" t="s">
        <v>1520</v>
      </c>
      <c r="J692">
        <v>31</v>
      </c>
      <c r="K692" t="s">
        <v>1521</v>
      </c>
      <c r="L692" t="s">
        <v>1521</v>
      </c>
      <c r="M692">
        <v>1</v>
      </c>
      <c r="N692">
        <v>0</v>
      </c>
      <c r="O692">
        <v>2</v>
      </c>
      <c r="P692">
        <v>57</v>
      </c>
      <c r="Q692" t="s">
        <v>1528</v>
      </c>
      <c r="R692" t="s">
        <v>1514</v>
      </c>
    </row>
    <row r="693" spans="1:18" x14ac:dyDescent="0.45">
      <c r="A693">
        <v>692</v>
      </c>
      <c r="B693">
        <v>1</v>
      </c>
      <c r="C693" t="s">
        <v>1</v>
      </c>
      <c r="D693" t="s">
        <v>1552</v>
      </c>
      <c r="E693" t="s">
        <v>1350</v>
      </c>
      <c r="F693" t="s">
        <v>724</v>
      </c>
      <c r="G693" t="s">
        <v>596</v>
      </c>
      <c r="H693" t="s">
        <v>10</v>
      </c>
      <c r="I693" t="s">
        <v>1523</v>
      </c>
      <c r="J693">
        <v>4</v>
      </c>
      <c r="K693" t="s">
        <v>1524</v>
      </c>
      <c r="L693" t="s">
        <v>1524</v>
      </c>
      <c r="M693">
        <v>0</v>
      </c>
      <c r="N693">
        <v>1</v>
      </c>
      <c r="O693">
        <v>2</v>
      </c>
      <c r="P693">
        <v>13.416700000000001</v>
      </c>
      <c r="Q693" t="s">
        <v>1528</v>
      </c>
      <c r="R693" t="s">
        <v>1515</v>
      </c>
    </row>
    <row r="694" spans="1:18" x14ac:dyDescent="0.45">
      <c r="A694">
        <v>693</v>
      </c>
      <c r="B694">
        <v>1</v>
      </c>
      <c r="C694" t="s">
        <v>1</v>
      </c>
      <c r="D694" t="s">
        <v>1552</v>
      </c>
      <c r="E694" t="s">
        <v>1351</v>
      </c>
      <c r="F694" t="s">
        <v>722</v>
      </c>
      <c r="G694" t="s">
        <v>597</v>
      </c>
      <c r="H694" t="s">
        <v>9</v>
      </c>
      <c r="I694" t="s">
        <v>1520</v>
      </c>
      <c r="J694">
        <v>28</v>
      </c>
      <c r="K694" t="s">
        <v>1521</v>
      </c>
      <c r="L694" t="s">
        <v>1521</v>
      </c>
      <c r="M694">
        <v>0</v>
      </c>
      <c r="N694">
        <v>0</v>
      </c>
      <c r="O694">
        <v>1</v>
      </c>
      <c r="P694">
        <v>56.495800000000003</v>
      </c>
      <c r="Q694" t="s">
        <v>1528</v>
      </c>
      <c r="R694" t="s">
        <v>1514</v>
      </c>
    </row>
    <row r="695" spans="1:18" x14ac:dyDescent="0.45">
      <c r="A695">
        <v>694</v>
      </c>
      <c r="B695">
        <v>0</v>
      </c>
      <c r="C695" t="s">
        <v>1519</v>
      </c>
      <c r="D695" t="s">
        <v>1552</v>
      </c>
      <c r="E695" t="s">
        <v>1352</v>
      </c>
      <c r="F695" t="s">
        <v>722</v>
      </c>
      <c r="G695" t="s">
        <v>598</v>
      </c>
      <c r="H695" t="s">
        <v>9</v>
      </c>
      <c r="I695" t="s">
        <v>1520</v>
      </c>
      <c r="J695">
        <v>25</v>
      </c>
      <c r="K695" t="s">
        <v>1521</v>
      </c>
      <c r="L695" t="s">
        <v>1521</v>
      </c>
      <c r="M695">
        <v>0</v>
      </c>
      <c r="N695">
        <v>0</v>
      </c>
      <c r="O695">
        <v>1</v>
      </c>
      <c r="P695">
        <v>7.2249999999999996</v>
      </c>
      <c r="Q695" t="s">
        <v>1528</v>
      </c>
      <c r="R695" t="s">
        <v>1515</v>
      </c>
    </row>
    <row r="696" spans="1:18" x14ac:dyDescent="0.45">
      <c r="A696">
        <v>695</v>
      </c>
      <c r="B696">
        <v>0</v>
      </c>
      <c r="C696" t="s">
        <v>1519</v>
      </c>
      <c r="D696" t="s">
        <v>1553</v>
      </c>
      <c r="E696" t="s">
        <v>920</v>
      </c>
      <c r="F696" t="s">
        <v>735</v>
      </c>
      <c r="G696" t="s">
        <v>599</v>
      </c>
      <c r="H696" t="s">
        <v>9</v>
      </c>
      <c r="I696" t="s">
        <v>1520</v>
      </c>
      <c r="J696">
        <v>60</v>
      </c>
      <c r="K696" t="s">
        <v>1527</v>
      </c>
      <c r="L696" t="e">
        <v>#N/A</v>
      </c>
      <c r="M696">
        <v>0</v>
      </c>
      <c r="N696">
        <v>0</v>
      </c>
      <c r="O696">
        <v>1</v>
      </c>
      <c r="P696">
        <v>26.55</v>
      </c>
      <c r="Q696" t="s">
        <v>1528</v>
      </c>
      <c r="R696" t="s">
        <v>1514</v>
      </c>
    </row>
    <row r="697" spans="1:18" x14ac:dyDescent="0.45">
      <c r="A697">
        <v>696</v>
      </c>
      <c r="B697">
        <v>0</v>
      </c>
      <c r="C697" t="s">
        <v>1519</v>
      </c>
      <c r="D697" t="s">
        <v>1554</v>
      </c>
      <c r="E697" t="s">
        <v>1094</v>
      </c>
      <c r="F697" t="s">
        <v>722</v>
      </c>
      <c r="G697" t="s">
        <v>532</v>
      </c>
      <c r="H697" t="s">
        <v>9</v>
      </c>
      <c r="I697" t="s">
        <v>1520</v>
      </c>
      <c r="J697">
        <v>52</v>
      </c>
      <c r="K697" t="s">
        <v>1521</v>
      </c>
      <c r="L697" t="s">
        <v>1521</v>
      </c>
      <c r="M697">
        <v>0</v>
      </c>
      <c r="N697">
        <v>0</v>
      </c>
      <c r="O697">
        <v>1</v>
      </c>
      <c r="P697">
        <v>13.5</v>
      </c>
      <c r="Q697" t="s">
        <v>1528</v>
      </c>
      <c r="R697" t="s">
        <v>1514</v>
      </c>
    </row>
    <row r="698" spans="1:18" x14ac:dyDescent="0.45">
      <c r="A698">
        <v>697</v>
      </c>
      <c r="B698">
        <v>0</v>
      </c>
      <c r="C698" t="s">
        <v>1519</v>
      </c>
      <c r="D698" t="s">
        <v>1552</v>
      </c>
      <c r="E698" t="s">
        <v>744</v>
      </c>
      <c r="F698" t="s">
        <v>722</v>
      </c>
      <c r="G698" t="s">
        <v>317</v>
      </c>
      <c r="H698" t="s">
        <v>9</v>
      </c>
      <c r="I698" t="s">
        <v>1520</v>
      </c>
      <c r="J698">
        <v>44</v>
      </c>
      <c r="K698" t="s">
        <v>1521</v>
      </c>
      <c r="L698" t="s">
        <v>1521</v>
      </c>
      <c r="M698">
        <v>0</v>
      </c>
      <c r="N698">
        <v>0</v>
      </c>
      <c r="O698">
        <v>1</v>
      </c>
      <c r="P698" t="s">
        <v>12</v>
      </c>
      <c r="Q698" t="s">
        <v>1528</v>
      </c>
      <c r="R698" t="s">
        <v>1514</v>
      </c>
    </row>
    <row r="699" spans="1:18" x14ac:dyDescent="0.45">
      <c r="A699">
        <v>698</v>
      </c>
      <c r="B699">
        <v>1</v>
      </c>
      <c r="C699" t="s">
        <v>1</v>
      </c>
      <c r="D699" t="s">
        <v>1552</v>
      </c>
      <c r="E699" t="s">
        <v>891</v>
      </c>
      <c r="F699" t="s">
        <v>724</v>
      </c>
      <c r="G699" t="s">
        <v>600</v>
      </c>
      <c r="H699" t="s">
        <v>10</v>
      </c>
      <c r="I699" t="s">
        <v>1523</v>
      </c>
      <c r="J699">
        <v>28</v>
      </c>
      <c r="K699" t="s">
        <v>1521</v>
      </c>
      <c r="L699" t="s">
        <v>1521</v>
      </c>
      <c r="M699">
        <v>0</v>
      </c>
      <c r="N699">
        <v>0</v>
      </c>
      <c r="O699">
        <v>1</v>
      </c>
      <c r="P699">
        <v>7.7332999999999998</v>
      </c>
      <c r="Q699" t="s">
        <v>1528</v>
      </c>
      <c r="R699" t="s">
        <v>1516</v>
      </c>
    </row>
    <row r="700" spans="1:18" x14ac:dyDescent="0.45">
      <c r="A700">
        <v>699</v>
      </c>
      <c r="B700">
        <v>0</v>
      </c>
      <c r="C700" t="s">
        <v>1519</v>
      </c>
      <c r="D700" t="s">
        <v>1553</v>
      </c>
      <c r="E700" t="s">
        <v>1353</v>
      </c>
      <c r="F700" t="s">
        <v>722</v>
      </c>
      <c r="G700" t="s">
        <v>500</v>
      </c>
      <c r="H700" t="s">
        <v>9</v>
      </c>
      <c r="I700" t="s">
        <v>1520</v>
      </c>
      <c r="J700">
        <v>49</v>
      </c>
      <c r="K700" t="s">
        <v>1521</v>
      </c>
      <c r="L700" t="s">
        <v>1521</v>
      </c>
      <c r="M700">
        <v>1</v>
      </c>
      <c r="N700">
        <v>1</v>
      </c>
      <c r="O700">
        <v>3</v>
      </c>
      <c r="P700" t="s">
        <v>34</v>
      </c>
      <c r="Q700" t="s">
        <v>1528</v>
      </c>
      <c r="R700" t="s">
        <v>1515</v>
      </c>
    </row>
    <row r="701" spans="1:18" x14ac:dyDescent="0.45">
      <c r="A701">
        <v>700</v>
      </c>
      <c r="B701">
        <v>0</v>
      </c>
      <c r="C701" t="s">
        <v>1519</v>
      </c>
      <c r="D701" t="s">
        <v>1552</v>
      </c>
      <c r="E701" t="s">
        <v>1354</v>
      </c>
      <c r="F701" t="s">
        <v>722</v>
      </c>
      <c r="G701" t="s">
        <v>601</v>
      </c>
      <c r="H701" t="s">
        <v>9</v>
      </c>
      <c r="I701" t="s">
        <v>1520</v>
      </c>
      <c r="J701">
        <v>42</v>
      </c>
      <c r="K701" t="s">
        <v>1521</v>
      </c>
      <c r="L701" t="s">
        <v>1521</v>
      </c>
      <c r="M701">
        <v>0</v>
      </c>
      <c r="N701">
        <v>0</v>
      </c>
      <c r="O701">
        <v>1</v>
      </c>
      <c r="P701">
        <v>7.65</v>
      </c>
      <c r="Q701" t="s">
        <v>1528</v>
      </c>
      <c r="R701" t="s">
        <v>1514</v>
      </c>
    </row>
    <row r="702" spans="1:18" x14ac:dyDescent="0.45">
      <c r="A702">
        <v>701</v>
      </c>
      <c r="B702">
        <v>1</v>
      </c>
      <c r="C702" t="s">
        <v>1</v>
      </c>
      <c r="D702" t="s">
        <v>1553</v>
      </c>
      <c r="E702" t="s">
        <v>1355</v>
      </c>
      <c r="F702" t="s">
        <v>723</v>
      </c>
      <c r="G702" t="s">
        <v>602</v>
      </c>
      <c r="H702" t="s">
        <v>10</v>
      </c>
      <c r="I702" t="s">
        <v>1523</v>
      </c>
      <c r="J702">
        <v>18</v>
      </c>
      <c r="K702" t="s">
        <v>1521</v>
      </c>
      <c r="L702" t="s">
        <v>1521</v>
      </c>
      <c r="M702">
        <v>1</v>
      </c>
      <c r="N702">
        <v>0</v>
      </c>
      <c r="O702">
        <v>2</v>
      </c>
      <c r="P702">
        <v>227.52500000000001</v>
      </c>
      <c r="Q702" t="s">
        <v>1528</v>
      </c>
      <c r="R702" t="s">
        <v>1515</v>
      </c>
    </row>
    <row r="703" spans="1:18" x14ac:dyDescent="0.45">
      <c r="A703">
        <v>702</v>
      </c>
      <c r="B703">
        <v>1</v>
      </c>
      <c r="C703" t="s">
        <v>1</v>
      </c>
      <c r="D703" t="s">
        <v>1553</v>
      </c>
      <c r="E703" t="s">
        <v>1356</v>
      </c>
      <c r="F703" t="s">
        <v>722</v>
      </c>
      <c r="G703" t="s">
        <v>603</v>
      </c>
      <c r="H703" t="s">
        <v>9</v>
      </c>
      <c r="I703" t="s">
        <v>1520</v>
      </c>
      <c r="J703">
        <v>35</v>
      </c>
      <c r="K703" t="s">
        <v>1521</v>
      </c>
      <c r="L703" t="s">
        <v>1521</v>
      </c>
      <c r="M703">
        <v>0</v>
      </c>
      <c r="N703">
        <v>0</v>
      </c>
      <c r="O703">
        <v>1</v>
      </c>
      <c r="P703">
        <v>26.287500000000001</v>
      </c>
      <c r="Q703" t="s">
        <v>1528</v>
      </c>
      <c r="R703" t="s">
        <v>1514</v>
      </c>
    </row>
    <row r="704" spans="1:18" x14ac:dyDescent="0.45">
      <c r="A704">
        <v>703</v>
      </c>
      <c r="B704">
        <v>0</v>
      </c>
      <c r="C704" t="s">
        <v>1519</v>
      </c>
      <c r="D704" t="s">
        <v>1552</v>
      </c>
      <c r="E704" t="s">
        <v>1357</v>
      </c>
      <c r="F704" t="s">
        <v>724</v>
      </c>
      <c r="G704" t="s">
        <v>362</v>
      </c>
      <c r="H704" t="s">
        <v>10</v>
      </c>
      <c r="I704" t="s">
        <v>1523</v>
      </c>
      <c r="J704">
        <v>18</v>
      </c>
      <c r="K704" t="s">
        <v>1521</v>
      </c>
      <c r="L704" t="s">
        <v>1521</v>
      </c>
      <c r="M704">
        <v>0</v>
      </c>
      <c r="N704">
        <v>1</v>
      </c>
      <c r="O704">
        <v>2</v>
      </c>
      <c r="P704">
        <v>14.4542</v>
      </c>
      <c r="Q704" t="s">
        <v>1528</v>
      </c>
      <c r="R704" t="s">
        <v>1515</v>
      </c>
    </row>
    <row r="705" spans="1:18" x14ac:dyDescent="0.45">
      <c r="A705">
        <v>704</v>
      </c>
      <c r="B705">
        <v>0</v>
      </c>
      <c r="C705" t="s">
        <v>1519</v>
      </c>
      <c r="D705" t="s">
        <v>1552</v>
      </c>
      <c r="E705" t="s">
        <v>861</v>
      </c>
      <c r="F705" t="s">
        <v>722</v>
      </c>
      <c r="G705" t="s">
        <v>604</v>
      </c>
      <c r="H705" t="s">
        <v>9</v>
      </c>
      <c r="I705" t="s">
        <v>1520</v>
      </c>
      <c r="J705">
        <v>25</v>
      </c>
      <c r="K705" t="s">
        <v>1521</v>
      </c>
      <c r="L705" t="s">
        <v>1521</v>
      </c>
      <c r="M705">
        <v>0</v>
      </c>
      <c r="N705">
        <v>0</v>
      </c>
      <c r="O705">
        <v>1</v>
      </c>
      <c r="P705">
        <v>7.7416999999999998</v>
      </c>
      <c r="Q705" t="s">
        <v>1528</v>
      </c>
      <c r="R705" t="s">
        <v>1516</v>
      </c>
    </row>
    <row r="706" spans="1:18" x14ac:dyDescent="0.45">
      <c r="A706">
        <v>705</v>
      </c>
      <c r="B706">
        <v>0</v>
      </c>
      <c r="C706" t="s">
        <v>1519</v>
      </c>
      <c r="D706" t="s">
        <v>1552</v>
      </c>
      <c r="E706" t="s">
        <v>1358</v>
      </c>
      <c r="F706" t="s">
        <v>722</v>
      </c>
      <c r="G706" t="s">
        <v>549</v>
      </c>
      <c r="H706" t="s">
        <v>9</v>
      </c>
      <c r="I706" t="s">
        <v>1520</v>
      </c>
      <c r="J706">
        <v>26</v>
      </c>
      <c r="K706" t="s">
        <v>1521</v>
      </c>
      <c r="L706" t="s">
        <v>1521</v>
      </c>
      <c r="M706">
        <v>1</v>
      </c>
      <c r="N706">
        <v>0</v>
      </c>
      <c r="O706">
        <v>2</v>
      </c>
      <c r="P706">
        <v>7.8541999999999996</v>
      </c>
      <c r="Q706" t="s">
        <v>1528</v>
      </c>
      <c r="R706" t="s">
        <v>1514</v>
      </c>
    </row>
    <row r="707" spans="1:18" x14ac:dyDescent="0.45">
      <c r="A707">
        <v>706</v>
      </c>
      <c r="B707">
        <v>0</v>
      </c>
      <c r="C707" t="s">
        <v>1519</v>
      </c>
      <c r="D707" t="s">
        <v>1554</v>
      </c>
      <c r="E707" t="s">
        <v>1359</v>
      </c>
      <c r="F707" t="s">
        <v>722</v>
      </c>
      <c r="G707" t="s">
        <v>436</v>
      </c>
      <c r="H707" t="s">
        <v>9</v>
      </c>
      <c r="I707" t="s">
        <v>1520</v>
      </c>
      <c r="J707">
        <v>39</v>
      </c>
      <c r="K707" t="s">
        <v>1521</v>
      </c>
      <c r="L707" t="s">
        <v>1521</v>
      </c>
      <c r="M707">
        <v>0</v>
      </c>
      <c r="N707">
        <v>0</v>
      </c>
      <c r="O707">
        <v>1</v>
      </c>
      <c r="P707">
        <v>26</v>
      </c>
      <c r="Q707" t="s">
        <v>1528</v>
      </c>
      <c r="R707" t="s">
        <v>1514</v>
      </c>
    </row>
    <row r="708" spans="1:18" x14ac:dyDescent="0.45">
      <c r="A708">
        <v>707</v>
      </c>
      <c r="B708">
        <v>1</v>
      </c>
      <c r="C708" t="s">
        <v>1</v>
      </c>
      <c r="D708" t="s">
        <v>1554</v>
      </c>
      <c r="E708" t="s">
        <v>1360</v>
      </c>
      <c r="F708" t="s">
        <v>723</v>
      </c>
      <c r="G708" t="s">
        <v>317</v>
      </c>
      <c r="H708" t="s">
        <v>10</v>
      </c>
      <c r="I708" t="s">
        <v>1523</v>
      </c>
      <c r="J708">
        <v>45</v>
      </c>
      <c r="K708" t="s">
        <v>1521</v>
      </c>
      <c r="L708" t="s">
        <v>1521</v>
      </c>
      <c r="M708">
        <v>0</v>
      </c>
      <c r="N708">
        <v>0</v>
      </c>
      <c r="O708">
        <v>1</v>
      </c>
      <c r="P708">
        <v>13.5</v>
      </c>
      <c r="Q708" t="s">
        <v>1528</v>
      </c>
      <c r="R708" t="s">
        <v>1514</v>
      </c>
    </row>
    <row r="709" spans="1:18" x14ac:dyDescent="0.45">
      <c r="A709">
        <v>708</v>
      </c>
      <c r="B709">
        <v>1</v>
      </c>
      <c r="C709" t="s">
        <v>1</v>
      </c>
      <c r="D709" t="s">
        <v>1553</v>
      </c>
      <c r="E709" t="s">
        <v>1361</v>
      </c>
      <c r="F709" t="s">
        <v>722</v>
      </c>
      <c r="G709" t="s">
        <v>605</v>
      </c>
      <c r="H709" t="s">
        <v>9</v>
      </c>
      <c r="I709" t="s">
        <v>1520</v>
      </c>
      <c r="J709">
        <v>42</v>
      </c>
      <c r="K709" t="s">
        <v>1521</v>
      </c>
      <c r="L709" t="s">
        <v>1521</v>
      </c>
      <c r="M709">
        <v>0</v>
      </c>
      <c r="N709">
        <v>0</v>
      </c>
      <c r="O709">
        <v>1</v>
      </c>
      <c r="P709">
        <v>26.287500000000001</v>
      </c>
      <c r="Q709" t="s">
        <v>1528</v>
      </c>
      <c r="R709" t="s">
        <v>1514</v>
      </c>
    </row>
    <row r="710" spans="1:18" x14ac:dyDescent="0.45">
      <c r="A710">
        <v>709</v>
      </c>
      <c r="B710">
        <v>1</v>
      </c>
      <c r="C710" t="s">
        <v>1</v>
      </c>
      <c r="D710" t="s">
        <v>1553</v>
      </c>
      <c r="E710" t="s">
        <v>1281</v>
      </c>
      <c r="F710" t="s">
        <v>724</v>
      </c>
      <c r="G710" t="s">
        <v>606</v>
      </c>
      <c r="H710" t="s">
        <v>10</v>
      </c>
      <c r="I710" t="s">
        <v>1523</v>
      </c>
      <c r="J710">
        <v>22</v>
      </c>
      <c r="K710" t="s">
        <v>1521</v>
      </c>
      <c r="L710" t="s">
        <v>1521</v>
      </c>
      <c r="M710">
        <v>0</v>
      </c>
      <c r="N710">
        <v>0</v>
      </c>
      <c r="O710">
        <v>1</v>
      </c>
      <c r="P710">
        <v>151.55000000000001</v>
      </c>
      <c r="Q710" t="s">
        <v>1528</v>
      </c>
      <c r="R710" t="s">
        <v>1514</v>
      </c>
    </row>
    <row r="711" spans="1:18" x14ac:dyDescent="0.45">
      <c r="A711">
        <v>710</v>
      </c>
      <c r="B711">
        <v>1</v>
      </c>
      <c r="C711" t="s">
        <v>1</v>
      </c>
      <c r="D711" t="s">
        <v>1552</v>
      </c>
      <c r="E711" t="s">
        <v>1362</v>
      </c>
      <c r="F711" t="s">
        <v>725</v>
      </c>
      <c r="G711" t="s">
        <v>118</v>
      </c>
      <c r="H711" t="s">
        <v>9</v>
      </c>
      <c r="I711" t="s">
        <v>1520</v>
      </c>
      <c r="J711">
        <v>28</v>
      </c>
      <c r="K711" t="s">
        <v>1521</v>
      </c>
      <c r="L711" t="s">
        <v>1521</v>
      </c>
      <c r="M711">
        <v>1</v>
      </c>
      <c r="N711">
        <v>1</v>
      </c>
      <c r="O711">
        <v>3</v>
      </c>
      <c r="P711">
        <v>15.245799999999999</v>
      </c>
      <c r="Q711" t="s">
        <v>1528</v>
      </c>
      <c r="R711" t="s">
        <v>1515</v>
      </c>
    </row>
    <row r="712" spans="1:18" x14ac:dyDescent="0.45">
      <c r="A712">
        <v>711</v>
      </c>
      <c r="B712">
        <v>1</v>
      </c>
      <c r="C712" t="s">
        <v>1</v>
      </c>
      <c r="D712" t="s">
        <v>1553</v>
      </c>
      <c r="E712" t="s">
        <v>1363</v>
      </c>
      <c r="F712" t="s">
        <v>734</v>
      </c>
      <c r="G712" t="s">
        <v>607</v>
      </c>
      <c r="H712" t="s">
        <v>10</v>
      </c>
      <c r="I712" t="s">
        <v>1523</v>
      </c>
      <c r="J712">
        <v>24</v>
      </c>
      <c r="K712" t="s">
        <v>1521</v>
      </c>
      <c r="L712" t="s">
        <v>1521</v>
      </c>
      <c r="M712">
        <v>0</v>
      </c>
      <c r="N712">
        <v>0</v>
      </c>
      <c r="O712">
        <v>1</v>
      </c>
      <c r="P712" t="s">
        <v>40</v>
      </c>
      <c r="Q712" t="s">
        <v>1528</v>
      </c>
      <c r="R712" t="s">
        <v>1515</v>
      </c>
    </row>
    <row r="713" spans="1:18" x14ac:dyDescent="0.45">
      <c r="A713">
        <v>712</v>
      </c>
      <c r="B713">
        <v>0</v>
      </c>
      <c r="C713" t="s">
        <v>1519</v>
      </c>
      <c r="D713" t="s">
        <v>1553</v>
      </c>
      <c r="E713" t="s">
        <v>1364</v>
      </c>
      <c r="F713" t="s">
        <v>722</v>
      </c>
      <c r="G713" t="s">
        <v>608</v>
      </c>
      <c r="H713" t="s">
        <v>9</v>
      </c>
      <c r="I713" t="s">
        <v>1520</v>
      </c>
      <c r="J713">
        <v>28</v>
      </c>
      <c r="K713" t="s">
        <v>1521</v>
      </c>
      <c r="L713" t="s">
        <v>1521</v>
      </c>
      <c r="M713">
        <v>0</v>
      </c>
      <c r="N713">
        <v>0</v>
      </c>
      <c r="O713">
        <v>1</v>
      </c>
      <c r="P713">
        <v>26.55</v>
      </c>
      <c r="Q713" t="s">
        <v>1528</v>
      </c>
      <c r="R713" t="s">
        <v>1514</v>
      </c>
    </row>
    <row r="714" spans="1:18" x14ac:dyDescent="0.45">
      <c r="A714">
        <v>713</v>
      </c>
      <c r="B714">
        <v>1</v>
      </c>
      <c r="C714" t="s">
        <v>1</v>
      </c>
      <c r="D714" t="s">
        <v>1553</v>
      </c>
      <c r="E714" t="s">
        <v>1365</v>
      </c>
      <c r="F714" t="s">
        <v>722</v>
      </c>
      <c r="G714" t="s">
        <v>580</v>
      </c>
      <c r="H714" t="s">
        <v>9</v>
      </c>
      <c r="I714" t="s">
        <v>1520</v>
      </c>
      <c r="J714">
        <v>48</v>
      </c>
      <c r="K714" t="s">
        <v>1521</v>
      </c>
      <c r="L714" t="s">
        <v>1521</v>
      </c>
      <c r="M714">
        <v>1</v>
      </c>
      <c r="N714">
        <v>0</v>
      </c>
      <c r="O714">
        <v>2</v>
      </c>
      <c r="P714">
        <v>52</v>
      </c>
      <c r="Q714" t="s">
        <v>1528</v>
      </c>
      <c r="R714" t="s">
        <v>1514</v>
      </c>
    </row>
    <row r="715" spans="1:18" x14ac:dyDescent="0.45">
      <c r="A715">
        <v>714</v>
      </c>
      <c r="B715">
        <v>0</v>
      </c>
      <c r="C715" t="s">
        <v>1519</v>
      </c>
      <c r="D715" t="s">
        <v>1552</v>
      </c>
      <c r="E715" t="s">
        <v>1366</v>
      </c>
      <c r="F715" t="s">
        <v>722</v>
      </c>
      <c r="G715" t="s">
        <v>258</v>
      </c>
      <c r="H715" t="s">
        <v>9</v>
      </c>
      <c r="I715" t="s">
        <v>1520</v>
      </c>
      <c r="J715">
        <v>29</v>
      </c>
      <c r="K715" t="s">
        <v>1521</v>
      </c>
      <c r="L715" t="s">
        <v>1521</v>
      </c>
      <c r="M715">
        <v>0</v>
      </c>
      <c r="N715">
        <v>0</v>
      </c>
      <c r="O715">
        <v>1</v>
      </c>
      <c r="P715">
        <v>9.4832999999999998</v>
      </c>
      <c r="Q715" t="s">
        <v>1528</v>
      </c>
      <c r="R715" t="s">
        <v>1514</v>
      </c>
    </row>
    <row r="716" spans="1:18" x14ac:dyDescent="0.45">
      <c r="A716">
        <v>715</v>
      </c>
      <c r="B716">
        <v>0</v>
      </c>
      <c r="C716" t="s">
        <v>1519</v>
      </c>
      <c r="D716" t="s">
        <v>1554</v>
      </c>
      <c r="E716" t="s">
        <v>1026</v>
      </c>
      <c r="F716" t="s">
        <v>722</v>
      </c>
      <c r="G716" t="s">
        <v>609</v>
      </c>
      <c r="H716" t="s">
        <v>9</v>
      </c>
      <c r="I716" t="s">
        <v>1520</v>
      </c>
      <c r="J716">
        <v>52</v>
      </c>
      <c r="K716" t="s">
        <v>1521</v>
      </c>
      <c r="L716" t="s">
        <v>1521</v>
      </c>
      <c r="M716">
        <v>0</v>
      </c>
      <c r="N716">
        <v>0</v>
      </c>
      <c r="O716">
        <v>1</v>
      </c>
      <c r="P716">
        <v>13</v>
      </c>
      <c r="Q716" t="s">
        <v>1528</v>
      </c>
      <c r="R716" t="s">
        <v>1514</v>
      </c>
    </row>
    <row r="717" spans="1:18" x14ac:dyDescent="0.45">
      <c r="A717">
        <v>716</v>
      </c>
      <c r="B717">
        <v>0</v>
      </c>
      <c r="C717" t="s">
        <v>1519</v>
      </c>
      <c r="D717" t="s">
        <v>1552</v>
      </c>
      <c r="E717" t="s">
        <v>1367</v>
      </c>
      <c r="F717" t="s">
        <v>722</v>
      </c>
      <c r="G717" t="s">
        <v>610</v>
      </c>
      <c r="H717" t="s">
        <v>9</v>
      </c>
      <c r="I717" t="s">
        <v>1520</v>
      </c>
      <c r="J717">
        <v>19</v>
      </c>
      <c r="K717" t="s">
        <v>1521</v>
      </c>
      <c r="L717" t="s">
        <v>1521</v>
      </c>
      <c r="M717">
        <v>0</v>
      </c>
      <c r="N717">
        <v>0</v>
      </c>
      <c r="O717">
        <v>1</v>
      </c>
      <c r="P717">
        <v>7.65</v>
      </c>
      <c r="Q717" t="s">
        <v>1528</v>
      </c>
      <c r="R717" t="s">
        <v>1514</v>
      </c>
    </row>
    <row r="718" spans="1:18" x14ac:dyDescent="0.45">
      <c r="A718">
        <v>717</v>
      </c>
      <c r="B718">
        <v>1</v>
      </c>
      <c r="C718" t="s">
        <v>1</v>
      </c>
      <c r="D718" t="s">
        <v>1553</v>
      </c>
      <c r="E718" t="s">
        <v>1368</v>
      </c>
      <c r="F718" t="s">
        <v>724</v>
      </c>
      <c r="G718" t="s">
        <v>611</v>
      </c>
      <c r="H718" t="s">
        <v>10</v>
      </c>
      <c r="I718" t="s">
        <v>1523</v>
      </c>
      <c r="J718">
        <v>38</v>
      </c>
      <c r="K718" t="s">
        <v>1521</v>
      </c>
      <c r="L718" t="s">
        <v>1521</v>
      </c>
      <c r="M718">
        <v>0</v>
      </c>
      <c r="N718">
        <v>0</v>
      </c>
      <c r="O718">
        <v>1</v>
      </c>
      <c r="P718">
        <v>227.52500000000001</v>
      </c>
      <c r="Q718" t="s">
        <v>1528</v>
      </c>
      <c r="R718" t="s">
        <v>1515</v>
      </c>
    </row>
    <row r="719" spans="1:18" x14ac:dyDescent="0.45">
      <c r="A719">
        <v>718</v>
      </c>
      <c r="B719">
        <v>1</v>
      </c>
      <c r="C719" t="s">
        <v>1</v>
      </c>
      <c r="D719" t="s">
        <v>1554</v>
      </c>
      <c r="E719" t="s">
        <v>1369</v>
      </c>
      <c r="F719" t="s">
        <v>724</v>
      </c>
      <c r="G719" t="s">
        <v>612</v>
      </c>
      <c r="H719" t="s">
        <v>10</v>
      </c>
      <c r="I719" t="s">
        <v>1523</v>
      </c>
      <c r="J719">
        <v>27</v>
      </c>
      <c r="K719" t="s">
        <v>1521</v>
      </c>
      <c r="L719" t="s">
        <v>1521</v>
      </c>
      <c r="M719">
        <v>0</v>
      </c>
      <c r="N719">
        <v>0</v>
      </c>
      <c r="O719">
        <v>1</v>
      </c>
      <c r="P719" t="s">
        <v>18</v>
      </c>
      <c r="Q719" t="s">
        <v>1528</v>
      </c>
      <c r="R719" t="s">
        <v>1514</v>
      </c>
    </row>
    <row r="720" spans="1:18" x14ac:dyDescent="0.45">
      <c r="A720">
        <v>719</v>
      </c>
      <c r="B720">
        <v>0</v>
      </c>
      <c r="C720" t="s">
        <v>1519</v>
      </c>
      <c r="D720" t="s">
        <v>1552</v>
      </c>
      <c r="E720" t="s">
        <v>1370</v>
      </c>
      <c r="F720" t="s">
        <v>722</v>
      </c>
      <c r="G720" t="s">
        <v>613</v>
      </c>
      <c r="H720" t="s">
        <v>9</v>
      </c>
      <c r="I720" t="s">
        <v>1520</v>
      </c>
      <c r="J720">
        <v>28</v>
      </c>
      <c r="K720" t="s">
        <v>1521</v>
      </c>
      <c r="L720" t="s">
        <v>1521</v>
      </c>
      <c r="M720">
        <v>0</v>
      </c>
      <c r="N720">
        <v>0</v>
      </c>
      <c r="O720">
        <v>1</v>
      </c>
      <c r="P720">
        <v>15.5</v>
      </c>
      <c r="Q720" t="s">
        <v>1528</v>
      </c>
      <c r="R720" t="s">
        <v>1516</v>
      </c>
    </row>
    <row r="721" spans="1:18" x14ac:dyDescent="0.45">
      <c r="A721">
        <v>720</v>
      </c>
      <c r="B721">
        <v>0</v>
      </c>
      <c r="C721" t="s">
        <v>1519</v>
      </c>
      <c r="D721" t="s">
        <v>1552</v>
      </c>
      <c r="E721" t="s">
        <v>1371</v>
      </c>
      <c r="F721" t="s">
        <v>722</v>
      </c>
      <c r="G721" t="s">
        <v>63</v>
      </c>
      <c r="H721" t="s">
        <v>9</v>
      </c>
      <c r="I721" t="s">
        <v>1520</v>
      </c>
      <c r="J721">
        <v>33</v>
      </c>
      <c r="K721" t="s">
        <v>1521</v>
      </c>
      <c r="L721" t="s">
        <v>1521</v>
      </c>
      <c r="M721">
        <v>0</v>
      </c>
      <c r="N721">
        <v>0</v>
      </c>
      <c r="O721">
        <v>1</v>
      </c>
      <c r="P721">
        <v>7.7750000000000004</v>
      </c>
      <c r="Q721" t="s">
        <v>1528</v>
      </c>
      <c r="R721" t="s">
        <v>1514</v>
      </c>
    </row>
    <row r="722" spans="1:18" x14ac:dyDescent="0.45">
      <c r="A722">
        <v>721</v>
      </c>
      <c r="B722">
        <v>1</v>
      </c>
      <c r="C722" t="s">
        <v>1</v>
      </c>
      <c r="D722" t="s">
        <v>1554</v>
      </c>
      <c r="E722" t="s">
        <v>1372</v>
      </c>
      <c r="F722" t="s">
        <v>724</v>
      </c>
      <c r="G722" t="s">
        <v>105</v>
      </c>
      <c r="H722" t="s">
        <v>10</v>
      </c>
      <c r="I722" t="s">
        <v>1523</v>
      </c>
      <c r="J722">
        <v>6</v>
      </c>
      <c r="K722" t="s">
        <v>1524</v>
      </c>
      <c r="L722" t="s">
        <v>1524</v>
      </c>
      <c r="M722">
        <v>0</v>
      </c>
      <c r="N722">
        <v>1</v>
      </c>
      <c r="O722">
        <v>2</v>
      </c>
      <c r="P722">
        <v>33</v>
      </c>
      <c r="Q722" t="s">
        <v>1528</v>
      </c>
      <c r="R722" t="s">
        <v>1514</v>
      </c>
    </row>
    <row r="723" spans="1:18" x14ac:dyDescent="0.45">
      <c r="A723">
        <v>722</v>
      </c>
      <c r="B723">
        <v>0</v>
      </c>
      <c r="C723" t="s">
        <v>1519</v>
      </c>
      <c r="D723" t="s">
        <v>1552</v>
      </c>
      <c r="E723" t="s">
        <v>1373</v>
      </c>
      <c r="F723" t="s">
        <v>722</v>
      </c>
      <c r="G723" t="s">
        <v>562</v>
      </c>
      <c r="H723" t="s">
        <v>9</v>
      </c>
      <c r="I723" t="s">
        <v>1520</v>
      </c>
      <c r="J723">
        <v>17</v>
      </c>
      <c r="K723" t="s">
        <v>1525</v>
      </c>
      <c r="L723" t="s">
        <v>1525</v>
      </c>
      <c r="M723">
        <v>1</v>
      </c>
      <c r="N723">
        <v>0</v>
      </c>
      <c r="O723">
        <v>2</v>
      </c>
      <c r="P723" t="s">
        <v>45</v>
      </c>
      <c r="Q723" t="s">
        <v>1528</v>
      </c>
      <c r="R723" t="s">
        <v>1514</v>
      </c>
    </row>
    <row r="724" spans="1:18" x14ac:dyDescent="0.45">
      <c r="A724">
        <v>723</v>
      </c>
      <c r="B724">
        <v>0</v>
      </c>
      <c r="C724" t="s">
        <v>1519</v>
      </c>
      <c r="D724" t="s">
        <v>1554</v>
      </c>
      <c r="E724" t="s">
        <v>743</v>
      </c>
      <c r="F724" t="s">
        <v>722</v>
      </c>
      <c r="G724" t="s">
        <v>614</v>
      </c>
      <c r="H724" t="s">
        <v>9</v>
      </c>
      <c r="I724" t="s">
        <v>1520</v>
      </c>
      <c r="J724">
        <v>34</v>
      </c>
      <c r="K724" t="s">
        <v>1521</v>
      </c>
      <c r="L724" t="s">
        <v>1521</v>
      </c>
      <c r="M724">
        <v>0</v>
      </c>
      <c r="N724">
        <v>0</v>
      </c>
      <c r="O724">
        <v>1</v>
      </c>
      <c r="P724">
        <v>13</v>
      </c>
      <c r="Q724" t="s">
        <v>1528</v>
      </c>
      <c r="R724" t="s">
        <v>1514</v>
      </c>
    </row>
    <row r="725" spans="1:18" x14ac:dyDescent="0.45">
      <c r="A725">
        <v>724</v>
      </c>
      <c r="B725">
        <v>0</v>
      </c>
      <c r="C725" t="s">
        <v>1519</v>
      </c>
      <c r="D725" t="s">
        <v>1554</v>
      </c>
      <c r="E725" t="s">
        <v>1374</v>
      </c>
      <c r="F725" t="s">
        <v>722</v>
      </c>
      <c r="G725" t="s">
        <v>615</v>
      </c>
      <c r="H725" t="s">
        <v>9</v>
      </c>
      <c r="I725" t="s">
        <v>1520</v>
      </c>
      <c r="J725">
        <v>50</v>
      </c>
      <c r="K725" t="s">
        <v>1521</v>
      </c>
      <c r="L725" t="s">
        <v>1521</v>
      </c>
      <c r="M725">
        <v>0</v>
      </c>
      <c r="N725">
        <v>0</v>
      </c>
      <c r="O725">
        <v>1</v>
      </c>
      <c r="P725">
        <v>13</v>
      </c>
      <c r="Q725" t="s">
        <v>1528</v>
      </c>
      <c r="R725" t="s">
        <v>1514</v>
      </c>
    </row>
    <row r="726" spans="1:18" x14ac:dyDescent="0.45">
      <c r="A726">
        <v>725</v>
      </c>
      <c r="B726">
        <v>1</v>
      </c>
      <c r="C726" t="s">
        <v>1</v>
      </c>
      <c r="D726" t="s">
        <v>1553</v>
      </c>
      <c r="E726" t="s">
        <v>1375</v>
      </c>
      <c r="F726" t="s">
        <v>722</v>
      </c>
      <c r="G726" t="s">
        <v>616</v>
      </c>
      <c r="H726" t="s">
        <v>9</v>
      </c>
      <c r="I726" t="s">
        <v>1520</v>
      </c>
      <c r="J726">
        <v>27</v>
      </c>
      <c r="K726" t="s">
        <v>1521</v>
      </c>
      <c r="L726" t="s">
        <v>1521</v>
      </c>
      <c r="M726">
        <v>1</v>
      </c>
      <c r="N726">
        <v>0</v>
      </c>
      <c r="O726">
        <v>2</v>
      </c>
      <c r="P726">
        <v>53.1</v>
      </c>
      <c r="Q726" t="s">
        <v>1528</v>
      </c>
      <c r="R726" t="s">
        <v>1514</v>
      </c>
    </row>
    <row r="727" spans="1:18" x14ac:dyDescent="0.45">
      <c r="A727">
        <v>726</v>
      </c>
      <c r="B727">
        <v>0</v>
      </c>
      <c r="C727" t="s">
        <v>1519</v>
      </c>
      <c r="D727" t="s">
        <v>1552</v>
      </c>
      <c r="E727" t="s">
        <v>1166</v>
      </c>
      <c r="F727" t="s">
        <v>722</v>
      </c>
      <c r="G727" t="s">
        <v>390</v>
      </c>
      <c r="H727" t="s">
        <v>9</v>
      </c>
      <c r="I727" t="s">
        <v>1520</v>
      </c>
      <c r="J727">
        <v>20</v>
      </c>
      <c r="K727" t="s">
        <v>1521</v>
      </c>
      <c r="L727" t="s">
        <v>1521</v>
      </c>
      <c r="M727">
        <v>0</v>
      </c>
      <c r="N727">
        <v>0</v>
      </c>
      <c r="O727">
        <v>1</v>
      </c>
      <c r="P727">
        <v>8.6624999999999996</v>
      </c>
      <c r="Q727" t="s">
        <v>1528</v>
      </c>
      <c r="R727" t="s">
        <v>1514</v>
      </c>
    </row>
    <row r="728" spans="1:18" x14ac:dyDescent="0.45">
      <c r="A728">
        <v>727</v>
      </c>
      <c r="B728">
        <v>1</v>
      </c>
      <c r="C728" t="s">
        <v>1</v>
      </c>
      <c r="D728" t="s">
        <v>1554</v>
      </c>
      <c r="E728" t="s">
        <v>1376</v>
      </c>
      <c r="F728" t="s">
        <v>723</v>
      </c>
      <c r="G728" t="s">
        <v>449</v>
      </c>
      <c r="H728" t="s">
        <v>10</v>
      </c>
      <c r="I728" t="s">
        <v>1523</v>
      </c>
      <c r="J728">
        <v>30</v>
      </c>
      <c r="K728" t="s">
        <v>1521</v>
      </c>
      <c r="L728" t="s">
        <v>1521</v>
      </c>
      <c r="M728">
        <v>3</v>
      </c>
      <c r="N728">
        <v>0</v>
      </c>
      <c r="O728">
        <v>4</v>
      </c>
      <c r="P728">
        <v>21</v>
      </c>
      <c r="Q728" t="s">
        <v>1528</v>
      </c>
      <c r="R728" t="s">
        <v>1514</v>
      </c>
    </row>
    <row r="729" spans="1:18" x14ac:dyDescent="0.45">
      <c r="A729">
        <v>728</v>
      </c>
      <c r="B729">
        <v>1</v>
      </c>
      <c r="C729" t="s">
        <v>1</v>
      </c>
      <c r="D729" t="s">
        <v>1552</v>
      </c>
      <c r="E729" t="s">
        <v>1377</v>
      </c>
      <c r="F729" t="s">
        <v>724</v>
      </c>
      <c r="G729" t="s">
        <v>617</v>
      </c>
      <c r="H729" t="s">
        <v>10</v>
      </c>
      <c r="I729" t="s">
        <v>1523</v>
      </c>
      <c r="J729">
        <v>28</v>
      </c>
      <c r="K729" t="s">
        <v>1521</v>
      </c>
      <c r="L729" t="s">
        <v>1521</v>
      </c>
      <c r="M729">
        <v>0</v>
      </c>
      <c r="N729">
        <v>0</v>
      </c>
      <c r="O729">
        <v>1</v>
      </c>
      <c r="P729">
        <v>7.7374999999999998</v>
      </c>
      <c r="Q729" t="s">
        <v>1528</v>
      </c>
      <c r="R729" t="s">
        <v>1516</v>
      </c>
    </row>
    <row r="730" spans="1:18" x14ac:dyDescent="0.45">
      <c r="A730">
        <v>729</v>
      </c>
      <c r="B730">
        <v>0</v>
      </c>
      <c r="C730" t="s">
        <v>1519</v>
      </c>
      <c r="D730" t="s">
        <v>1554</v>
      </c>
      <c r="E730" t="s">
        <v>1378</v>
      </c>
      <c r="F730" t="s">
        <v>722</v>
      </c>
      <c r="G730" t="s">
        <v>618</v>
      </c>
      <c r="H730" t="s">
        <v>9</v>
      </c>
      <c r="I730" t="s">
        <v>1520</v>
      </c>
      <c r="J730">
        <v>25</v>
      </c>
      <c r="K730" t="s">
        <v>1521</v>
      </c>
      <c r="L730" t="s">
        <v>1521</v>
      </c>
      <c r="M730">
        <v>1</v>
      </c>
      <c r="N730">
        <v>0</v>
      </c>
      <c r="O730">
        <v>2</v>
      </c>
      <c r="P730">
        <v>26</v>
      </c>
      <c r="Q730" t="s">
        <v>1528</v>
      </c>
      <c r="R730" t="s">
        <v>1514</v>
      </c>
    </row>
    <row r="731" spans="1:18" x14ac:dyDescent="0.45">
      <c r="A731">
        <v>730</v>
      </c>
      <c r="B731">
        <v>0</v>
      </c>
      <c r="C731" t="s">
        <v>1519</v>
      </c>
      <c r="D731" t="s">
        <v>1552</v>
      </c>
      <c r="E731" t="s">
        <v>1379</v>
      </c>
      <c r="F731" t="s">
        <v>724</v>
      </c>
      <c r="G731" t="s">
        <v>619</v>
      </c>
      <c r="H731" t="s">
        <v>10</v>
      </c>
      <c r="I731" t="s">
        <v>1523</v>
      </c>
      <c r="J731">
        <v>25</v>
      </c>
      <c r="K731" t="s">
        <v>1521</v>
      </c>
      <c r="L731" t="s">
        <v>1521</v>
      </c>
      <c r="M731">
        <v>1</v>
      </c>
      <c r="N731">
        <v>0</v>
      </c>
      <c r="O731">
        <v>2</v>
      </c>
      <c r="P731">
        <v>7.9249999999999998</v>
      </c>
      <c r="Q731" t="s">
        <v>1528</v>
      </c>
      <c r="R731" t="s">
        <v>1514</v>
      </c>
    </row>
    <row r="732" spans="1:18" x14ac:dyDescent="0.45">
      <c r="A732">
        <v>731</v>
      </c>
      <c r="B732">
        <v>1</v>
      </c>
      <c r="C732" t="s">
        <v>1</v>
      </c>
      <c r="D732" t="s">
        <v>1553</v>
      </c>
      <c r="E732" t="s">
        <v>1380</v>
      </c>
      <c r="F732" t="s">
        <v>724</v>
      </c>
      <c r="G732" t="s">
        <v>59</v>
      </c>
      <c r="H732" t="s">
        <v>10</v>
      </c>
      <c r="I732" t="s">
        <v>1523</v>
      </c>
      <c r="J732">
        <v>29</v>
      </c>
      <c r="K732" t="s">
        <v>1521</v>
      </c>
      <c r="L732" t="s">
        <v>1521</v>
      </c>
      <c r="M732">
        <v>0</v>
      </c>
      <c r="N732">
        <v>0</v>
      </c>
      <c r="O732">
        <v>1</v>
      </c>
      <c r="P732">
        <v>211.33750000000001</v>
      </c>
      <c r="Q732" t="s">
        <v>1528</v>
      </c>
      <c r="R732" t="s">
        <v>1514</v>
      </c>
    </row>
    <row r="733" spans="1:18" x14ac:dyDescent="0.45">
      <c r="A733">
        <v>732</v>
      </c>
      <c r="B733">
        <v>0</v>
      </c>
      <c r="C733" t="s">
        <v>1519</v>
      </c>
      <c r="D733" t="s">
        <v>1552</v>
      </c>
      <c r="E733" t="s">
        <v>1381</v>
      </c>
      <c r="F733" t="s">
        <v>722</v>
      </c>
      <c r="G733" t="s">
        <v>620</v>
      </c>
      <c r="H733" t="s">
        <v>9</v>
      </c>
      <c r="I733" t="s">
        <v>1520</v>
      </c>
      <c r="J733">
        <v>11</v>
      </c>
      <c r="K733" t="s">
        <v>1524</v>
      </c>
      <c r="L733" t="s">
        <v>1524</v>
      </c>
      <c r="M733">
        <v>0</v>
      </c>
      <c r="N733">
        <v>0</v>
      </c>
      <c r="O733">
        <v>1</v>
      </c>
      <c r="P733">
        <v>18.787500000000001</v>
      </c>
      <c r="Q733" t="s">
        <v>1528</v>
      </c>
      <c r="R733" t="s">
        <v>1515</v>
      </c>
    </row>
    <row r="734" spans="1:18" x14ac:dyDescent="0.45">
      <c r="A734">
        <v>733</v>
      </c>
      <c r="B734">
        <v>0</v>
      </c>
      <c r="C734" t="s">
        <v>1519</v>
      </c>
      <c r="D734" t="s">
        <v>1554</v>
      </c>
      <c r="E734" t="s">
        <v>1382</v>
      </c>
      <c r="F734" t="s">
        <v>722</v>
      </c>
      <c r="G734" t="s">
        <v>621</v>
      </c>
      <c r="H734" t="s">
        <v>9</v>
      </c>
      <c r="I734" t="s">
        <v>1520</v>
      </c>
      <c r="J734">
        <v>28</v>
      </c>
      <c r="K734" t="s">
        <v>1521</v>
      </c>
      <c r="L734" t="s">
        <v>1521</v>
      </c>
      <c r="M734">
        <v>0</v>
      </c>
      <c r="N734">
        <v>0</v>
      </c>
      <c r="O734">
        <v>1</v>
      </c>
      <c r="P734">
        <v>14.4542</v>
      </c>
      <c r="Q734" t="s">
        <v>1528</v>
      </c>
      <c r="R734" t="s">
        <v>1514</v>
      </c>
    </row>
    <row r="735" spans="1:18" x14ac:dyDescent="0.45">
      <c r="A735">
        <v>734</v>
      </c>
      <c r="B735">
        <v>0</v>
      </c>
      <c r="C735" t="s">
        <v>1519</v>
      </c>
      <c r="D735" t="s">
        <v>1554</v>
      </c>
      <c r="E735" t="s">
        <v>783</v>
      </c>
      <c r="F735" t="s">
        <v>722</v>
      </c>
      <c r="G735" t="s">
        <v>622</v>
      </c>
      <c r="H735" t="s">
        <v>9</v>
      </c>
      <c r="I735" t="s">
        <v>1520</v>
      </c>
      <c r="J735">
        <v>23</v>
      </c>
      <c r="K735" t="s">
        <v>1521</v>
      </c>
      <c r="L735" t="s">
        <v>1521</v>
      </c>
      <c r="M735">
        <v>0</v>
      </c>
      <c r="N735">
        <v>0</v>
      </c>
      <c r="O735">
        <v>1</v>
      </c>
      <c r="P735">
        <v>13</v>
      </c>
      <c r="Q735" t="s">
        <v>1528</v>
      </c>
      <c r="R735" t="s">
        <v>1514</v>
      </c>
    </row>
    <row r="736" spans="1:18" x14ac:dyDescent="0.45">
      <c r="A736">
        <v>735</v>
      </c>
      <c r="B736">
        <v>0</v>
      </c>
      <c r="C736" t="s">
        <v>1519</v>
      </c>
      <c r="D736" t="s">
        <v>1554</v>
      </c>
      <c r="E736" t="s">
        <v>1383</v>
      </c>
      <c r="F736" t="s">
        <v>722</v>
      </c>
      <c r="G736" t="s">
        <v>623</v>
      </c>
      <c r="H736" t="s">
        <v>9</v>
      </c>
      <c r="I736" t="s">
        <v>1520</v>
      </c>
      <c r="J736">
        <v>23</v>
      </c>
      <c r="K736" t="s">
        <v>1521</v>
      </c>
      <c r="L736" t="s">
        <v>1521</v>
      </c>
      <c r="M736">
        <v>0</v>
      </c>
      <c r="N736">
        <v>0</v>
      </c>
      <c r="O736">
        <v>1</v>
      </c>
      <c r="P736">
        <v>13</v>
      </c>
      <c r="Q736" t="s">
        <v>1528</v>
      </c>
      <c r="R736" t="s">
        <v>1514</v>
      </c>
    </row>
    <row r="737" spans="1:18" x14ac:dyDescent="0.45">
      <c r="A737">
        <v>736</v>
      </c>
      <c r="B737">
        <v>0</v>
      </c>
      <c r="C737" t="s">
        <v>1519</v>
      </c>
      <c r="D737" t="s">
        <v>1552</v>
      </c>
      <c r="E737" t="s">
        <v>1384</v>
      </c>
      <c r="F737" t="s">
        <v>722</v>
      </c>
      <c r="G737" t="s">
        <v>72</v>
      </c>
      <c r="H737" t="s">
        <v>9</v>
      </c>
      <c r="I737" t="s">
        <v>1520</v>
      </c>
      <c r="J737">
        <v>28.5</v>
      </c>
      <c r="K737" t="s">
        <v>1521</v>
      </c>
      <c r="L737" t="s">
        <v>1521</v>
      </c>
      <c r="M737">
        <v>0</v>
      </c>
      <c r="N737">
        <v>0</v>
      </c>
      <c r="O737">
        <v>1</v>
      </c>
      <c r="P737">
        <v>16.100000000000001</v>
      </c>
      <c r="Q737" t="s">
        <v>1528</v>
      </c>
      <c r="R737" t="s">
        <v>1514</v>
      </c>
    </row>
    <row r="738" spans="1:18" x14ac:dyDescent="0.45">
      <c r="A738">
        <v>737</v>
      </c>
      <c r="B738">
        <v>0</v>
      </c>
      <c r="C738" t="s">
        <v>1519</v>
      </c>
      <c r="D738" t="s">
        <v>1552</v>
      </c>
      <c r="E738" t="s">
        <v>1230</v>
      </c>
      <c r="F738" t="s">
        <v>723</v>
      </c>
      <c r="G738" t="s">
        <v>137</v>
      </c>
      <c r="H738" t="s">
        <v>10</v>
      </c>
      <c r="I738" t="s">
        <v>1523</v>
      </c>
      <c r="J738">
        <v>48</v>
      </c>
      <c r="K738" t="s">
        <v>1521</v>
      </c>
      <c r="L738" t="s">
        <v>1521</v>
      </c>
      <c r="M738">
        <v>1</v>
      </c>
      <c r="N738">
        <v>3</v>
      </c>
      <c r="O738">
        <v>5</v>
      </c>
      <c r="P738">
        <v>34.375</v>
      </c>
      <c r="Q738" t="s">
        <v>1528</v>
      </c>
      <c r="R738" t="s">
        <v>1514</v>
      </c>
    </row>
    <row r="739" spans="1:18" x14ac:dyDescent="0.45">
      <c r="A739">
        <v>738</v>
      </c>
      <c r="B739">
        <v>1</v>
      </c>
      <c r="C739" t="s">
        <v>1</v>
      </c>
      <c r="D739" t="s">
        <v>1553</v>
      </c>
      <c r="E739" t="s">
        <v>1385</v>
      </c>
      <c r="F739" t="s">
        <v>722</v>
      </c>
      <c r="G739" t="s">
        <v>624</v>
      </c>
      <c r="H739" t="s">
        <v>9</v>
      </c>
      <c r="I739" t="s">
        <v>1520</v>
      </c>
      <c r="J739">
        <v>35</v>
      </c>
      <c r="K739" t="s">
        <v>1521</v>
      </c>
      <c r="L739" t="s">
        <v>1521</v>
      </c>
      <c r="M739">
        <v>0</v>
      </c>
      <c r="N739">
        <v>0</v>
      </c>
      <c r="O739">
        <v>1</v>
      </c>
      <c r="P739">
        <v>512.32920000000001</v>
      </c>
      <c r="Q739" t="s">
        <v>1528</v>
      </c>
      <c r="R739" t="s">
        <v>1515</v>
      </c>
    </row>
    <row r="740" spans="1:18" x14ac:dyDescent="0.45">
      <c r="A740">
        <v>739</v>
      </c>
      <c r="B740">
        <v>0</v>
      </c>
      <c r="C740" t="s">
        <v>1519</v>
      </c>
      <c r="D740" t="s">
        <v>1552</v>
      </c>
      <c r="E740" t="s">
        <v>1386</v>
      </c>
      <c r="F740" t="s">
        <v>722</v>
      </c>
      <c r="G740" t="s">
        <v>625</v>
      </c>
      <c r="H740" t="s">
        <v>9</v>
      </c>
      <c r="I740" t="s">
        <v>1520</v>
      </c>
      <c r="J740">
        <v>28</v>
      </c>
      <c r="K740" t="s">
        <v>1521</v>
      </c>
      <c r="L740" t="s">
        <v>1521</v>
      </c>
      <c r="M740">
        <v>0</v>
      </c>
      <c r="N740">
        <v>0</v>
      </c>
      <c r="O740">
        <v>1</v>
      </c>
      <c r="P740">
        <v>7.8958000000000004</v>
      </c>
      <c r="Q740" t="s">
        <v>1528</v>
      </c>
      <c r="R740" t="s">
        <v>1514</v>
      </c>
    </row>
    <row r="741" spans="1:18" x14ac:dyDescent="0.45">
      <c r="A741">
        <v>740</v>
      </c>
      <c r="B741">
        <v>0</v>
      </c>
      <c r="C741" t="s">
        <v>1519</v>
      </c>
      <c r="D741" t="s">
        <v>1552</v>
      </c>
      <c r="E741" t="s">
        <v>1387</v>
      </c>
      <c r="F741" t="s">
        <v>722</v>
      </c>
      <c r="G741" t="s">
        <v>626</v>
      </c>
      <c r="H741" t="s">
        <v>9</v>
      </c>
      <c r="I741" t="s">
        <v>1520</v>
      </c>
      <c r="J741">
        <v>28</v>
      </c>
      <c r="K741" t="s">
        <v>1521</v>
      </c>
      <c r="L741" t="s">
        <v>1521</v>
      </c>
      <c r="M741">
        <v>0</v>
      </c>
      <c r="N741">
        <v>0</v>
      </c>
      <c r="O741">
        <v>1</v>
      </c>
      <c r="P741">
        <v>7.8958000000000004</v>
      </c>
      <c r="Q741" t="s">
        <v>1528</v>
      </c>
      <c r="R741" t="s">
        <v>1514</v>
      </c>
    </row>
    <row r="742" spans="1:18" x14ac:dyDescent="0.45">
      <c r="A742">
        <v>741</v>
      </c>
      <c r="B742">
        <v>1</v>
      </c>
      <c r="C742" t="s">
        <v>1</v>
      </c>
      <c r="D742" t="s">
        <v>1553</v>
      </c>
      <c r="E742" t="s">
        <v>1388</v>
      </c>
      <c r="F742" t="s">
        <v>722</v>
      </c>
      <c r="G742" t="s">
        <v>627</v>
      </c>
      <c r="H742" t="s">
        <v>9</v>
      </c>
      <c r="I742" t="s">
        <v>1520</v>
      </c>
      <c r="J742">
        <v>28</v>
      </c>
      <c r="K742" t="s">
        <v>1521</v>
      </c>
      <c r="L742" t="s">
        <v>1521</v>
      </c>
      <c r="M742">
        <v>0</v>
      </c>
      <c r="N742">
        <v>0</v>
      </c>
      <c r="O742">
        <v>1</v>
      </c>
      <c r="P742">
        <v>314.45420000000001</v>
      </c>
      <c r="Q742" t="s">
        <v>1528</v>
      </c>
      <c r="R742" t="s">
        <v>1514</v>
      </c>
    </row>
    <row r="743" spans="1:18" x14ac:dyDescent="0.45">
      <c r="A743">
        <v>742</v>
      </c>
      <c r="B743">
        <v>0</v>
      </c>
      <c r="C743" t="s">
        <v>1519</v>
      </c>
      <c r="D743" t="s">
        <v>1553</v>
      </c>
      <c r="E743" t="s">
        <v>1389</v>
      </c>
      <c r="F743" t="s">
        <v>722</v>
      </c>
      <c r="G743" t="s">
        <v>628</v>
      </c>
      <c r="H743" t="s">
        <v>9</v>
      </c>
      <c r="I743" t="s">
        <v>1520</v>
      </c>
      <c r="J743">
        <v>36</v>
      </c>
      <c r="K743" t="s">
        <v>1521</v>
      </c>
      <c r="L743" t="s">
        <v>1521</v>
      </c>
      <c r="M743">
        <v>1</v>
      </c>
      <c r="N743">
        <v>0</v>
      </c>
      <c r="O743">
        <v>2</v>
      </c>
      <c r="P743">
        <v>78.849999999999994</v>
      </c>
      <c r="Q743" t="s">
        <v>1528</v>
      </c>
      <c r="R743" t="s">
        <v>1514</v>
      </c>
    </row>
    <row r="744" spans="1:18" x14ac:dyDescent="0.45">
      <c r="A744">
        <v>743</v>
      </c>
      <c r="B744">
        <v>1</v>
      </c>
      <c r="C744" t="s">
        <v>1</v>
      </c>
      <c r="D744" t="s">
        <v>1553</v>
      </c>
      <c r="E744" t="s">
        <v>1390</v>
      </c>
      <c r="F744" t="s">
        <v>724</v>
      </c>
      <c r="G744" t="s">
        <v>325</v>
      </c>
      <c r="H744" t="s">
        <v>10</v>
      </c>
      <c r="I744" t="s">
        <v>1523</v>
      </c>
      <c r="J744">
        <v>21</v>
      </c>
      <c r="K744" t="s">
        <v>1521</v>
      </c>
      <c r="L744" t="s">
        <v>1521</v>
      </c>
      <c r="M744">
        <v>2</v>
      </c>
      <c r="N744">
        <v>2</v>
      </c>
      <c r="O744">
        <v>5</v>
      </c>
      <c r="P744">
        <v>262.375</v>
      </c>
      <c r="Q744" t="s">
        <v>1528</v>
      </c>
      <c r="R744" t="s">
        <v>1515</v>
      </c>
    </row>
    <row r="745" spans="1:18" x14ac:dyDescent="0.45">
      <c r="A745">
        <v>744</v>
      </c>
      <c r="B745">
        <v>0</v>
      </c>
      <c r="C745" t="s">
        <v>1519</v>
      </c>
      <c r="D745" t="s">
        <v>1552</v>
      </c>
      <c r="E745" t="s">
        <v>1391</v>
      </c>
      <c r="F745" t="s">
        <v>722</v>
      </c>
      <c r="G745" t="s">
        <v>629</v>
      </c>
      <c r="H745" t="s">
        <v>9</v>
      </c>
      <c r="I745" t="s">
        <v>1520</v>
      </c>
      <c r="J745">
        <v>24</v>
      </c>
      <c r="K745" t="s">
        <v>1521</v>
      </c>
      <c r="L745" t="s">
        <v>1521</v>
      </c>
      <c r="M745">
        <v>1</v>
      </c>
      <c r="N745">
        <v>0</v>
      </c>
      <c r="O745">
        <v>2</v>
      </c>
      <c r="P745">
        <v>16.100000000000001</v>
      </c>
      <c r="Q745" t="s">
        <v>1528</v>
      </c>
      <c r="R745" t="s">
        <v>1514</v>
      </c>
    </row>
    <row r="746" spans="1:18" x14ac:dyDescent="0.45">
      <c r="A746">
        <v>745</v>
      </c>
      <c r="B746">
        <v>1</v>
      </c>
      <c r="C746" t="s">
        <v>1</v>
      </c>
      <c r="D746" t="s">
        <v>1552</v>
      </c>
      <c r="E746" t="s">
        <v>1091</v>
      </c>
      <c r="F746" t="s">
        <v>722</v>
      </c>
      <c r="G746" t="s">
        <v>630</v>
      </c>
      <c r="H746" t="s">
        <v>9</v>
      </c>
      <c r="I746" t="s">
        <v>1520</v>
      </c>
      <c r="J746">
        <v>31</v>
      </c>
      <c r="K746" t="s">
        <v>1521</v>
      </c>
      <c r="L746" t="s">
        <v>1521</v>
      </c>
      <c r="M746">
        <v>0</v>
      </c>
      <c r="N746">
        <v>0</v>
      </c>
      <c r="O746">
        <v>1</v>
      </c>
      <c r="P746">
        <v>7.9249999999999998</v>
      </c>
      <c r="Q746" t="s">
        <v>1528</v>
      </c>
      <c r="R746" t="s">
        <v>1514</v>
      </c>
    </row>
    <row r="747" spans="1:18" x14ac:dyDescent="0.45">
      <c r="A747">
        <v>746</v>
      </c>
      <c r="B747">
        <v>0</v>
      </c>
      <c r="C747" t="s">
        <v>1519</v>
      </c>
      <c r="D747" t="s">
        <v>1553</v>
      </c>
      <c r="E747" t="s">
        <v>1392</v>
      </c>
      <c r="F747" t="s">
        <v>736</v>
      </c>
      <c r="G747" t="s">
        <v>495</v>
      </c>
      <c r="H747" t="s">
        <v>9</v>
      </c>
      <c r="I747" t="s">
        <v>1520</v>
      </c>
      <c r="J747">
        <v>70</v>
      </c>
      <c r="K747" t="s">
        <v>1527</v>
      </c>
      <c r="L747" t="s">
        <v>1527</v>
      </c>
      <c r="M747">
        <v>1</v>
      </c>
      <c r="N747">
        <v>1</v>
      </c>
      <c r="O747">
        <v>3</v>
      </c>
      <c r="P747">
        <v>71</v>
      </c>
      <c r="Q747" t="s">
        <v>1528</v>
      </c>
      <c r="R747" t="s">
        <v>1514</v>
      </c>
    </row>
    <row r="748" spans="1:18" x14ac:dyDescent="0.45">
      <c r="A748">
        <v>747</v>
      </c>
      <c r="B748">
        <v>0</v>
      </c>
      <c r="C748" t="s">
        <v>1519</v>
      </c>
      <c r="D748" t="s">
        <v>1552</v>
      </c>
      <c r="E748" t="s">
        <v>1393</v>
      </c>
      <c r="F748" t="s">
        <v>722</v>
      </c>
      <c r="G748" t="s">
        <v>298</v>
      </c>
      <c r="H748" t="s">
        <v>9</v>
      </c>
      <c r="I748" t="s">
        <v>1520</v>
      </c>
      <c r="J748">
        <v>16</v>
      </c>
      <c r="K748" t="s">
        <v>1525</v>
      </c>
      <c r="L748" t="s">
        <v>1525</v>
      </c>
      <c r="M748">
        <v>1</v>
      </c>
      <c r="N748">
        <v>1</v>
      </c>
      <c r="O748">
        <v>3</v>
      </c>
      <c r="P748" t="s">
        <v>31</v>
      </c>
      <c r="Q748" t="s">
        <v>1528</v>
      </c>
      <c r="R748" t="s">
        <v>1514</v>
      </c>
    </row>
    <row r="749" spans="1:18" x14ac:dyDescent="0.45">
      <c r="A749">
        <v>748</v>
      </c>
      <c r="B749">
        <v>1</v>
      </c>
      <c r="C749" t="s">
        <v>1</v>
      </c>
      <c r="D749" t="s">
        <v>1554</v>
      </c>
      <c r="E749" t="s">
        <v>863</v>
      </c>
      <c r="F749" t="s">
        <v>724</v>
      </c>
      <c r="G749" t="s">
        <v>631</v>
      </c>
      <c r="H749" t="s">
        <v>10</v>
      </c>
      <c r="I749" t="s">
        <v>1523</v>
      </c>
      <c r="J749">
        <v>30</v>
      </c>
      <c r="K749" t="s">
        <v>1521</v>
      </c>
      <c r="L749" t="s">
        <v>1521</v>
      </c>
      <c r="M749">
        <v>0</v>
      </c>
      <c r="N749">
        <v>0</v>
      </c>
      <c r="O749">
        <v>1</v>
      </c>
      <c r="P749">
        <v>13</v>
      </c>
      <c r="Q749" t="s">
        <v>1528</v>
      </c>
      <c r="R749" t="s">
        <v>1514</v>
      </c>
    </row>
    <row r="750" spans="1:18" x14ac:dyDescent="0.45">
      <c r="A750">
        <v>749</v>
      </c>
      <c r="B750">
        <v>0</v>
      </c>
      <c r="C750" t="s">
        <v>1519</v>
      </c>
      <c r="D750" t="s">
        <v>1553</v>
      </c>
      <c r="E750" t="s">
        <v>1394</v>
      </c>
      <c r="F750" t="s">
        <v>722</v>
      </c>
      <c r="G750" t="s">
        <v>632</v>
      </c>
      <c r="H750" t="s">
        <v>9</v>
      </c>
      <c r="I750" t="s">
        <v>1520</v>
      </c>
      <c r="J750">
        <v>19</v>
      </c>
      <c r="K750" t="s">
        <v>1521</v>
      </c>
      <c r="L750" t="s">
        <v>1521</v>
      </c>
      <c r="M750">
        <v>1</v>
      </c>
      <c r="N750">
        <v>0</v>
      </c>
      <c r="O750">
        <v>2</v>
      </c>
      <c r="P750">
        <v>53.1</v>
      </c>
      <c r="Q750" t="s">
        <v>1528</v>
      </c>
      <c r="R750" t="s">
        <v>1514</v>
      </c>
    </row>
    <row r="751" spans="1:18" x14ac:dyDescent="0.45">
      <c r="A751">
        <v>750</v>
      </c>
      <c r="B751">
        <v>0</v>
      </c>
      <c r="C751" t="s">
        <v>1519</v>
      </c>
      <c r="D751" t="s">
        <v>1552</v>
      </c>
      <c r="E751" t="s">
        <v>1370</v>
      </c>
      <c r="F751" t="s">
        <v>722</v>
      </c>
      <c r="G751" t="s">
        <v>633</v>
      </c>
      <c r="H751" t="s">
        <v>9</v>
      </c>
      <c r="I751" t="s">
        <v>1520</v>
      </c>
      <c r="J751">
        <v>31</v>
      </c>
      <c r="K751" t="s">
        <v>1521</v>
      </c>
      <c r="L751" t="s">
        <v>1521</v>
      </c>
      <c r="M751">
        <v>0</v>
      </c>
      <c r="N751">
        <v>0</v>
      </c>
      <c r="O751">
        <v>1</v>
      </c>
      <c r="P751">
        <v>7.75</v>
      </c>
      <c r="Q751" t="s">
        <v>1528</v>
      </c>
      <c r="R751" t="s">
        <v>1516</v>
      </c>
    </row>
    <row r="752" spans="1:18" x14ac:dyDescent="0.45">
      <c r="A752">
        <v>751</v>
      </c>
      <c r="B752">
        <v>1</v>
      </c>
      <c r="C752" t="s">
        <v>1</v>
      </c>
      <c r="D752" t="s">
        <v>1554</v>
      </c>
      <c r="E752" t="s">
        <v>1395</v>
      </c>
      <c r="F752" t="s">
        <v>724</v>
      </c>
      <c r="G752" t="s">
        <v>634</v>
      </c>
      <c r="H752" t="s">
        <v>10</v>
      </c>
      <c r="I752" t="s">
        <v>1523</v>
      </c>
      <c r="J752">
        <v>4</v>
      </c>
      <c r="K752" t="s">
        <v>1524</v>
      </c>
      <c r="L752" t="s">
        <v>1524</v>
      </c>
      <c r="M752">
        <v>1</v>
      </c>
      <c r="N752">
        <v>1</v>
      </c>
      <c r="O752">
        <v>3</v>
      </c>
      <c r="P752">
        <v>23</v>
      </c>
      <c r="Q752" t="s">
        <v>1528</v>
      </c>
      <c r="R752" t="s">
        <v>1514</v>
      </c>
    </row>
    <row r="753" spans="1:18" x14ac:dyDescent="0.45">
      <c r="A753">
        <v>752</v>
      </c>
      <c r="B753">
        <v>1</v>
      </c>
      <c r="C753" t="s">
        <v>1</v>
      </c>
      <c r="D753" t="s">
        <v>1552</v>
      </c>
      <c r="E753" t="s">
        <v>1396</v>
      </c>
      <c r="F753" t="s">
        <v>725</v>
      </c>
      <c r="G753" t="s">
        <v>635</v>
      </c>
      <c r="H753" t="s">
        <v>9</v>
      </c>
      <c r="I753" t="s">
        <v>1520</v>
      </c>
      <c r="J753">
        <v>6</v>
      </c>
      <c r="K753" t="s">
        <v>1524</v>
      </c>
      <c r="L753" t="s">
        <v>1524</v>
      </c>
      <c r="M753">
        <v>0</v>
      </c>
      <c r="N753">
        <v>1</v>
      </c>
      <c r="O753">
        <v>2</v>
      </c>
      <c r="P753">
        <v>12.475</v>
      </c>
      <c r="Q753" t="s">
        <v>1528</v>
      </c>
      <c r="R753" t="s">
        <v>1514</v>
      </c>
    </row>
    <row r="754" spans="1:18" x14ac:dyDescent="0.45">
      <c r="A754">
        <v>753</v>
      </c>
      <c r="B754">
        <v>0</v>
      </c>
      <c r="C754" t="s">
        <v>1519</v>
      </c>
      <c r="D754" t="s">
        <v>1552</v>
      </c>
      <c r="E754" t="s">
        <v>1397</v>
      </c>
      <c r="F754" t="s">
        <v>722</v>
      </c>
      <c r="G754" t="s">
        <v>636</v>
      </c>
      <c r="H754" t="s">
        <v>9</v>
      </c>
      <c r="I754" t="s">
        <v>1520</v>
      </c>
      <c r="J754">
        <v>33</v>
      </c>
      <c r="K754" t="s">
        <v>1521</v>
      </c>
      <c r="L754" t="s">
        <v>1521</v>
      </c>
      <c r="M754">
        <v>0</v>
      </c>
      <c r="N754">
        <v>0</v>
      </c>
      <c r="O754">
        <v>1</v>
      </c>
      <c r="P754">
        <v>9.5</v>
      </c>
      <c r="Q754" t="s">
        <v>1528</v>
      </c>
      <c r="R754" t="s">
        <v>1514</v>
      </c>
    </row>
    <row r="755" spans="1:18" x14ac:dyDescent="0.45">
      <c r="A755">
        <v>754</v>
      </c>
      <c r="B755">
        <v>0</v>
      </c>
      <c r="C755" t="s">
        <v>1519</v>
      </c>
      <c r="D755" t="s">
        <v>1552</v>
      </c>
      <c r="E755" t="s">
        <v>767</v>
      </c>
      <c r="F755" t="s">
        <v>722</v>
      </c>
      <c r="G755" t="s">
        <v>637</v>
      </c>
      <c r="H755" t="s">
        <v>9</v>
      </c>
      <c r="I755" t="s">
        <v>1520</v>
      </c>
      <c r="J755">
        <v>23</v>
      </c>
      <c r="K755" t="s">
        <v>1521</v>
      </c>
      <c r="L755" t="s">
        <v>1521</v>
      </c>
      <c r="M755">
        <v>0</v>
      </c>
      <c r="N755">
        <v>0</v>
      </c>
      <c r="O755">
        <v>1</v>
      </c>
      <c r="P755">
        <v>7.8958000000000004</v>
      </c>
      <c r="Q755" t="s">
        <v>1528</v>
      </c>
      <c r="R755" t="s">
        <v>1514</v>
      </c>
    </row>
    <row r="756" spans="1:18" x14ac:dyDescent="0.45">
      <c r="A756">
        <v>755</v>
      </c>
      <c r="B756">
        <v>1</v>
      </c>
      <c r="C756" t="s">
        <v>1</v>
      </c>
      <c r="D756" t="s">
        <v>1554</v>
      </c>
      <c r="E756" t="s">
        <v>1398</v>
      </c>
      <c r="F756" t="s">
        <v>723</v>
      </c>
      <c r="G756" t="s">
        <v>545</v>
      </c>
      <c r="H756" t="s">
        <v>10</v>
      </c>
      <c r="I756" t="s">
        <v>1523</v>
      </c>
      <c r="J756">
        <v>48</v>
      </c>
      <c r="K756" t="s">
        <v>1521</v>
      </c>
      <c r="L756" t="s">
        <v>1521</v>
      </c>
      <c r="M756">
        <v>1</v>
      </c>
      <c r="N756">
        <v>2</v>
      </c>
      <c r="O756">
        <v>4</v>
      </c>
      <c r="P756">
        <v>65</v>
      </c>
      <c r="Q756" t="s">
        <v>1528</v>
      </c>
      <c r="R756" t="s">
        <v>1514</v>
      </c>
    </row>
    <row r="757" spans="1:18" x14ac:dyDescent="0.45">
      <c r="A757">
        <v>756</v>
      </c>
      <c r="B757">
        <v>1</v>
      </c>
      <c r="C757" t="s">
        <v>1</v>
      </c>
      <c r="D757" t="s">
        <v>1554</v>
      </c>
      <c r="E757" t="s">
        <v>1399</v>
      </c>
      <c r="F757" t="s">
        <v>725</v>
      </c>
      <c r="G757" t="s">
        <v>271</v>
      </c>
      <c r="H757" t="s">
        <v>9</v>
      </c>
      <c r="I757" t="s">
        <v>1520</v>
      </c>
      <c r="J757">
        <v>0.67</v>
      </c>
      <c r="K757" t="s">
        <v>1524</v>
      </c>
      <c r="L757" t="s">
        <v>1524</v>
      </c>
      <c r="M757">
        <v>1</v>
      </c>
      <c r="N757">
        <v>1</v>
      </c>
      <c r="O757">
        <v>3</v>
      </c>
      <c r="P757">
        <v>14.5</v>
      </c>
      <c r="Q757" t="s">
        <v>1528</v>
      </c>
      <c r="R757" t="s">
        <v>1514</v>
      </c>
    </row>
    <row r="758" spans="1:18" x14ac:dyDescent="0.45">
      <c r="A758">
        <v>757</v>
      </c>
      <c r="B758">
        <v>0</v>
      </c>
      <c r="C758" t="s">
        <v>1519</v>
      </c>
      <c r="D758" t="s">
        <v>1552</v>
      </c>
      <c r="E758" t="s">
        <v>1400</v>
      </c>
      <c r="F758" t="s">
        <v>722</v>
      </c>
      <c r="G758" t="s">
        <v>638</v>
      </c>
      <c r="H758" t="s">
        <v>9</v>
      </c>
      <c r="I758" t="s">
        <v>1520</v>
      </c>
      <c r="J758">
        <v>28</v>
      </c>
      <c r="K758" t="s">
        <v>1521</v>
      </c>
      <c r="L758" t="s">
        <v>1521</v>
      </c>
      <c r="M758">
        <v>0</v>
      </c>
      <c r="N758">
        <v>0</v>
      </c>
      <c r="O758">
        <v>1</v>
      </c>
      <c r="P758">
        <v>7.7957999999999998</v>
      </c>
      <c r="Q758" t="s">
        <v>1528</v>
      </c>
      <c r="R758" t="s">
        <v>1514</v>
      </c>
    </row>
    <row r="759" spans="1:18" x14ac:dyDescent="0.45">
      <c r="A759">
        <v>758</v>
      </c>
      <c r="B759">
        <v>0</v>
      </c>
      <c r="C759" t="s">
        <v>1519</v>
      </c>
      <c r="D759" t="s">
        <v>1554</v>
      </c>
      <c r="E759" t="s">
        <v>1401</v>
      </c>
      <c r="F759" t="s">
        <v>722</v>
      </c>
      <c r="G759" t="s">
        <v>639</v>
      </c>
      <c r="H759" t="s">
        <v>9</v>
      </c>
      <c r="I759" t="s">
        <v>1520</v>
      </c>
      <c r="J759">
        <v>18</v>
      </c>
      <c r="K759" t="s">
        <v>1521</v>
      </c>
      <c r="L759" t="s">
        <v>1521</v>
      </c>
      <c r="M759">
        <v>0</v>
      </c>
      <c r="N759">
        <v>0</v>
      </c>
      <c r="O759">
        <v>1</v>
      </c>
      <c r="P759">
        <v>11.5</v>
      </c>
      <c r="Q759" t="s">
        <v>1528</v>
      </c>
      <c r="R759" t="s">
        <v>1514</v>
      </c>
    </row>
    <row r="760" spans="1:18" x14ac:dyDescent="0.45">
      <c r="A760">
        <v>759</v>
      </c>
      <c r="B760">
        <v>0</v>
      </c>
      <c r="C760" t="s">
        <v>1519</v>
      </c>
      <c r="D760" t="s">
        <v>1552</v>
      </c>
      <c r="E760" t="s">
        <v>1402</v>
      </c>
      <c r="F760" t="s">
        <v>722</v>
      </c>
      <c r="G760" t="s">
        <v>640</v>
      </c>
      <c r="H760" t="s">
        <v>9</v>
      </c>
      <c r="I760" t="s">
        <v>1520</v>
      </c>
      <c r="J760">
        <v>34</v>
      </c>
      <c r="K760" t="s">
        <v>1521</v>
      </c>
      <c r="L760" t="s">
        <v>1521</v>
      </c>
      <c r="M760">
        <v>0</v>
      </c>
      <c r="N760">
        <v>0</v>
      </c>
      <c r="O760">
        <v>1</v>
      </c>
      <c r="P760" t="s">
        <v>12</v>
      </c>
      <c r="Q760" t="s">
        <v>1528</v>
      </c>
      <c r="R760" t="s">
        <v>1514</v>
      </c>
    </row>
    <row r="761" spans="1:18" x14ac:dyDescent="0.45">
      <c r="A761">
        <v>760</v>
      </c>
      <c r="B761">
        <v>1</v>
      </c>
      <c r="C761" t="s">
        <v>1</v>
      </c>
      <c r="D761" t="s">
        <v>1553</v>
      </c>
      <c r="E761" t="s">
        <v>1403</v>
      </c>
      <c r="F761" t="s">
        <v>737</v>
      </c>
      <c r="G761" t="s">
        <v>641</v>
      </c>
      <c r="H761" t="s">
        <v>10</v>
      </c>
      <c r="I761" t="s">
        <v>1523</v>
      </c>
      <c r="J761">
        <v>33</v>
      </c>
      <c r="K761" t="s">
        <v>1521</v>
      </c>
      <c r="L761" t="s">
        <v>1521</v>
      </c>
      <c r="M761">
        <v>0</v>
      </c>
      <c r="N761">
        <v>0</v>
      </c>
      <c r="O761">
        <v>1</v>
      </c>
      <c r="P761">
        <v>86.5</v>
      </c>
      <c r="Q761" t="s">
        <v>1528</v>
      </c>
      <c r="R761" t="s">
        <v>1514</v>
      </c>
    </row>
    <row r="762" spans="1:18" x14ac:dyDescent="0.45">
      <c r="A762">
        <v>761</v>
      </c>
      <c r="B762">
        <v>0</v>
      </c>
      <c r="C762" t="s">
        <v>1519</v>
      </c>
      <c r="D762" t="s">
        <v>1552</v>
      </c>
      <c r="E762" t="s">
        <v>920</v>
      </c>
      <c r="F762" t="s">
        <v>722</v>
      </c>
      <c r="G762" t="s">
        <v>642</v>
      </c>
      <c r="H762" t="s">
        <v>9</v>
      </c>
      <c r="I762" t="s">
        <v>1520</v>
      </c>
      <c r="J762">
        <v>28</v>
      </c>
      <c r="K762" t="s">
        <v>1521</v>
      </c>
      <c r="L762" t="s">
        <v>1521</v>
      </c>
      <c r="M762">
        <v>0</v>
      </c>
      <c r="N762">
        <v>0</v>
      </c>
      <c r="O762">
        <v>1</v>
      </c>
      <c r="P762">
        <v>14.5</v>
      </c>
      <c r="Q762" t="s">
        <v>1528</v>
      </c>
      <c r="R762" t="s">
        <v>1514</v>
      </c>
    </row>
    <row r="763" spans="1:18" x14ac:dyDescent="0.45">
      <c r="A763">
        <v>762</v>
      </c>
      <c r="B763">
        <v>0</v>
      </c>
      <c r="C763" t="s">
        <v>1519</v>
      </c>
      <c r="D763" t="s">
        <v>1552</v>
      </c>
      <c r="E763" t="s">
        <v>1404</v>
      </c>
      <c r="F763" t="s">
        <v>722</v>
      </c>
      <c r="G763" t="s">
        <v>643</v>
      </c>
      <c r="H763" t="s">
        <v>9</v>
      </c>
      <c r="I763" t="s">
        <v>1520</v>
      </c>
      <c r="J763">
        <v>41</v>
      </c>
      <c r="K763" t="s">
        <v>1521</v>
      </c>
      <c r="L763" t="s">
        <v>1521</v>
      </c>
      <c r="M763">
        <v>0</v>
      </c>
      <c r="N763">
        <v>0</v>
      </c>
      <c r="O763">
        <v>1</v>
      </c>
      <c r="P763">
        <v>7.125</v>
      </c>
      <c r="Q763" t="s">
        <v>1528</v>
      </c>
      <c r="R763" t="s">
        <v>1514</v>
      </c>
    </row>
    <row r="764" spans="1:18" x14ac:dyDescent="0.45">
      <c r="A764">
        <v>763</v>
      </c>
      <c r="B764">
        <v>1</v>
      </c>
      <c r="C764" t="s">
        <v>1</v>
      </c>
      <c r="D764" t="s">
        <v>1552</v>
      </c>
      <c r="E764" t="s">
        <v>1405</v>
      </c>
      <c r="F764" t="s">
        <v>722</v>
      </c>
      <c r="G764" t="s">
        <v>644</v>
      </c>
      <c r="H764" t="s">
        <v>9</v>
      </c>
      <c r="I764" t="s">
        <v>1520</v>
      </c>
      <c r="J764">
        <v>20</v>
      </c>
      <c r="K764" t="s">
        <v>1521</v>
      </c>
      <c r="L764" t="s">
        <v>1521</v>
      </c>
      <c r="M764">
        <v>0</v>
      </c>
      <c r="N764">
        <v>0</v>
      </c>
      <c r="O764">
        <v>1</v>
      </c>
      <c r="P764">
        <v>7.2291999999999996</v>
      </c>
      <c r="Q764" t="s">
        <v>1528</v>
      </c>
      <c r="R764" t="s">
        <v>1515</v>
      </c>
    </row>
    <row r="765" spans="1:18" x14ac:dyDescent="0.45">
      <c r="A765">
        <v>764</v>
      </c>
      <c r="B765">
        <v>1</v>
      </c>
      <c r="C765" t="s">
        <v>1</v>
      </c>
      <c r="D765" t="s">
        <v>1553</v>
      </c>
      <c r="E765" t="s">
        <v>1406</v>
      </c>
      <c r="F765" t="s">
        <v>723</v>
      </c>
      <c r="G765" t="s">
        <v>273</v>
      </c>
      <c r="H765" t="s">
        <v>10</v>
      </c>
      <c r="I765" t="s">
        <v>1523</v>
      </c>
      <c r="J765">
        <v>36</v>
      </c>
      <c r="K765" t="s">
        <v>1521</v>
      </c>
      <c r="L765" t="s">
        <v>1521</v>
      </c>
      <c r="M765">
        <v>1</v>
      </c>
      <c r="N765">
        <v>2</v>
      </c>
      <c r="O765">
        <v>4</v>
      </c>
      <c r="P765">
        <v>1214.4541999999999</v>
      </c>
      <c r="Q765" t="s">
        <v>1528</v>
      </c>
      <c r="R765" t="s">
        <v>1514</v>
      </c>
    </row>
    <row r="766" spans="1:18" x14ac:dyDescent="0.45">
      <c r="A766">
        <v>765</v>
      </c>
      <c r="B766">
        <v>0</v>
      </c>
      <c r="C766" t="s">
        <v>1519</v>
      </c>
      <c r="D766" t="s">
        <v>1552</v>
      </c>
      <c r="E766" t="s">
        <v>1407</v>
      </c>
      <c r="F766" t="s">
        <v>722</v>
      </c>
      <c r="G766" t="s">
        <v>645</v>
      </c>
      <c r="H766" t="s">
        <v>9</v>
      </c>
      <c r="I766" t="s">
        <v>1520</v>
      </c>
      <c r="J766">
        <v>16</v>
      </c>
      <c r="K766" t="s">
        <v>1525</v>
      </c>
      <c r="L766" t="s">
        <v>1525</v>
      </c>
      <c r="M766">
        <v>0</v>
      </c>
      <c r="N766">
        <v>0</v>
      </c>
      <c r="O766">
        <v>1</v>
      </c>
      <c r="P766">
        <v>7.7750000000000004</v>
      </c>
      <c r="Q766" t="s">
        <v>1528</v>
      </c>
      <c r="R766" t="s">
        <v>1514</v>
      </c>
    </row>
    <row r="767" spans="1:18" x14ac:dyDescent="0.45">
      <c r="A767">
        <v>766</v>
      </c>
      <c r="B767">
        <v>1</v>
      </c>
      <c r="C767" t="s">
        <v>1</v>
      </c>
      <c r="D767" t="s">
        <v>1553</v>
      </c>
      <c r="E767" t="s">
        <v>1408</v>
      </c>
      <c r="F767" t="s">
        <v>723</v>
      </c>
      <c r="G767" t="s">
        <v>646</v>
      </c>
      <c r="H767" t="s">
        <v>10</v>
      </c>
      <c r="I767" t="s">
        <v>1523</v>
      </c>
      <c r="J767">
        <v>51</v>
      </c>
      <c r="K767" t="s">
        <v>1521</v>
      </c>
      <c r="L767" t="s">
        <v>1521</v>
      </c>
      <c r="M767">
        <v>1</v>
      </c>
      <c r="N767">
        <v>0</v>
      </c>
      <c r="O767">
        <v>2</v>
      </c>
      <c r="P767">
        <v>77.958299999999994</v>
      </c>
      <c r="Q767" t="s">
        <v>1528</v>
      </c>
      <c r="R767" t="s">
        <v>1514</v>
      </c>
    </row>
    <row r="768" spans="1:18" x14ac:dyDescent="0.45">
      <c r="A768">
        <v>767</v>
      </c>
      <c r="B768">
        <v>0</v>
      </c>
      <c r="C768" t="s">
        <v>1519</v>
      </c>
      <c r="D768" t="s">
        <v>1553</v>
      </c>
      <c r="E768" t="s">
        <v>1409</v>
      </c>
      <c r="F768" t="s">
        <v>728</v>
      </c>
      <c r="G768" t="s">
        <v>647</v>
      </c>
      <c r="H768" t="s">
        <v>9</v>
      </c>
      <c r="I768" t="s">
        <v>1520</v>
      </c>
      <c r="J768">
        <v>28</v>
      </c>
      <c r="K768" t="s">
        <v>1521</v>
      </c>
      <c r="L768" t="s">
        <v>1521</v>
      </c>
      <c r="M768">
        <v>0</v>
      </c>
      <c r="N768">
        <v>0</v>
      </c>
      <c r="O768">
        <v>1</v>
      </c>
      <c r="P768">
        <v>39.6</v>
      </c>
      <c r="Q768" t="s">
        <v>1528</v>
      </c>
      <c r="R768" t="s">
        <v>1515</v>
      </c>
    </row>
    <row r="769" spans="1:18" x14ac:dyDescent="0.45">
      <c r="A769">
        <v>768</v>
      </c>
      <c r="B769">
        <v>0</v>
      </c>
      <c r="C769" t="s">
        <v>1519</v>
      </c>
      <c r="D769" t="s">
        <v>1552</v>
      </c>
      <c r="E769" t="s">
        <v>1073</v>
      </c>
      <c r="F769" t="s">
        <v>724</v>
      </c>
      <c r="G769" t="s">
        <v>648</v>
      </c>
      <c r="H769" t="s">
        <v>10</v>
      </c>
      <c r="I769" t="s">
        <v>1523</v>
      </c>
      <c r="J769">
        <v>30.5</v>
      </c>
      <c r="K769" t="s">
        <v>1521</v>
      </c>
      <c r="L769" t="s">
        <v>1521</v>
      </c>
      <c r="M769">
        <v>0</v>
      </c>
      <c r="N769">
        <v>0</v>
      </c>
      <c r="O769">
        <v>1</v>
      </c>
      <c r="P769">
        <v>7.75</v>
      </c>
      <c r="Q769" t="s">
        <v>1528</v>
      </c>
      <c r="R769" t="s">
        <v>1516</v>
      </c>
    </row>
    <row r="770" spans="1:18" x14ac:dyDescent="0.45">
      <c r="A770">
        <v>769</v>
      </c>
      <c r="B770">
        <v>0</v>
      </c>
      <c r="C770" t="s">
        <v>1519</v>
      </c>
      <c r="D770" t="s">
        <v>1552</v>
      </c>
      <c r="E770" t="s">
        <v>1410</v>
      </c>
      <c r="F770" t="s">
        <v>722</v>
      </c>
      <c r="G770" t="s">
        <v>60</v>
      </c>
      <c r="H770" t="s">
        <v>9</v>
      </c>
      <c r="I770" t="s">
        <v>1520</v>
      </c>
      <c r="J770">
        <v>28</v>
      </c>
      <c r="K770" t="s">
        <v>1521</v>
      </c>
      <c r="L770" t="s">
        <v>1521</v>
      </c>
      <c r="M770">
        <v>1</v>
      </c>
      <c r="N770">
        <v>0</v>
      </c>
      <c r="O770">
        <v>2</v>
      </c>
      <c r="P770">
        <v>24.15</v>
      </c>
      <c r="Q770" t="s">
        <v>1528</v>
      </c>
      <c r="R770" t="s">
        <v>1516</v>
      </c>
    </row>
    <row r="771" spans="1:18" x14ac:dyDescent="0.45">
      <c r="A771">
        <v>770</v>
      </c>
      <c r="B771">
        <v>0</v>
      </c>
      <c r="C771" t="s">
        <v>1519</v>
      </c>
      <c r="D771" t="s">
        <v>1552</v>
      </c>
      <c r="E771" t="s">
        <v>1411</v>
      </c>
      <c r="F771" t="s">
        <v>722</v>
      </c>
      <c r="G771" t="s">
        <v>649</v>
      </c>
      <c r="H771" t="s">
        <v>9</v>
      </c>
      <c r="I771" t="s">
        <v>1520</v>
      </c>
      <c r="J771">
        <v>32</v>
      </c>
      <c r="K771" t="s">
        <v>1521</v>
      </c>
      <c r="L771" t="s">
        <v>1521</v>
      </c>
      <c r="M771">
        <v>0</v>
      </c>
      <c r="N771">
        <v>0</v>
      </c>
      <c r="O771">
        <v>1</v>
      </c>
      <c r="P771">
        <v>8.3625000000000007</v>
      </c>
      <c r="Q771" t="s">
        <v>1528</v>
      </c>
      <c r="R771" t="s">
        <v>1514</v>
      </c>
    </row>
    <row r="772" spans="1:18" x14ac:dyDescent="0.45">
      <c r="A772">
        <v>771</v>
      </c>
      <c r="B772">
        <v>0</v>
      </c>
      <c r="C772" t="s">
        <v>1519</v>
      </c>
      <c r="D772" t="s">
        <v>1552</v>
      </c>
      <c r="E772" t="s">
        <v>1412</v>
      </c>
      <c r="F772" t="s">
        <v>722</v>
      </c>
      <c r="G772" t="s">
        <v>650</v>
      </c>
      <c r="H772" t="s">
        <v>9</v>
      </c>
      <c r="I772" t="s">
        <v>1520</v>
      </c>
      <c r="J772">
        <v>24</v>
      </c>
      <c r="K772" t="s">
        <v>1521</v>
      </c>
      <c r="L772" t="s">
        <v>1521</v>
      </c>
      <c r="M772">
        <v>0</v>
      </c>
      <c r="N772">
        <v>0</v>
      </c>
      <c r="O772">
        <v>1</v>
      </c>
      <c r="P772">
        <v>9.5</v>
      </c>
      <c r="Q772" t="s">
        <v>1528</v>
      </c>
      <c r="R772" t="s">
        <v>1514</v>
      </c>
    </row>
    <row r="773" spans="1:18" x14ac:dyDescent="0.45">
      <c r="A773">
        <v>772</v>
      </c>
      <c r="B773">
        <v>0</v>
      </c>
      <c r="C773" t="s">
        <v>1519</v>
      </c>
      <c r="D773" t="s">
        <v>1552</v>
      </c>
      <c r="E773" t="s">
        <v>1413</v>
      </c>
      <c r="F773" t="s">
        <v>722</v>
      </c>
      <c r="G773" t="s">
        <v>562</v>
      </c>
      <c r="H773" t="s">
        <v>9</v>
      </c>
      <c r="I773" t="s">
        <v>1520</v>
      </c>
      <c r="J773">
        <v>48</v>
      </c>
      <c r="K773" t="s">
        <v>1521</v>
      </c>
      <c r="L773" t="s">
        <v>1521</v>
      </c>
      <c r="M773">
        <v>0</v>
      </c>
      <c r="N773">
        <v>0</v>
      </c>
      <c r="O773">
        <v>1</v>
      </c>
      <c r="P773">
        <v>7.8541999999999996</v>
      </c>
      <c r="Q773" t="s">
        <v>1528</v>
      </c>
      <c r="R773" t="s">
        <v>1514</v>
      </c>
    </row>
    <row r="774" spans="1:18" x14ac:dyDescent="0.45">
      <c r="A774">
        <v>773</v>
      </c>
      <c r="B774">
        <v>0</v>
      </c>
      <c r="C774" t="s">
        <v>1519</v>
      </c>
      <c r="D774" t="s">
        <v>1554</v>
      </c>
      <c r="E774" t="s">
        <v>753</v>
      </c>
      <c r="F774" t="s">
        <v>723</v>
      </c>
      <c r="G774" t="s">
        <v>651</v>
      </c>
      <c r="H774" t="s">
        <v>10</v>
      </c>
      <c r="I774" t="s">
        <v>1523</v>
      </c>
      <c r="J774">
        <v>57</v>
      </c>
      <c r="K774" t="s">
        <v>1521</v>
      </c>
      <c r="L774" t="s">
        <v>1521</v>
      </c>
      <c r="M774">
        <v>0</v>
      </c>
      <c r="N774">
        <v>0</v>
      </c>
      <c r="O774">
        <v>1</v>
      </c>
      <c r="P774" t="s">
        <v>18</v>
      </c>
      <c r="Q774" t="s">
        <v>1528</v>
      </c>
      <c r="R774" t="s">
        <v>1514</v>
      </c>
    </row>
    <row r="775" spans="1:18" x14ac:dyDescent="0.45">
      <c r="A775">
        <v>774</v>
      </c>
      <c r="B775">
        <v>0</v>
      </c>
      <c r="C775" t="s">
        <v>1519</v>
      </c>
      <c r="D775" t="s">
        <v>1552</v>
      </c>
      <c r="E775" t="s">
        <v>1414</v>
      </c>
      <c r="F775" t="s">
        <v>722</v>
      </c>
      <c r="G775" t="s">
        <v>354</v>
      </c>
      <c r="H775" t="s">
        <v>9</v>
      </c>
      <c r="I775" t="s">
        <v>1520</v>
      </c>
      <c r="J775">
        <v>28</v>
      </c>
      <c r="K775" t="s">
        <v>1521</v>
      </c>
      <c r="L775" t="s">
        <v>1521</v>
      </c>
      <c r="M775">
        <v>0</v>
      </c>
      <c r="N775">
        <v>0</v>
      </c>
      <c r="O775">
        <v>1</v>
      </c>
      <c r="P775">
        <v>7.2249999999999996</v>
      </c>
      <c r="Q775" t="s">
        <v>1528</v>
      </c>
      <c r="R775" t="s">
        <v>1515</v>
      </c>
    </row>
    <row r="776" spans="1:18" x14ac:dyDescent="0.45">
      <c r="A776">
        <v>775</v>
      </c>
      <c r="B776">
        <v>1</v>
      </c>
      <c r="C776" t="s">
        <v>1</v>
      </c>
      <c r="D776" t="s">
        <v>1554</v>
      </c>
      <c r="E776" t="s">
        <v>1415</v>
      </c>
      <c r="F776" t="s">
        <v>723</v>
      </c>
      <c r="G776" t="s">
        <v>489</v>
      </c>
      <c r="H776" t="s">
        <v>10</v>
      </c>
      <c r="I776" t="s">
        <v>1523</v>
      </c>
      <c r="J776">
        <v>54</v>
      </c>
      <c r="K776" t="s">
        <v>1521</v>
      </c>
      <c r="L776" t="s">
        <v>1521</v>
      </c>
      <c r="M776">
        <v>1</v>
      </c>
      <c r="N776">
        <v>3</v>
      </c>
      <c r="O776">
        <v>5</v>
      </c>
      <c r="P776">
        <v>23</v>
      </c>
      <c r="Q776" t="s">
        <v>1528</v>
      </c>
      <c r="R776" t="s">
        <v>1514</v>
      </c>
    </row>
    <row r="777" spans="1:18" x14ac:dyDescent="0.45">
      <c r="A777">
        <v>776</v>
      </c>
      <c r="B777">
        <v>0</v>
      </c>
      <c r="C777" t="s">
        <v>1519</v>
      </c>
      <c r="D777" t="s">
        <v>1552</v>
      </c>
      <c r="E777" t="s">
        <v>1416</v>
      </c>
      <c r="F777" t="s">
        <v>722</v>
      </c>
      <c r="G777" t="s">
        <v>652</v>
      </c>
      <c r="H777" t="s">
        <v>9</v>
      </c>
      <c r="I777" t="s">
        <v>1520</v>
      </c>
      <c r="J777">
        <v>18</v>
      </c>
      <c r="K777" t="s">
        <v>1521</v>
      </c>
      <c r="L777" t="s">
        <v>1521</v>
      </c>
      <c r="M777">
        <v>0</v>
      </c>
      <c r="N777">
        <v>0</v>
      </c>
      <c r="O777">
        <v>1</v>
      </c>
      <c r="P777">
        <v>7.75</v>
      </c>
      <c r="Q777" t="s">
        <v>1528</v>
      </c>
      <c r="R777" t="s">
        <v>1514</v>
      </c>
    </row>
    <row r="778" spans="1:18" x14ac:dyDescent="0.45">
      <c r="A778">
        <v>777</v>
      </c>
      <c r="B778">
        <v>0</v>
      </c>
      <c r="C778" t="s">
        <v>1519</v>
      </c>
      <c r="D778" t="s">
        <v>1552</v>
      </c>
      <c r="E778" t="s">
        <v>1417</v>
      </c>
      <c r="F778" t="s">
        <v>722</v>
      </c>
      <c r="G778" t="s">
        <v>653</v>
      </c>
      <c r="H778" t="s">
        <v>9</v>
      </c>
      <c r="I778" t="s">
        <v>1520</v>
      </c>
      <c r="J778">
        <v>28</v>
      </c>
      <c r="K778" t="s">
        <v>1521</v>
      </c>
      <c r="L778" t="s">
        <v>1521</v>
      </c>
      <c r="M778">
        <v>0</v>
      </c>
      <c r="N778">
        <v>0</v>
      </c>
      <c r="O778">
        <v>1</v>
      </c>
      <c r="P778">
        <v>7.75</v>
      </c>
      <c r="Q778" t="s">
        <v>1528</v>
      </c>
      <c r="R778" t="s">
        <v>1516</v>
      </c>
    </row>
    <row r="779" spans="1:18" x14ac:dyDescent="0.45">
      <c r="A779">
        <v>778</v>
      </c>
      <c r="B779">
        <v>1</v>
      </c>
      <c r="C779" t="s">
        <v>1</v>
      </c>
      <c r="D779" t="s">
        <v>1552</v>
      </c>
      <c r="E779" t="s">
        <v>1418</v>
      </c>
      <c r="F779" t="s">
        <v>724</v>
      </c>
      <c r="G779" t="s">
        <v>654</v>
      </c>
      <c r="H779" t="s">
        <v>10</v>
      </c>
      <c r="I779" t="s">
        <v>1523</v>
      </c>
      <c r="J779">
        <v>5</v>
      </c>
      <c r="K779" t="s">
        <v>1524</v>
      </c>
      <c r="L779" t="s">
        <v>1524</v>
      </c>
      <c r="M779">
        <v>0</v>
      </c>
      <c r="N779">
        <v>0</v>
      </c>
      <c r="O779">
        <v>1</v>
      </c>
      <c r="P779">
        <v>12.475</v>
      </c>
      <c r="Q779" t="s">
        <v>1528</v>
      </c>
      <c r="R779" t="s">
        <v>1514</v>
      </c>
    </row>
    <row r="780" spans="1:18" x14ac:dyDescent="0.45">
      <c r="A780">
        <v>779</v>
      </c>
      <c r="B780">
        <v>0</v>
      </c>
      <c r="C780" t="s">
        <v>1519</v>
      </c>
      <c r="D780" t="s">
        <v>1552</v>
      </c>
      <c r="E780" t="s">
        <v>1419</v>
      </c>
      <c r="F780" t="s">
        <v>722</v>
      </c>
      <c r="G780" t="s">
        <v>655</v>
      </c>
      <c r="H780" t="s">
        <v>9</v>
      </c>
      <c r="I780" t="s">
        <v>1520</v>
      </c>
      <c r="J780">
        <v>28</v>
      </c>
      <c r="K780" t="s">
        <v>1521</v>
      </c>
      <c r="L780" t="s">
        <v>1521</v>
      </c>
      <c r="M780">
        <v>0</v>
      </c>
      <c r="N780">
        <v>0</v>
      </c>
      <c r="O780">
        <v>1</v>
      </c>
      <c r="P780">
        <v>7.7374999999999998</v>
      </c>
      <c r="Q780" t="s">
        <v>1528</v>
      </c>
      <c r="R780" t="s">
        <v>1516</v>
      </c>
    </row>
    <row r="781" spans="1:18" x14ac:dyDescent="0.45">
      <c r="A781">
        <v>780</v>
      </c>
      <c r="B781">
        <v>1</v>
      </c>
      <c r="C781" t="s">
        <v>1</v>
      </c>
      <c r="D781" t="s">
        <v>1553</v>
      </c>
      <c r="E781" t="s">
        <v>1420</v>
      </c>
      <c r="F781" t="s">
        <v>723</v>
      </c>
      <c r="G781" t="s">
        <v>656</v>
      </c>
      <c r="H781" t="s">
        <v>10</v>
      </c>
      <c r="I781" t="s">
        <v>1523</v>
      </c>
      <c r="J781">
        <v>43</v>
      </c>
      <c r="K781" t="s">
        <v>1521</v>
      </c>
      <c r="L781" t="s">
        <v>1521</v>
      </c>
      <c r="M781">
        <v>0</v>
      </c>
      <c r="N781">
        <v>1</v>
      </c>
      <c r="O781">
        <v>2</v>
      </c>
      <c r="P781">
        <v>211.33750000000001</v>
      </c>
      <c r="Q781" t="s">
        <v>1528</v>
      </c>
      <c r="R781" t="s">
        <v>1514</v>
      </c>
    </row>
    <row r="782" spans="1:18" x14ac:dyDescent="0.45">
      <c r="A782">
        <v>781</v>
      </c>
      <c r="B782">
        <v>1</v>
      </c>
      <c r="C782" t="s">
        <v>1</v>
      </c>
      <c r="D782" t="s">
        <v>1552</v>
      </c>
      <c r="E782" t="s">
        <v>1421</v>
      </c>
      <c r="F782" t="s">
        <v>724</v>
      </c>
      <c r="G782" t="s">
        <v>657</v>
      </c>
      <c r="H782" t="s">
        <v>10</v>
      </c>
      <c r="I782" t="s">
        <v>1523</v>
      </c>
      <c r="J782">
        <v>13</v>
      </c>
      <c r="K782" t="s">
        <v>1525</v>
      </c>
      <c r="L782" t="s">
        <v>1525</v>
      </c>
      <c r="M782">
        <v>0</v>
      </c>
      <c r="N782">
        <v>0</v>
      </c>
      <c r="O782">
        <v>1</v>
      </c>
      <c r="P782">
        <v>7.2291999999999996</v>
      </c>
      <c r="Q782" t="s">
        <v>1528</v>
      </c>
      <c r="R782" t="s">
        <v>1515</v>
      </c>
    </row>
    <row r="783" spans="1:18" x14ac:dyDescent="0.45">
      <c r="A783">
        <v>782</v>
      </c>
      <c r="B783">
        <v>1</v>
      </c>
      <c r="C783" t="s">
        <v>1</v>
      </c>
      <c r="D783" t="s">
        <v>1553</v>
      </c>
      <c r="E783" t="s">
        <v>1422</v>
      </c>
      <c r="F783" t="s">
        <v>723</v>
      </c>
      <c r="G783" t="s">
        <v>595</v>
      </c>
      <c r="H783" t="s">
        <v>10</v>
      </c>
      <c r="I783" t="s">
        <v>1523</v>
      </c>
      <c r="J783">
        <v>17</v>
      </c>
      <c r="K783" t="s">
        <v>1525</v>
      </c>
      <c r="L783" t="s">
        <v>1525</v>
      </c>
      <c r="M783">
        <v>1</v>
      </c>
      <c r="N783">
        <v>0</v>
      </c>
      <c r="O783">
        <v>2</v>
      </c>
      <c r="P783">
        <v>57</v>
      </c>
      <c r="Q783" t="s">
        <v>1528</v>
      </c>
      <c r="R783" t="s">
        <v>1514</v>
      </c>
    </row>
    <row r="784" spans="1:18" x14ac:dyDescent="0.45">
      <c r="A784">
        <v>783</v>
      </c>
      <c r="B784">
        <v>0</v>
      </c>
      <c r="C784" t="s">
        <v>1519</v>
      </c>
      <c r="D784" t="s">
        <v>1553</v>
      </c>
      <c r="E784" t="s">
        <v>1423</v>
      </c>
      <c r="F784" t="s">
        <v>722</v>
      </c>
      <c r="G784" t="s">
        <v>658</v>
      </c>
      <c r="H784" t="s">
        <v>9</v>
      </c>
      <c r="I784" t="s">
        <v>1520</v>
      </c>
      <c r="J784">
        <v>29</v>
      </c>
      <c r="K784" t="s">
        <v>1521</v>
      </c>
      <c r="L784" t="s">
        <v>1521</v>
      </c>
      <c r="M784">
        <v>0</v>
      </c>
      <c r="N784">
        <v>0</v>
      </c>
      <c r="O784">
        <v>1</v>
      </c>
      <c r="P784">
        <v>314.45420000000001</v>
      </c>
      <c r="Q784" t="s">
        <v>1528</v>
      </c>
      <c r="R784" t="s">
        <v>1514</v>
      </c>
    </row>
    <row r="785" spans="1:18" x14ac:dyDescent="0.45">
      <c r="A785">
        <v>784</v>
      </c>
      <c r="B785">
        <v>0</v>
      </c>
      <c r="C785" t="s">
        <v>1519</v>
      </c>
      <c r="D785" t="s">
        <v>1552</v>
      </c>
      <c r="E785" t="s">
        <v>1424</v>
      </c>
      <c r="F785" t="s">
        <v>722</v>
      </c>
      <c r="G785" t="s">
        <v>659</v>
      </c>
      <c r="H785" t="s">
        <v>9</v>
      </c>
      <c r="I785" t="s">
        <v>1520</v>
      </c>
      <c r="J785">
        <v>28</v>
      </c>
      <c r="K785" t="s">
        <v>1521</v>
      </c>
      <c r="L785" t="s">
        <v>1521</v>
      </c>
      <c r="M785">
        <v>1</v>
      </c>
      <c r="N785">
        <v>2</v>
      </c>
      <c r="O785">
        <v>4</v>
      </c>
      <c r="P785">
        <v>23.45</v>
      </c>
      <c r="Q785" t="s">
        <v>1528</v>
      </c>
      <c r="R785" t="s">
        <v>1514</v>
      </c>
    </row>
    <row r="786" spans="1:18" x14ac:dyDescent="0.45">
      <c r="A786">
        <v>785</v>
      </c>
      <c r="B786">
        <v>0</v>
      </c>
      <c r="C786" t="s">
        <v>1519</v>
      </c>
      <c r="D786" t="s">
        <v>1552</v>
      </c>
      <c r="E786" t="s">
        <v>922</v>
      </c>
      <c r="F786" t="s">
        <v>722</v>
      </c>
      <c r="G786" t="s">
        <v>240</v>
      </c>
      <c r="H786" t="s">
        <v>9</v>
      </c>
      <c r="I786" t="s">
        <v>1520</v>
      </c>
      <c r="J786">
        <v>25</v>
      </c>
      <c r="K786" t="s">
        <v>1521</v>
      </c>
      <c r="L786" t="s">
        <v>1521</v>
      </c>
      <c r="M786">
        <v>0</v>
      </c>
      <c r="N786">
        <v>0</v>
      </c>
      <c r="O786">
        <v>1</v>
      </c>
      <c r="P786" t="s">
        <v>22</v>
      </c>
      <c r="Q786" t="s">
        <v>1528</v>
      </c>
      <c r="R786" t="s">
        <v>1514</v>
      </c>
    </row>
    <row r="787" spans="1:18" x14ac:dyDescent="0.45">
      <c r="A787">
        <v>786</v>
      </c>
      <c r="B787">
        <v>0</v>
      </c>
      <c r="C787" t="s">
        <v>1519</v>
      </c>
      <c r="D787" t="s">
        <v>1552</v>
      </c>
      <c r="E787" t="s">
        <v>1425</v>
      </c>
      <c r="F787" t="s">
        <v>722</v>
      </c>
      <c r="G787" t="s">
        <v>660</v>
      </c>
      <c r="H787" t="s">
        <v>9</v>
      </c>
      <c r="I787" t="s">
        <v>1520</v>
      </c>
      <c r="J787">
        <v>25</v>
      </c>
      <c r="K787" t="s">
        <v>1521</v>
      </c>
      <c r="L787" t="s">
        <v>1521</v>
      </c>
      <c r="M787">
        <v>0</v>
      </c>
      <c r="N787">
        <v>0</v>
      </c>
      <c r="O787">
        <v>1</v>
      </c>
      <c r="P787">
        <v>7.25</v>
      </c>
      <c r="Q787" t="s">
        <v>1528</v>
      </c>
      <c r="R787" t="s">
        <v>1514</v>
      </c>
    </row>
    <row r="788" spans="1:18" x14ac:dyDescent="0.45">
      <c r="A788">
        <v>787</v>
      </c>
      <c r="B788">
        <v>1</v>
      </c>
      <c r="C788" t="s">
        <v>1</v>
      </c>
      <c r="D788" t="s">
        <v>1552</v>
      </c>
      <c r="E788" t="s">
        <v>876</v>
      </c>
      <c r="F788" t="s">
        <v>724</v>
      </c>
      <c r="G788" t="s">
        <v>661</v>
      </c>
      <c r="H788" t="s">
        <v>10</v>
      </c>
      <c r="I788" t="s">
        <v>1523</v>
      </c>
      <c r="J788">
        <v>18</v>
      </c>
      <c r="K788" t="s">
        <v>1521</v>
      </c>
      <c r="L788" t="s">
        <v>1521</v>
      </c>
      <c r="M788">
        <v>0</v>
      </c>
      <c r="N788">
        <v>0</v>
      </c>
      <c r="O788">
        <v>1</v>
      </c>
      <c r="P788">
        <v>7.4958</v>
      </c>
      <c r="Q788" t="s">
        <v>1528</v>
      </c>
      <c r="R788" t="s">
        <v>1514</v>
      </c>
    </row>
    <row r="789" spans="1:18" x14ac:dyDescent="0.45">
      <c r="A789">
        <v>788</v>
      </c>
      <c r="B789">
        <v>0</v>
      </c>
      <c r="C789" t="s">
        <v>1519</v>
      </c>
      <c r="D789" t="s">
        <v>1552</v>
      </c>
      <c r="E789" t="s">
        <v>1426</v>
      </c>
      <c r="F789" t="s">
        <v>725</v>
      </c>
      <c r="G789" t="s">
        <v>71</v>
      </c>
      <c r="H789" t="s">
        <v>9</v>
      </c>
      <c r="I789" t="s">
        <v>1520</v>
      </c>
      <c r="J789">
        <v>8</v>
      </c>
      <c r="K789" t="s">
        <v>1524</v>
      </c>
      <c r="L789" t="s">
        <v>1524</v>
      </c>
      <c r="M789">
        <v>4</v>
      </c>
      <c r="N789">
        <v>1</v>
      </c>
      <c r="O789">
        <v>6</v>
      </c>
      <c r="P789">
        <v>29.125</v>
      </c>
      <c r="Q789" t="s">
        <v>1528</v>
      </c>
      <c r="R789" t="s">
        <v>1516</v>
      </c>
    </row>
    <row r="790" spans="1:18" x14ac:dyDescent="0.45">
      <c r="A790">
        <v>789</v>
      </c>
      <c r="B790">
        <v>1</v>
      </c>
      <c r="C790" t="s">
        <v>1</v>
      </c>
      <c r="D790" t="s">
        <v>1552</v>
      </c>
      <c r="E790" t="s">
        <v>1427</v>
      </c>
      <c r="F790" t="s">
        <v>725</v>
      </c>
      <c r="G790" t="s">
        <v>143</v>
      </c>
      <c r="H790" t="s">
        <v>9</v>
      </c>
      <c r="I790" t="s">
        <v>1520</v>
      </c>
      <c r="J790">
        <v>1</v>
      </c>
      <c r="K790" t="s">
        <v>1524</v>
      </c>
      <c r="L790" t="s">
        <v>1524</v>
      </c>
      <c r="M790">
        <v>1</v>
      </c>
      <c r="N790">
        <v>2</v>
      </c>
      <c r="O790">
        <v>4</v>
      </c>
      <c r="P790" t="s">
        <v>20</v>
      </c>
      <c r="Q790" t="s">
        <v>1528</v>
      </c>
      <c r="R790" t="s">
        <v>1514</v>
      </c>
    </row>
    <row r="791" spans="1:18" x14ac:dyDescent="0.45">
      <c r="A791">
        <v>790</v>
      </c>
      <c r="B791">
        <v>0</v>
      </c>
      <c r="C791" t="s">
        <v>1519</v>
      </c>
      <c r="D791" t="s">
        <v>1553</v>
      </c>
      <c r="E791" t="s">
        <v>1031</v>
      </c>
      <c r="F791" t="s">
        <v>722</v>
      </c>
      <c r="G791" t="s">
        <v>662</v>
      </c>
      <c r="H791" t="s">
        <v>9</v>
      </c>
      <c r="I791" t="s">
        <v>1520</v>
      </c>
      <c r="J791">
        <v>46</v>
      </c>
      <c r="K791" t="s">
        <v>1521</v>
      </c>
      <c r="L791" t="s">
        <v>1521</v>
      </c>
      <c r="M791">
        <v>0</v>
      </c>
      <c r="N791">
        <v>0</v>
      </c>
      <c r="O791">
        <v>1</v>
      </c>
      <c r="P791">
        <v>79.2</v>
      </c>
      <c r="Q791" t="s">
        <v>1528</v>
      </c>
      <c r="R791" t="s">
        <v>1515</v>
      </c>
    </row>
    <row r="792" spans="1:18" x14ac:dyDescent="0.45">
      <c r="A792">
        <v>791</v>
      </c>
      <c r="B792">
        <v>0</v>
      </c>
      <c r="C792" t="s">
        <v>1519</v>
      </c>
      <c r="D792" t="s">
        <v>1552</v>
      </c>
      <c r="E792" t="s">
        <v>1428</v>
      </c>
      <c r="F792" t="s">
        <v>722</v>
      </c>
      <c r="G792" t="s">
        <v>319</v>
      </c>
      <c r="H792" t="s">
        <v>9</v>
      </c>
      <c r="I792" t="s">
        <v>1520</v>
      </c>
      <c r="J792">
        <v>28</v>
      </c>
      <c r="K792" t="s">
        <v>1521</v>
      </c>
      <c r="L792" t="s">
        <v>1521</v>
      </c>
      <c r="M792">
        <v>0</v>
      </c>
      <c r="N792">
        <v>0</v>
      </c>
      <c r="O792">
        <v>1</v>
      </c>
      <c r="P792">
        <v>7.75</v>
      </c>
      <c r="Q792" t="s">
        <v>1528</v>
      </c>
      <c r="R792" t="s">
        <v>1516</v>
      </c>
    </row>
    <row r="793" spans="1:18" x14ac:dyDescent="0.45">
      <c r="A793">
        <v>792</v>
      </c>
      <c r="B793">
        <v>0</v>
      </c>
      <c r="C793" t="s">
        <v>1519</v>
      </c>
      <c r="D793" t="s">
        <v>1554</v>
      </c>
      <c r="E793" t="s">
        <v>1105</v>
      </c>
      <c r="F793" t="s">
        <v>722</v>
      </c>
      <c r="G793" t="s">
        <v>663</v>
      </c>
      <c r="H793" t="s">
        <v>9</v>
      </c>
      <c r="I793" t="s">
        <v>1520</v>
      </c>
      <c r="J793">
        <v>16</v>
      </c>
      <c r="K793" t="s">
        <v>1525</v>
      </c>
      <c r="L793" t="s">
        <v>1525</v>
      </c>
      <c r="M793">
        <v>0</v>
      </c>
      <c r="N793">
        <v>0</v>
      </c>
      <c r="O793">
        <v>1</v>
      </c>
      <c r="P793">
        <v>26</v>
      </c>
      <c r="Q793" t="s">
        <v>1528</v>
      </c>
      <c r="R793" t="s">
        <v>1514</v>
      </c>
    </row>
    <row r="794" spans="1:18" x14ac:dyDescent="0.45">
      <c r="A794">
        <v>793</v>
      </c>
      <c r="B794">
        <v>0</v>
      </c>
      <c r="C794" t="s">
        <v>1519</v>
      </c>
      <c r="D794" t="s">
        <v>1552</v>
      </c>
      <c r="E794" t="s">
        <v>1429</v>
      </c>
      <c r="F794" t="s">
        <v>724</v>
      </c>
      <c r="G794" t="s">
        <v>199</v>
      </c>
      <c r="H794" t="s">
        <v>10</v>
      </c>
      <c r="I794" t="s">
        <v>1523</v>
      </c>
      <c r="J794">
        <v>28</v>
      </c>
      <c r="K794" t="s">
        <v>1521</v>
      </c>
      <c r="L794" t="s">
        <v>1521</v>
      </c>
      <c r="M794">
        <v>8</v>
      </c>
      <c r="N794">
        <v>2</v>
      </c>
      <c r="O794">
        <v>11</v>
      </c>
      <c r="P794">
        <v>69.55</v>
      </c>
      <c r="Q794" t="s">
        <v>1528</v>
      </c>
      <c r="R794" t="s">
        <v>1514</v>
      </c>
    </row>
    <row r="795" spans="1:18" x14ac:dyDescent="0.45">
      <c r="A795">
        <v>794</v>
      </c>
      <c r="B795">
        <v>0</v>
      </c>
      <c r="C795" t="s">
        <v>1519</v>
      </c>
      <c r="D795" t="s">
        <v>1553</v>
      </c>
      <c r="E795" t="s">
        <v>1430</v>
      </c>
      <c r="F795" t="s">
        <v>722</v>
      </c>
      <c r="G795" t="s">
        <v>253</v>
      </c>
      <c r="H795" t="s">
        <v>9</v>
      </c>
      <c r="I795" t="s">
        <v>1520</v>
      </c>
      <c r="J795">
        <v>28</v>
      </c>
      <c r="K795" t="s">
        <v>1521</v>
      </c>
      <c r="L795" t="s">
        <v>1521</v>
      </c>
      <c r="M795">
        <v>0</v>
      </c>
      <c r="N795">
        <v>0</v>
      </c>
      <c r="O795">
        <v>1</v>
      </c>
      <c r="P795" t="s">
        <v>25</v>
      </c>
      <c r="Q795" t="s">
        <v>1528</v>
      </c>
      <c r="R795" t="s">
        <v>1515</v>
      </c>
    </row>
    <row r="796" spans="1:18" x14ac:dyDescent="0.45">
      <c r="A796">
        <v>795</v>
      </c>
      <c r="B796">
        <v>0</v>
      </c>
      <c r="C796" t="s">
        <v>1519</v>
      </c>
      <c r="D796" t="s">
        <v>1552</v>
      </c>
      <c r="E796" t="s">
        <v>1431</v>
      </c>
      <c r="F796" t="s">
        <v>722</v>
      </c>
      <c r="G796" t="s">
        <v>664</v>
      </c>
      <c r="H796" t="s">
        <v>9</v>
      </c>
      <c r="I796" t="s">
        <v>1520</v>
      </c>
      <c r="J796">
        <v>25</v>
      </c>
      <c r="K796" t="s">
        <v>1521</v>
      </c>
      <c r="L796" t="s">
        <v>1521</v>
      </c>
      <c r="M796">
        <v>0</v>
      </c>
      <c r="N796">
        <v>0</v>
      </c>
      <c r="O796">
        <v>1</v>
      </c>
      <c r="P796">
        <v>7.8958000000000004</v>
      </c>
      <c r="Q796" t="s">
        <v>1528</v>
      </c>
      <c r="R796" t="s">
        <v>1514</v>
      </c>
    </row>
    <row r="797" spans="1:18" x14ac:dyDescent="0.45">
      <c r="A797">
        <v>796</v>
      </c>
      <c r="B797">
        <v>0</v>
      </c>
      <c r="C797" t="s">
        <v>1519</v>
      </c>
      <c r="D797" t="s">
        <v>1554</v>
      </c>
      <c r="E797" t="s">
        <v>1432</v>
      </c>
      <c r="F797" t="s">
        <v>722</v>
      </c>
      <c r="G797" t="s">
        <v>665</v>
      </c>
      <c r="H797" t="s">
        <v>9</v>
      </c>
      <c r="I797" t="s">
        <v>1520</v>
      </c>
      <c r="J797">
        <v>39</v>
      </c>
      <c r="K797" t="s">
        <v>1521</v>
      </c>
      <c r="L797" t="s">
        <v>1521</v>
      </c>
      <c r="M797">
        <v>0</v>
      </c>
      <c r="N797">
        <v>0</v>
      </c>
      <c r="O797">
        <v>1</v>
      </c>
      <c r="P797">
        <v>13</v>
      </c>
      <c r="Q797" t="s">
        <v>1528</v>
      </c>
      <c r="R797" t="s">
        <v>1514</v>
      </c>
    </row>
    <row r="798" spans="1:18" x14ac:dyDescent="0.45">
      <c r="A798">
        <v>797</v>
      </c>
      <c r="B798">
        <v>1</v>
      </c>
      <c r="C798" t="s">
        <v>1</v>
      </c>
      <c r="D798" t="s">
        <v>1553</v>
      </c>
      <c r="E798" t="s">
        <v>1433</v>
      </c>
      <c r="F798" t="s">
        <v>728</v>
      </c>
      <c r="G798" t="s">
        <v>666</v>
      </c>
      <c r="H798" t="s">
        <v>10</v>
      </c>
      <c r="I798" t="s">
        <v>1523</v>
      </c>
      <c r="J798">
        <v>49</v>
      </c>
      <c r="K798" t="s">
        <v>1521</v>
      </c>
      <c r="L798" t="s">
        <v>1521</v>
      </c>
      <c r="M798">
        <v>0</v>
      </c>
      <c r="N798">
        <v>0</v>
      </c>
      <c r="O798">
        <v>1</v>
      </c>
      <c r="P798">
        <v>25.929200000000002</v>
      </c>
      <c r="Q798" t="s">
        <v>1528</v>
      </c>
      <c r="R798" t="s">
        <v>1514</v>
      </c>
    </row>
    <row r="799" spans="1:18" x14ac:dyDescent="0.45">
      <c r="A799">
        <v>798</v>
      </c>
      <c r="B799">
        <v>1</v>
      </c>
      <c r="C799" t="s">
        <v>1</v>
      </c>
      <c r="D799" t="s">
        <v>1552</v>
      </c>
      <c r="E799" t="s">
        <v>1434</v>
      </c>
      <c r="F799" t="s">
        <v>723</v>
      </c>
      <c r="G799" t="s">
        <v>667</v>
      </c>
      <c r="H799" t="s">
        <v>10</v>
      </c>
      <c r="I799" t="s">
        <v>1523</v>
      </c>
      <c r="J799">
        <v>31</v>
      </c>
      <c r="K799" t="s">
        <v>1521</v>
      </c>
      <c r="L799" t="s">
        <v>1521</v>
      </c>
      <c r="M799">
        <v>0</v>
      </c>
      <c r="N799">
        <v>0</v>
      </c>
      <c r="O799">
        <v>1</v>
      </c>
      <c r="P799">
        <v>8.6832999999999991</v>
      </c>
      <c r="Q799" t="s">
        <v>1528</v>
      </c>
      <c r="R799" t="s">
        <v>1514</v>
      </c>
    </row>
    <row r="800" spans="1:18" x14ac:dyDescent="0.45">
      <c r="A800">
        <v>799</v>
      </c>
      <c r="B800">
        <v>0</v>
      </c>
      <c r="C800" t="s">
        <v>1519</v>
      </c>
      <c r="D800" t="s">
        <v>1552</v>
      </c>
      <c r="E800" t="s">
        <v>1435</v>
      </c>
      <c r="F800" t="s">
        <v>722</v>
      </c>
      <c r="G800" t="s">
        <v>668</v>
      </c>
      <c r="H800" t="s">
        <v>9</v>
      </c>
      <c r="I800" t="s">
        <v>1520</v>
      </c>
      <c r="J800">
        <v>30</v>
      </c>
      <c r="K800" t="s">
        <v>1521</v>
      </c>
      <c r="L800" t="s">
        <v>1521</v>
      </c>
      <c r="M800">
        <v>0</v>
      </c>
      <c r="N800">
        <v>0</v>
      </c>
      <c r="O800">
        <v>1</v>
      </c>
      <c r="P800">
        <v>7.2291999999999996</v>
      </c>
      <c r="Q800" t="s">
        <v>1528</v>
      </c>
      <c r="R800" t="s">
        <v>1515</v>
      </c>
    </row>
    <row r="801" spans="1:18" x14ac:dyDescent="0.45">
      <c r="A801">
        <v>800</v>
      </c>
      <c r="B801">
        <v>0</v>
      </c>
      <c r="C801" t="s">
        <v>1519</v>
      </c>
      <c r="D801" t="s">
        <v>1552</v>
      </c>
      <c r="E801" t="s">
        <v>1436</v>
      </c>
      <c r="F801" t="s">
        <v>723</v>
      </c>
      <c r="G801" t="s">
        <v>402</v>
      </c>
      <c r="H801" t="s">
        <v>10</v>
      </c>
      <c r="I801" t="s">
        <v>1523</v>
      </c>
      <c r="J801">
        <v>30</v>
      </c>
      <c r="K801" t="s">
        <v>1521</v>
      </c>
      <c r="L801" t="s">
        <v>1521</v>
      </c>
      <c r="M801">
        <v>1</v>
      </c>
      <c r="N801">
        <v>1</v>
      </c>
      <c r="O801">
        <v>3</v>
      </c>
      <c r="P801">
        <v>24.15</v>
      </c>
      <c r="Q801" t="s">
        <v>1528</v>
      </c>
      <c r="R801" t="s">
        <v>1514</v>
      </c>
    </row>
    <row r="802" spans="1:18" x14ac:dyDescent="0.45">
      <c r="A802">
        <v>801</v>
      </c>
      <c r="B802">
        <v>0</v>
      </c>
      <c r="C802" t="s">
        <v>1519</v>
      </c>
      <c r="D802" t="s">
        <v>1554</v>
      </c>
      <c r="E802" t="s">
        <v>861</v>
      </c>
      <c r="F802" t="s">
        <v>722</v>
      </c>
      <c r="G802" t="s">
        <v>669</v>
      </c>
      <c r="H802" t="s">
        <v>9</v>
      </c>
      <c r="I802" t="s">
        <v>1520</v>
      </c>
      <c r="J802">
        <v>34</v>
      </c>
      <c r="K802" t="s">
        <v>1521</v>
      </c>
      <c r="L802" t="s">
        <v>1521</v>
      </c>
      <c r="M802">
        <v>0</v>
      </c>
      <c r="N802">
        <v>0</v>
      </c>
      <c r="O802">
        <v>1</v>
      </c>
      <c r="P802">
        <v>13</v>
      </c>
      <c r="Q802" t="s">
        <v>1528</v>
      </c>
      <c r="R802" t="s">
        <v>1514</v>
      </c>
    </row>
    <row r="803" spans="1:18" x14ac:dyDescent="0.45">
      <c r="A803">
        <v>802</v>
      </c>
      <c r="B803">
        <v>1</v>
      </c>
      <c r="C803" t="s">
        <v>1</v>
      </c>
      <c r="D803" t="s">
        <v>1554</v>
      </c>
      <c r="E803" t="s">
        <v>1437</v>
      </c>
      <c r="F803" t="s">
        <v>723</v>
      </c>
      <c r="G803" t="s">
        <v>263</v>
      </c>
      <c r="H803" t="s">
        <v>10</v>
      </c>
      <c r="I803" t="s">
        <v>1523</v>
      </c>
      <c r="J803">
        <v>31</v>
      </c>
      <c r="K803" t="s">
        <v>1521</v>
      </c>
      <c r="L803" t="s">
        <v>1521</v>
      </c>
      <c r="M803">
        <v>1</v>
      </c>
      <c r="N803">
        <v>1</v>
      </c>
      <c r="O803">
        <v>3</v>
      </c>
      <c r="P803">
        <v>26.25</v>
      </c>
      <c r="Q803" t="s">
        <v>1528</v>
      </c>
      <c r="R803" t="s">
        <v>1514</v>
      </c>
    </row>
    <row r="804" spans="1:18" x14ac:dyDescent="0.45">
      <c r="A804">
        <v>803</v>
      </c>
      <c r="B804">
        <v>1</v>
      </c>
      <c r="C804" t="s">
        <v>1</v>
      </c>
      <c r="D804" t="s">
        <v>1553</v>
      </c>
      <c r="E804" t="s">
        <v>1438</v>
      </c>
      <c r="F804" t="s">
        <v>725</v>
      </c>
      <c r="G804" t="s">
        <v>273</v>
      </c>
      <c r="H804" t="s">
        <v>9</v>
      </c>
      <c r="I804" t="s">
        <v>1520</v>
      </c>
      <c r="J804">
        <v>11</v>
      </c>
      <c r="K804" t="s">
        <v>1524</v>
      </c>
      <c r="L804" t="s">
        <v>1524</v>
      </c>
      <c r="M804">
        <v>1</v>
      </c>
      <c r="N804">
        <v>2</v>
      </c>
      <c r="O804">
        <v>4</v>
      </c>
      <c r="P804">
        <v>1214.4541999999999</v>
      </c>
      <c r="Q804" t="s">
        <v>1528</v>
      </c>
      <c r="R804" t="s">
        <v>1514</v>
      </c>
    </row>
    <row r="805" spans="1:18" x14ac:dyDescent="0.45">
      <c r="A805">
        <v>804</v>
      </c>
      <c r="B805">
        <v>1</v>
      </c>
      <c r="C805" t="s">
        <v>1</v>
      </c>
      <c r="D805" t="s">
        <v>1552</v>
      </c>
      <c r="E805" t="s">
        <v>1439</v>
      </c>
      <c r="F805" t="s">
        <v>725</v>
      </c>
      <c r="G805" t="s">
        <v>670</v>
      </c>
      <c r="H805" t="s">
        <v>9</v>
      </c>
      <c r="I805" t="s">
        <v>1520</v>
      </c>
      <c r="J805">
        <v>0.42</v>
      </c>
      <c r="K805" t="s">
        <v>1524</v>
      </c>
      <c r="L805" t="s">
        <v>1524</v>
      </c>
      <c r="M805">
        <v>0</v>
      </c>
      <c r="N805">
        <v>1</v>
      </c>
      <c r="O805">
        <v>2</v>
      </c>
      <c r="P805">
        <v>8.5167000000000002</v>
      </c>
      <c r="Q805" t="s">
        <v>1528</v>
      </c>
      <c r="R805" t="s">
        <v>1515</v>
      </c>
    </row>
    <row r="806" spans="1:18" x14ac:dyDescent="0.45">
      <c r="A806">
        <v>805</v>
      </c>
      <c r="B806">
        <v>1</v>
      </c>
      <c r="C806" t="s">
        <v>1</v>
      </c>
      <c r="D806" t="s">
        <v>1552</v>
      </c>
      <c r="E806" t="s">
        <v>1440</v>
      </c>
      <c r="F806" t="s">
        <v>722</v>
      </c>
      <c r="G806" t="s">
        <v>671</v>
      </c>
      <c r="H806" t="s">
        <v>9</v>
      </c>
      <c r="I806" t="s">
        <v>1520</v>
      </c>
      <c r="J806">
        <v>27</v>
      </c>
      <c r="K806" t="s">
        <v>1521</v>
      </c>
      <c r="L806" t="s">
        <v>1521</v>
      </c>
      <c r="M806">
        <v>0</v>
      </c>
      <c r="N806">
        <v>0</v>
      </c>
      <c r="O806">
        <v>1</v>
      </c>
      <c r="P806">
        <v>6.9749999999999996</v>
      </c>
      <c r="Q806" t="s">
        <v>1528</v>
      </c>
      <c r="R806" t="s">
        <v>1514</v>
      </c>
    </row>
    <row r="807" spans="1:18" x14ac:dyDescent="0.45">
      <c r="A807">
        <v>806</v>
      </c>
      <c r="B807">
        <v>0</v>
      </c>
      <c r="C807" t="s">
        <v>1519</v>
      </c>
      <c r="D807" t="s">
        <v>1552</v>
      </c>
      <c r="E807" t="s">
        <v>1441</v>
      </c>
      <c r="F807" t="s">
        <v>722</v>
      </c>
      <c r="G807" t="s">
        <v>153</v>
      </c>
      <c r="H807" t="s">
        <v>9</v>
      </c>
      <c r="I807" t="s">
        <v>1520</v>
      </c>
      <c r="J807">
        <v>31</v>
      </c>
      <c r="K807" t="s">
        <v>1521</v>
      </c>
      <c r="L807" t="s">
        <v>1521</v>
      </c>
      <c r="M807">
        <v>0</v>
      </c>
      <c r="N807">
        <v>0</v>
      </c>
      <c r="O807">
        <v>1</v>
      </c>
      <c r="P807">
        <v>7.7750000000000004</v>
      </c>
      <c r="Q807" t="s">
        <v>1528</v>
      </c>
      <c r="R807" t="s">
        <v>1514</v>
      </c>
    </row>
    <row r="808" spans="1:18" x14ac:dyDescent="0.45">
      <c r="A808">
        <v>807</v>
      </c>
      <c r="B808">
        <v>0</v>
      </c>
      <c r="C808" t="s">
        <v>1519</v>
      </c>
      <c r="D808" t="s">
        <v>1553</v>
      </c>
      <c r="E808" t="s">
        <v>1442</v>
      </c>
      <c r="F808" t="s">
        <v>722</v>
      </c>
      <c r="G808" t="s">
        <v>295</v>
      </c>
      <c r="H808" t="s">
        <v>9</v>
      </c>
      <c r="I808" t="s">
        <v>1520</v>
      </c>
      <c r="J808">
        <v>39</v>
      </c>
      <c r="K808" t="s">
        <v>1521</v>
      </c>
      <c r="L808" t="s">
        <v>1521</v>
      </c>
      <c r="M808">
        <v>0</v>
      </c>
      <c r="N808">
        <v>0</v>
      </c>
      <c r="O808">
        <v>1</v>
      </c>
      <c r="P808">
        <v>14.4542</v>
      </c>
      <c r="Q808" t="s">
        <v>1528</v>
      </c>
      <c r="R808" t="s">
        <v>1514</v>
      </c>
    </row>
    <row r="809" spans="1:18" x14ac:dyDescent="0.45">
      <c r="A809">
        <v>808</v>
      </c>
      <c r="B809">
        <v>0</v>
      </c>
      <c r="C809" t="s">
        <v>1519</v>
      </c>
      <c r="D809" t="s">
        <v>1552</v>
      </c>
      <c r="E809" t="s">
        <v>1443</v>
      </c>
      <c r="F809" t="s">
        <v>724</v>
      </c>
      <c r="G809" t="s">
        <v>672</v>
      </c>
      <c r="H809" t="s">
        <v>10</v>
      </c>
      <c r="I809" t="s">
        <v>1523</v>
      </c>
      <c r="J809">
        <v>18</v>
      </c>
      <c r="K809" t="s">
        <v>1521</v>
      </c>
      <c r="L809" t="s">
        <v>1521</v>
      </c>
      <c r="M809">
        <v>0</v>
      </c>
      <c r="N809">
        <v>0</v>
      </c>
      <c r="O809">
        <v>1</v>
      </c>
      <c r="P809">
        <v>7.7750000000000004</v>
      </c>
      <c r="Q809" t="s">
        <v>1528</v>
      </c>
      <c r="R809" t="s">
        <v>1514</v>
      </c>
    </row>
    <row r="810" spans="1:18" x14ac:dyDescent="0.45">
      <c r="A810">
        <v>809</v>
      </c>
      <c r="B810">
        <v>0</v>
      </c>
      <c r="C810" t="s">
        <v>1519</v>
      </c>
      <c r="D810" t="s">
        <v>1554</v>
      </c>
      <c r="E810" t="s">
        <v>1444</v>
      </c>
      <c r="F810" t="s">
        <v>722</v>
      </c>
      <c r="G810" t="s">
        <v>88</v>
      </c>
      <c r="H810" t="s">
        <v>9</v>
      </c>
      <c r="I810" t="s">
        <v>1520</v>
      </c>
      <c r="J810">
        <v>39</v>
      </c>
      <c r="K810" t="s">
        <v>1521</v>
      </c>
      <c r="L810" t="s">
        <v>1521</v>
      </c>
      <c r="M810">
        <v>0</v>
      </c>
      <c r="N810">
        <v>0</v>
      </c>
      <c r="O810">
        <v>1</v>
      </c>
      <c r="P810">
        <v>13</v>
      </c>
      <c r="Q810" t="s">
        <v>1528</v>
      </c>
      <c r="R810" t="s">
        <v>1514</v>
      </c>
    </row>
    <row r="811" spans="1:18" x14ac:dyDescent="0.45">
      <c r="A811">
        <v>810</v>
      </c>
      <c r="B811">
        <v>1</v>
      </c>
      <c r="C811" t="s">
        <v>1</v>
      </c>
      <c r="D811" t="s">
        <v>1553</v>
      </c>
      <c r="E811" t="s">
        <v>1445</v>
      </c>
      <c r="F811" t="s">
        <v>723</v>
      </c>
      <c r="G811" t="s">
        <v>616</v>
      </c>
      <c r="H811" t="s">
        <v>10</v>
      </c>
      <c r="I811" t="s">
        <v>1523</v>
      </c>
      <c r="J811">
        <v>33</v>
      </c>
      <c r="K811" t="s">
        <v>1521</v>
      </c>
      <c r="L811" t="s">
        <v>1521</v>
      </c>
      <c r="M811">
        <v>1</v>
      </c>
      <c r="N811">
        <v>0</v>
      </c>
      <c r="O811">
        <v>2</v>
      </c>
      <c r="P811">
        <v>53.1</v>
      </c>
      <c r="Q811" t="s">
        <v>1528</v>
      </c>
      <c r="R811" t="s">
        <v>1514</v>
      </c>
    </row>
    <row r="812" spans="1:18" x14ac:dyDescent="0.45">
      <c r="A812">
        <v>811</v>
      </c>
      <c r="B812">
        <v>0</v>
      </c>
      <c r="C812" t="s">
        <v>1519</v>
      </c>
      <c r="D812" t="s">
        <v>1552</v>
      </c>
      <c r="E812" t="s">
        <v>922</v>
      </c>
      <c r="F812" t="s">
        <v>722</v>
      </c>
      <c r="G812" t="s">
        <v>673</v>
      </c>
      <c r="H812" t="s">
        <v>9</v>
      </c>
      <c r="I812" t="s">
        <v>1520</v>
      </c>
      <c r="J812">
        <v>26</v>
      </c>
      <c r="K812" t="s">
        <v>1521</v>
      </c>
      <c r="L812" t="s">
        <v>1521</v>
      </c>
      <c r="M812">
        <v>0</v>
      </c>
      <c r="N812">
        <v>0</v>
      </c>
      <c r="O812">
        <v>1</v>
      </c>
      <c r="P812">
        <v>7.8875000000000002</v>
      </c>
      <c r="Q812" t="s">
        <v>1528</v>
      </c>
      <c r="R812" t="s">
        <v>1514</v>
      </c>
    </row>
    <row r="813" spans="1:18" x14ac:dyDescent="0.45">
      <c r="A813">
        <v>812</v>
      </c>
      <c r="B813">
        <v>0</v>
      </c>
      <c r="C813" t="s">
        <v>1519</v>
      </c>
      <c r="D813" t="s">
        <v>1552</v>
      </c>
      <c r="E813" t="s">
        <v>744</v>
      </c>
      <c r="F813" t="s">
        <v>722</v>
      </c>
      <c r="G813" t="s">
        <v>674</v>
      </c>
      <c r="H813" t="s">
        <v>9</v>
      </c>
      <c r="I813" t="s">
        <v>1520</v>
      </c>
      <c r="J813">
        <v>39</v>
      </c>
      <c r="K813" t="s">
        <v>1521</v>
      </c>
      <c r="L813" t="s">
        <v>1521</v>
      </c>
      <c r="M813">
        <v>0</v>
      </c>
      <c r="N813">
        <v>0</v>
      </c>
      <c r="O813">
        <v>1</v>
      </c>
      <c r="P813">
        <v>24.15</v>
      </c>
      <c r="Q813" t="s">
        <v>1528</v>
      </c>
      <c r="R813" t="s">
        <v>1514</v>
      </c>
    </row>
    <row r="814" spans="1:18" x14ac:dyDescent="0.45">
      <c r="A814">
        <v>813</v>
      </c>
      <c r="B814">
        <v>0</v>
      </c>
      <c r="C814" t="s">
        <v>1519</v>
      </c>
      <c r="D814" t="s">
        <v>1554</v>
      </c>
      <c r="E814" t="s">
        <v>1446</v>
      </c>
      <c r="F814" t="s">
        <v>722</v>
      </c>
      <c r="G814" t="s">
        <v>675</v>
      </c>
      <c r="H814" t="s">
        <v>9</v>
      </c>
      <c r="I814" t="s">
        <v>1520</v>
      </c>
      <c r="J814">
        <v>35</v>
      </c>
      <c r="K814" t="s">
        <v>1521</v>
      </c>
      <c r="L814" t="s">
        <v>1521</v>
      </c>
      <c r="M814">
        <v>0</v>
      </c>
      <c r="N814">
        <v>0</v>
      </c>
      <c r="O814">
        <v>1</v>
      </c>
      <c r="P814" t="s">
        <v>18</v>
      </c>
      <c r="Q814" t="s">
        <v>1528</v>
      </c>
      <c r="R814" t="s">
        <v>1514</v>
      </c>
    </row>
    <row r="815" spans="1:18" x14ac:dyDescent="0.45">
      <c r="A815">
        <v>814</v>
      </c>
      <c r="B815">
        <v>0</v>
      </c>
      <c r="C815" t="s">
        <v>1519</v>
      </c>
      <c r="D815" t="s">
        <v>1552</v>
      </c>
      <c r="E815" t="s">
        <v>1447</v>
      </c>
      <c r="F815" t="s">
        <v>724</v>
      </c>
      <c r="G815" t="s">
        <v>68</v>
      </c>
      <c r="H815" t="s">
        <v>10</v>
      </c>
      <c r="I815" t="s">
        <v>1523</v>
      </c>
      <c r="J815">
        <v>6</v>
      </c>
      <c r="K815" t="s">
        <v>1524</v>
      </c>
      <c r="L815" t="s">
        <v>1524</v>
      </c>
      <c r="M815">
        <v>4</v>
      </c>
      <c r="N815">
        <v>2</v>
      </c>
      <c r="O815">
        <v>7</v>
      </c>
      <c r="P815">
        <v>31.274999999999999</v>
      </c>
      <c r="Q815" t="s">
        <v>1528</v>
      </c>
      <c r="R815" t="s">
        <v>1514</v>
      </c>
    </row>
    <row r="816" spans="1:18" x14ac:dyDescent="0.45">
      <c r="A816">
        <v>815</v>
      </c>
      <c r="B816">
        <v>0</v>
      </c>
      <c r="C816" t="s">
        <v>1519</v>
      </c>
      <c r="D816" t="s">
        <v>1552</v>
      </c>
      <c r="E816" t="s">
        <v>1448</v>
      </c>
      <c r="F816" t="s">
        <v>722</v>
      </c>
      <c r="G816" t="s">
        <v>676</v>
      </c>
      <c r="H816" t="s">
        <v>9</v>
      </c>
      <c r="I816" t="s">
        <v>1520</v>
      </c>
      <c r="J816">
        <v>30.5</v>
      </c>
      <c r="K816" t="s">
        <v>1521</v>
      </c>
      <c r="L816" t="s">
        <v>1521</v>
      </c>
      <c r="M816">
        <v>0</v>
      </c>
      <c r="N816">
        <v>0</v>
      </c>
      <c r="O816">
        <v>1</v>
      </c>
      <c r="P816" t="s">
        <v>12</v>
      </c>
      <c r="Q816" t="s">
        <v>1528</v>
      </c>
      <c r="R816" t="s">
        <v>1514</v>
      </c>
    </row>
    <row r="817" spans="1:18" x14ac:dyDescent="0.45">
      <c r="A817">
        <v>816</v>
      </c>
      <c r="B817">
        <v>0</v>
      </c>
      <c r="C817" t="s">
        <v>1519</v>
      </c>
      <c r="D817" t="s">
        <v>1553</v>
      </c>
      <c r="E817" t="s">
        <v>1432</v>
      </c>
      <c r="F817" t="s">
        <v>722</v>
      </c>
      <c r="G817" t="s">
        <v>677</v>
      </c>
      <c r="H817" t="s">
        <v>9</v>
      </c>
      <c r="I817" t="s">
        <v>1520</v>
      </c>
      <c r="J817">
        <v>28</v>
      </c>
      <c r="K817" t="s">
        <v>1521</v>
      </c>
      <c r="L817" t="s">
        <v>1521</v>
      </c>
      <c r="M817">
        <v>0</v>
      </c>
      <c r="N817">
        <v>0</v>
      </c>
      <c r="O817">
        <v>1</v>
      </c>
      <c r="P817">
        <v>14.4542</v>
      </c>
      <c r="Q817" t="s">
        <v>1528</v>
      </c>
      <c r="R817" t="s">
        <v>1514</v>
      </c>
    </row>
    <row r="818" spans="1:18" x14ac:dyDescent="0.45">
      <c r="A818">
        <v>817</v>
      </c>
      <c r="B818">
        <v>0</v>
      </c>
      <c r="C818" t="s">
        <v>1519</v>
      </c>
      <c r="D818" t="s">
        <v>1552</v>
      </c>
      <c r="E818" t="s">
        <v>1449</v>
      </c>
      <c r="F818" t="s">
        <v>724</v>
      </c>
      <c r="G818" t="s">
        <v>678</v>
      </c>
      <c r="H818" t="s">
        <v>10</v>
      </c>
      <c r="I818" t="s">
        <v>1523</v>
      </c>
      <c r="J818">
        <v>23</v>
      </c>
      <c r="K818" t="s">
        <v>1521</v>
      </c>
      <c r="L818" t="s">
        <v>1521</v>
      </c>
      <c r="M818">
        <v>0</v>
      </c>
      <c r="N818">
        <v>0</v>
      </c>
      <c r="O818">
        <v>1</v>
      </c>
      <c r="P818">
        <v>7.9249999999999998</v>
      </c>
      <c r="Q818" t="s">
        <v>1528</v>
      </c>
      <c r="R818" t="s">
        <v>1514</v>
      </c>
    </row>
    <row r="819" spans="1:18" x14ac:dyDescent="0.45">
      <c r="A819">
        <v>818</v>
      </c>
      <c r="B819">
        <v>0</v>
      </c>
      <c r="C819" t="s">
        <v>1519</v>
      </c>
      <c r="D819" t="s">
        <v>1554</v>
      </c>
      <c r="E819" t="s">
        <v>1450</v>
      </c>
      <c r="F819" t="s">
        <v>722</v>
      </c>
      <c r="G819" t="s">
        <v>679</v>
      </c>
      <c r="H819" t="s">
        <v>9</v>
      </c>
      <c r="I819" t="s">
        <v>1520</v>
      </c>
      <c r="J819">
        <v>31</v>
      </c>
      <c r="K819" t="s">
        <v>1521</v>
      </c>
      <c r="L819" t="s">
        <v>1521</v>
      </c>
      <c r="M819">
        <v>1</v>
      </c>
      <c r="N819">
        <v>1</v>
      </c>
      <c r="O819">
        <v>3</v>
      </c>
      <c r="P819" t="s">
        <v>47</v>
      </c>
      <c r="Q819" t="s">
        <v>1528</v>
      </c>
      <c r="R819" t="s">
        <v>1515</v>
      </c>
    </row>
    <row r="820" spans="1:18" x14ac:dyDescent="0.45">
      <c r="A820">
        <v>819</v>
      </c>
      <c r="B820">
        <v>0</v>
      </c>
      <c r="C820" t="s">
        <v>1519</v>
      </c>
      <c r="D820" t="s">
        <v>1552</v>
      </c>
      <c r="E820" t="s">
        <v>1451</v>
      </c>
      <c r="F820" t="s">
        <v>722</v>
      </c>
      <c r="G820" t="s">
        <v>680</v>
      </c>
      <c r="H820" t="s">
        <v>9</v>
      </c>
      <c r="I820" t="s">
        <v>1520</v>
      </c>
      <c r="J820">
        <v>43</v>
      </c>
      <c r="K820" t="s">
        <v>1521</v>
      </c>
      <c r="L820" t="s">
        <v>1521</v>
      </c>
      <c r="M820">
        <v>0</v>
      </c>
      <c r="N820">
        <v>0</v>
      </c>
      <c r="O820">
        <v>1</v>
      </c>
      <c r="P820">
        <v>6.45</v>
      </c>
      <c r="Q820" t="s">
        <v>1528</v>
      </c>
      <c r="R820" t="s">
        <v>1514</v>
      </c>
    </row>
    <row r="821" spans="1:18" x14ac:dyDescent="0.45">
      <c r="A821">
        <v>820</v>
      </c>
      <c r="B821">
        <v>0</v>
      </c>
      <c r="C821" t="s">
        <v>1519</v>
      </c>
      <c r="D821" t="s">
        <v>1552</v>
      </c>
      <c r="E821" t="s">
        <v>1452</v>
      </c>
      <c r="F821" t="s">
        <v>725</v>
      </c>
      <c r="G821" t="s">
        <v>116</v>
      </c>
      <c r="H821" t="s">
        <v>9</v>
      </c>
      <c r="I821" t="s">
        <v>1520</v>
      </c>
      <c r="J821">
        <v>10</v>
      </c>
      <c r="K821" t="s">
        <v>1524</v>
      </c>
      <c r="L821" t="s">
        <v>1524</v>
      </c>
      <c r="M821">
        <v>3</v>
      </c>
      <c r="N821">
        <v>2</v>
      </c>
      <c r="O821">
        <v>6</v>
      </c>
      <c r="P821">
        <v>27.9</v>
      </c>
      <c r="Q821" t="s">
        <v>1528</v>
      </c>
      <c r="R821" t="s">
        <v>1514</v>
      </c>
    </row>
    <row r="822" spans="1:18" x14ac:dyDescent="0.45">
      <c r="A822">
        <v>821</v>
      </c>
      <c r="B822">
        <v>1</v>
      </c>
      <c r="C822" t="s">
        <v>1</v>
      </c>
      <c r="D822" t="s">
        <v>1553</v>
      </c>
      <c r="E822" t="s">
        <v>1453</v>
      </c>
      <c r="F822" t="s">
        <v>723</v>
      </c>
      <c r="G822" t="s">
        <v>324</v>
      </c>
      <c r="H822" t="s">
        <v>10</v>
      </c>
      <c r="I822" t="s">
        <v>1523</v>
      </c>
      <c r="J822">
        <v>52</v>
      </c>
      <c r="K822" t="s">
        <v>1521</v>
      </c>
      <c r="L822" t="s">
        <v>1521</v>
      </c>
      <c r="M822">
        <v>1</v>
      </c>
      <c r="N822">
        <v>1</v>
      </c>
      <c r="O822">
        <v>3</v>
      </c>
      <c r="P822">
        <v>93.5</v>
      </c>
      <c r="Q822" t="s">
        <v>1528</v>
      </c>
      <c r="R822" t="s">
        <v>1514</v>
      </c>
    </row>
    <row r="823" spans="1:18" x14ac:dyDescent="0.45">
      <c r="A823">
        <v>822</v>
      </c>
      <c r="B823">
        <v>1</v>
      </c>
      <c r="C823" t="s">
        <v>1</v>
      </c>
      <c r="D823" t="s">
        <v>1552</v>
      </c>
      <c r="E823" t="s">
        <v>1454</v>
      </c>
      <c r="F823" t="s">
        <v>722</v>
      </c>
      <c r="G823" t="s">
        <v>681</v>
      </c>
      <c r="H823" t="s">
        <v>9</v>
      </c>
      <c r="I823" t="s">
        <v>1520</v>
      </c>
      <c r="J823">
        <v>27</v>
      </c>
      <c r="K823" t="s">
        <v>1521</v>
      </c>
      <c r="L823" t="s">
        <v>1521</v>
      </c>
      <c r="M823">
        <v>0</v>
      </c>
      <c r="N823">
        <v>0</v>
      </c>
      <c r="O823">
        <v>1</v>
      </c>
      <c r="P823">
        <v>8.6624999999999996</v>
      </c>
      <c r="Q823" t="s">
        <v>1528</v>
      </c>
      <c r="R823" t="s">
        <v>1514</v>
      </c>
    </row>
    <row r="824" spans="1:18" x14ac:dyDescent="0.45">
      <c r="A824">
        <v>823</v>
      </c>
      <c r="B824">
        <v>0</v>
      </c>
      <c r="C824" t="s">
        <v>1519</v>
      </c>
      <c r="D824" t="s">
        <v>1553</v>
      </c>
      <c r="E824" t="s">
        <v>1455</v>
      </c>
      <c r="F824" t="s">
        <v>738</v>
      </c>
      <c r="G824" t="s">
        <v>682</v>
      </c>
      <c r="H824" t="s">
        <v>9</v>
      </c>
      <c r="I824" t="s">
        <v>1520</v>
      </c>
      <c r="J824">
        <v>38</v>
      </c>
      <c r="K824" t="s">
        <v>1521</v>
      </c>
      <c r="L824" t="s">
        <v>1521</v>
      </c>
      <c r="M824">
        <v>0</v>
      </c>
      <c r="N824">
        <v>0</v>
      </c>
      <c r="O824">
        <v>1</v>
      </c>
      <c r="P824">
        <v>14.4542</v>
      </c>
      <c r="Q824" t="s">
        <v>1528</v>
      </c>
      <c r="R824" t="s">
        <v>1514</v>
      </c>
    </row>
    <row r="825" spans="1:18" x14ac:dyDescent="0.45">
      <c r="A825">
        <v>824</v>
      </c>
      <c r="B825">
        <v>1</v>
      </c>
      <c r="C825" t="s">
        <v>1</v>
      </c>
      <c r="D825" t="s">
        <v>1552</v>
      </c>
      <c r="E825" t="s">
        <v>753</v>
      </c>
      <c r="F825" t="s">
        <v>723</v>
      </c>
      <c r="G825" t="s">
        <v>635</v>
      </c>
      <c r="H825" t="s">
        <v>10</v>
      </c>
      <c r="I825" t="s">
        <v>1523</v>
      </c>
      <c r="J825">
        <v>27</v>
      </c>
      <c r="K825" t="s">
        <v>1521</v>
      </c>
      <c r="L825" t="s">
        <v>1521</v>
      </c>
      <c r="M825">
        <v>0</v>
      </c>
      <c r="N825">
        <v>1</v>
      </c>
      <c r="O825">
        <v>2</v>
      </c>
      <c r="P825">
        <v>12.475</v>
      </c>
      <c r="Q825" t="s">
        <v>1528</v>
      </c>
      <c r="R825" t="s">
        <v>1514</v>
      </c>
    </row>
    <row r="826" spans="1:18" x14ac:dyDescent="0.45">
      <c r="A826">
        <v>825</v>
      </c>
      <c r="B826">
        <v>0</v>
      </c>
      <c r="C826" t="s">
        <v>1519</v>
      </c>
      <c r="D826" t="s">
        <v>1552</v>
      </c>
      <c r="E826" t="s">
        <v>1456</v>
      </c>
      <c r="F826" t="s">
        <v>725</v>
      </c>
      <c r="G826" t="s">
        <v>103</v>
      </c>
      <c r="H826" t="s">
        <v>9</v>
      </c>
      <c r="I826" t="s">
        <v>1520</v>
      </c>
      <c r="J826">
        <v>2</v>
      </c>
      <c r="K826" t="s">
        <v>1524</v>
      </c>
      <c r="L826" t="s">
        <v>1524</v>
      </c>
      <c r="M826">
        <v>4</v>
      </c>
      <c r="N826">
        <v>1</v>
      </c>
      <c r="O826">
        <v>6</v>
      </c>
      <c r="P826">
        <v>39.6875</v>
      </c>
      <c r="Q826" t="s">
        <v>1528</v>
      </c>
      <c r="R826" t="s">
        <v>1514</v>
      </c>
    </row>
    <row r="827" spans="1:18" x14ac:dyDescent="0.45">
      <c r="A827">
        <v>826</v>
      </c>
      <c r="B827">
        <v>0</v>
      </c>
      <c r="C827" t="s">
        <v>1519</v>
      </c>
      <c r="D827" t="s">
        <v>1552</v>
      </c>
      <c r="E827" t="s">
        <v>920</v>
      </c>
      <c r="F827" t="s">
        <v>722</v>
      </c>
      <c r="G827" t="s">
        <v>410</v>
      </c>
      <c r="H827" t="s">
        <v>9</v>
      </c>
      <c r="I827" t="s">
        <v>1520</v>
      </c>
      <c r="J827">
        <v>28</v>
      </c>
      <c r="K827" t="s">
        <v>1521</v>
      </c>
      <c r="L827" t="s">
        <v>1521</v>
      </c>
      <c r="M827">
        <v>0</v>
      </c>
      <c r="N827">
        <v>0</v>
      </c>
      <c r="O827">
        <v>1</v>
      </c>
      <c r="P827">
        <v>6.95</v>
      </c>
      <c r="Q827" t="s">
        <v>1528</v>
      </c>
      <c r="R827" t="s">
        <v>1516</v>
      </c>
    </row>
    <row r="828" spans="1:18" x14ac:dyDescent="0.45">
      <c r="A828">
        <v>827</v>
      </c>
      <c r="B828">
        <v>0</v>
      </c>
      <c r="C828" t="s">
        <v>1519</v>
      </c>
      <c r="D828" t="s">
        <v>1552</v>
      </c>
      <c r="E828" t="s">
        <v>1457</v>
      </c>
      <c r="F828" t="s">
        <v>722</v>
      </c>
      <c r="G828" t="s">
        <v>597</v>
      </c>
      <c r="H828" t="s">
        <v>9</v>
      </c>
      <c r="I828" t="s">
        <v>1520</v>
      </c>
      <c r="J828">
        <v>28</v>
      </c>
      <c r="K828" t="s">
        <v>1521</v>
      </c>
      <c r="L828" t="s">
        <v>1521</v>
      </c>
      <c r="M828">
        <v>0</v>
      </c>
      <c r="N828">
        <v>0</v>
      </c>
      <c r="O828">
        <v>1</v>
      </c>
      <c r="P828">
        <v>56.495800000000003</v>
      </c>
      <c r="Q828" t="s">
        <v>1528</v>
      </c>
      <c r="R828" t="s">
        <v>1514</v>
      </c>
    </row>
    <row r="829" spans="1:18" x14ac:dyDescent="0.45">
      <c r="A829">
        <v>828</v>
      </c>
      <c r="B829">
        <v>1</v>
      </c>
      <c r="C829" t="s">
        <v>1</v>
      </c>
      <c r="D829" t="s">
        <v>1554</v>
      </c>
      <c r="E829" t="s">
        <v>1458</v>
      </c>
      <c r="F829" t="s">
        <v>725</v>
      </c>
      <c r="G829" t="s">
        <v>679</v>
      </c>
      <c r="H829" t="s">
        <v>9</v>
      </c>
      <c r="I829" t="s">
        <v>1520</v>
      </c>
      <c r="J829">
        <v>1</v>
      </c>
      <c r="K829" t="s">
        <v>1524</v>
      </c>
      <c r="L829" t="s">
        <v>1524</v>
      </c>
      <c r="M829">
        <v>0</v>
      </c>
      <c r="N829">
        <v>2</v>
      </c>
      <c r="O829">
        <v>3</v>
      </c>
      <c r="P829" t="s">
        <v>47</v>
      </c>
      <c r="Q829" t="s">
        <v>1528</v>
      </c>
      <c r="R829" t="s">
        <v>1515</v>
      </c>
    </row>
    <row r="830" spans="1:18" x14ac:dyDescent="0.45">
      <c r="A830">
        <v>829</v>
      </c>
      <c r="B830">
        <v>1</v>
      </c>
      <c r="C830" t="s">
        <v>1</v>
      </c>
      <c r="D830" t="s">
        <v>1552</v>
      </c>
      <c r="E830" t="s">
        <v>1459</v>
      </c>
      <c r="F830" t="s">
        <v>722</v>
      </c>
      <c r="G830" t="s">
        <v>683</v>
      </c>
      <c r="H830" t="s">
        <v>9</v>
      </c>
      <c r="I830" t="s">
        <v>1520</v>
      </c>
      <c r="J830">
        <v>28</v>
      </c>
      <c r="K830" t="s">
        <v>1521</v>
      </c>
      <c r="L830" t="s">
        <v>1521</v>
      </c>
      <c r="M830">
        <v>0</v>
      </c>
      <c r="N830">
        <v>0</v>
      </c>
      <c r="O830">
        <v>1</v>
      </c>
      <c r="P830">
        <v>7.75</v>
      </c>
      <c r="Q830" t="s">
        <v>1528</v>
      </c>
      <c r="R830" t="s">
        <v>1516</v>
      </c>
    </row>
    <row r="831" spans="1:18" x14ac:dyDescent="0.45">
      <c r="A831">
        <v>830</v>
      </c>
      <c r="B831">
        <v>1</v>
      </c>
      <c r="C831" t="s">
        <v>1</v>
      </c>
      <c r="D831" t="s">
        <v>1553</v>
      </c>
      <c r="E831" t="s">
        <v>1460</v>
      </c>
      <c r="F831" t="s">
        <v>723</v>
      </c>
      <c r="G831" t="s">
        <v>684</v>
      </c>
      <c r="H831" t="s">
        <v>10</v>
      </c>
      <c r="I831" t="s">
        <v>1523</v>
      </c>
      <c r="J831">
        <v>62</v>
      </c>
      <c r="K831" t="s">
        <v>1527</v>
      </c>
      <c r="L831" t="s">
        <v>1527</v>
      </c>
      <c r="M831">
        <v>0</v>
      </c>
      <c r="N831">
        <v>0</v>
      </c>
      <c r="O831">
        <v>1</v>
      </c>
      <c r="P831">
        <v>814.45420000000001</v>
      </c>
      <c r="Q831" t="s">
        <v>1528</v>
      </c>
      <c r="R831" t="s">
        <v>1514</v>
      </c>
    </row>
    <row r="832" spans="1:18" x14ac:dyDescent="0.45">
      <c r="A832">
        <v>831</v>
      </c>
      <c r="B832">
        <v>1</v>
      </c>
      <c r="C832" t="s">
        <v>1</v>
      </c>
      <c r="D832" t="s">
        <v>1552</v>
      </c>
      <c r="E832" t="s">
        <v>1461</v>
      </c>
      <c r="F832" t="s">
        <v>723</v>
      </c>
      <c r="G832" t="s">
        <v>547</v>
      </c>
      <c r="H832" t="s">
        <v>10</v>
      </c>
      <c r="I832" t="s">
        <v>1523</v>
      </c>
      <c r="J832">
        <v>15</v>
      </c>
      <c r="K832" t="s">
        <v>1525</v>
      </c>
      <c r="L832" t="s">
        <v>1525</v>
      </c>
      <c r="M832">
        <v>1</v>
      </c>
      <c r="N832">
        <v>0</v>
      </c>
      <c r="O832">
        <v>2</v>
      </c>
      <c r="P832">
        <v>14.4542</v>
      </c>
      <c r="Q832" t="s">
        <v>1528</v>
      </c>
      <c r="R832" t="s">
        <v>1515</v>
      </c>
    </row>
    <row r="833" spans="1:18" x14ac:dyDescent="0.45">
      <c r="A833">
        <v>832</v>
      </c>
      <c r="B833">
        <v>1</v>
      </c>
      <c r="C833" t="s">
        <v>1</v>
      </c>
      <c r="D833" t="s">
        <v>1554</v>
      </c>
      <c r="E833" t="s">
        <v>1462</v>
      </c>
      <c r="F833" t="s">
        <v>725</v>
      </c>
      <c r="G833" t="s">
        <v>393</v>
      </c>
      <c r="H833" t="s">
        <v>9</v>
      </c>
      <c r="I833" t="s">
        <v>1520</v>
      </c>
      <c r="J833">
        <v>0.83</v>
      </c>
      <c r="K833" t="s">
        <v>1524</v>
      </c>
      <c r="L833" t="s">
        <v>1524</v>
      </c>
      <c r="M833">
        <v>1</v>
      </c>
      <c r="N833">
        <v>1</v>
      </c>
      <c r="O833">
        <v>3</v>
      </c>
      <c r="P833">
        <v>18.75</v>
      </c>
      <c r="Q833" t="s">
        <v>1528</v>
      </c>
      <c r="R833" t="s">
        <v>1514</v>
      </c>
    </row>
    <row r="834" spans="1:18" x14ac:dyDescent="0.45">
      <c r="A834">
        <v>833</v>
      </c>
      <c r="B834">
        <v>0</v>
      </c>
      <c r="C834" t="s">
        <v>1519</v>
      </c>
      <c r="D834" t="s">
        <v>1552</v>
      </c>
      <c r="E834" t="s">
        <v>1463</v>
      </c>
      <c r="F834" t="s">
        <v>722</v>
      </c>
      <c r="G834" t="s">
        <v>598</v>
      </c>
      <c r="H834" t="s">
        <v>9</v>
      </c>
      <c r="I834" t="s">
        <v>1520</v>
      </c>
      <c r="J834">
        <v>28</v>
      </c>
      <c r="K834" t="s">
        <v>1521</v>
      </c>
      <c r="L834" t="s">
        <v>1521</v>
      </c>
      <c r="M834">
        <v>0</v>
      </c>
      <c r="N834">
        <v>0</v>
      </c>
      <c r="O834">
        <v>1</v>
      </c>
      <c r="P834">
        <v>7.2291999999999996</v>
      </c>
      <c r="Q834" t="s">
        <v>1528</v>
      </c>
      <c r="R834" t="s">
        <v>1515</v>
      </c>
    </row>
    <row r="835" spans="1:18" x14ac:dyDescent="0.45">
      <c r="A835">
        <v>834</v>
      </c>
      <c r="B835">
        <v>0</v>
      </c>
      <c r="C835" t="s">
        <v>1519</v>
      </c>
      <c r="D835" t="s">
        <v>1552</v>
      </c>
      <c r="E835" t="s">
        <v>1450</v>
      </c>
      <c r="F835" t="s">
        <v>722</v>
      </c>
      <c r="G835" t="s">
        <v>685</v>
      </c>
      <c r="H835" t="s">
        <v>9</v>
      </c>
      <c r="I835" t="s">
        <v>1520</v>
      </c>
      <c r="J835">
        <v>23</v>
      </c>
      <c r="K835" t="s">
        <v>1521</v>
      </c>
      <c r="L835" t="s">
        <v>1521</v>
      </c>
      <c r="M835">
        <v>0</v>
      </c>
      <c r="N835">
        <v>0</v>
      </c>
      <c r="O835">
        <v>1</v>
      </c>
      <c r="P835">
        <v>7.8541999999999996</v>
      </c>
      <c r="Q835" t="s">
        <v>1528</v>
      </c>
      <c r="R835" t="s">
        <v>1514</v>
      </c>
    </row>
    <row r="836" spans="1:18" x14ac:dyDescent="0.45">
      <c r="A836">
        <v>835</v>
      </c>
      <c r="B836">
        <v>0</v>
      </c>
      <c r="C836" t="s">
        <v>1519</v>
      </c>
      <c r="D836" t="s">
        <v>1552</v>
      </c>
      <c r="E836" t="s">
        <v>1464</v>
      </c>
      <c r="F836" t="s">
        <v>722</v>
      </c>
      <c r="G836" t="s">
        <v>686</v>
      </c>
      <c r="H836" t="s">
        <v>9</v>
      </c>
      <c r="I836" t="s">
        <v>1520</v>
      </c>
      <c r="J836">
        <v>18</v>
      </c>
      <c r="K836" t="s">
        <v>1521</v>
      </c>
      <c r="L836" t="s">
        <v>1521</v>
      </c>
      <c r="M836">
        <v>0</v>
      </c>
      <c r="N836">
        <v>0</v>
      </c>
      <c r="O836">
        <v>1</v>
      </c>
      <c r="P836">
        <v>8.3000000000000007</v>
      </c>
      <c r="Q836" t="s">
        <v>1528</v>
      </c>
      <c r="R836" t="s">
        <v>1514</v>
      </c>
    </row>
    <row r="837" spans="1:18" x14ac:dyDescent="0.45">
      <c r="A837">
        <v>836</v>
      </c>
      <c r="B837">
        <v>1</v>
      </c>
      <c r="C837" t="s">
        <v>1</v>
      </c>
      <c r="D837" t="s">
        <v>1553</v>
      </c>
      <c r="E837" t="s">
        <v>1465</v>
      </c>
      <c r="F837" t="s">
        <v>724</v>
      </c>
      <c r="G837" t="s">
        <v>687</v>
      </c>
      <c r="H837" t="s">
        <v>10</v>
      </c>
      <c r="I837" t="s">
        <v>1523</v>
      </c>
      <c r="J837">
        <v>39</v>
      </c>
      <c r="K837" t="s">
        <v>1521</v>
      </c>
      <c r="L837" t="s">
        <v>1521</v>
      </c>
      <c r="M837">
        <v>1</v>
      </c>
      <c r="N837">
        <v>1</v>
      </c>
      <c r="O837">
        <v>3</v>
      </c>
      <c r="P837">
        <v>83.158299999999997</v>
      </c>
      <c r="Q837" t="s">
        <v>1528</v>
      </c>
      <c r="R837" t="s">
        <v>1515</v>
      </c>
    </row>
    <row r="838" spans="1:18" x14ac:dyDescent="0.45">
      <c r="A838">
        <v>837</v>
      </c>
      <c r="B838">
        <v>0</v>
      </c>
      <c r="C838" t="s">
        <v>1519</v>
      </c>
      <c r="D838" t="s">
        <v>1552</v>
      </c>
      <c r="E838" t="s">
        <v>1466</v>
      </c>
      <c r="F838" t="s">
        <v>722</v>
      </c>
      <c r="G838" t="s">
        <v>688</v>
      </c>
      <c r="H838" t="s">
        <v>9</v>
      </c>
      <c r="I838" t="s">
        <v>1520</v>
      </c>
      <c r="J838">
        <v>21</v>
      </c>
      <c r="K838" t="s">
        <v>1521</v>
      </c>
      <c r="L838" t="s">
        <v>1521</v>
      </c>
      <c r="M838">
        <v>0</v>
      </c>
      <c r="N838">
        <v>0</v>
      </c>
      <c r="O838">
        <v>1</v>
      </c>
      <c r="P838">
        <v>8.6624999999999996</v>
      </c>
      <c r="Q838" t="s">
        <v>1528</v>
      </c>
      <c r="R838" t="s">
        <v>1514</v>
      </c>
    </row>
    <row r="839" spans="1:18" x14ac:dyDescent="0.45">
      <c r="A839">
        <v>838</v>
      </c>
      <c r="B839">
        <v>0</v>
      </c>
      <c r="C839" t="s">
        <v>1519</v>
      </c>
      <c r="D839" t="s">
        <v>1552</v>
      </c>
      <c r="E839" t="s">
        <v>1159</v>
      </c>
      <c r="F839" t="s">
        <v>722</v>
      </c>
      <c r="G839" t="s">
        <v>689</v>
      </c>
      <c r="H839" t="s">
        <v>9</v>
      </c>
      <c r="I839" t="s">
        <v>1520</v>
      </c>
      <c r="J839">
        <v>28</v>
      </c>
      <c r="K839" t="s">
        <v>1521</v>
      </c>
      <c r="L839" t="s">
        <v>1521</v>
      </c>
      <c r="M839">
        <v>0</v>
      </c>
      <c r="N839">
        <v>0</v>
      </c>
      <c r="O839">
        <v>1</v>
      </c>
      <c r="P839" t="s">
        <v>12</v>
      </c>
      <c r="Q839" t="s">
        <v>1528</v>
      </c>
      <c r="R839" t="s">
        <v>1514</v>
      </c>
    </row>
    <row r="840" spans="1:18" x14ac:dyDescent="0.45">
      <c r="A840">
        <v>839</v>
      </c>
      <c r="B840">
        <v>1</v>
      </c>
      <c r="C840" t="s">
        <v>1</v>
      </c>
      <c r="D840" t="s">
        <v>1552</v>
      </c>
      <c r="E840" t="s">
        <v>1467</v>
      </c>
      <c r="F840" t="s">
        <v>722</v>
      </c>
      <c r="G840" t="s">
        <v>690</v>
      </c>
      <c r="H840" t="s">
        <v>9</v>
      </c>
      <c r="I840" t="s">
        <v>1520</v>
      </c>
      <c r="J840">
        <v>32</v>
      </c>
      <c r="K840" t="s">
        <v>1521</v>
      </c>
      <c r="L840" t="s">
        <v>1521</v>
      </c>
      <c r="M840">
        <v>0</v>
      </c>
      <c r="N840">
        <v>0</v>
      </c>
      <c r="O840">
        <v>1</v>
      </c>
      <c r="P840">
        <v>56.495800000000003</v>
      </c>
      <c r="Q840" t="s">
        <v>1528</v>
      </c>
      <c r="R840" t="s">
        <v>1514</v>
      </c>
    </row>
    <row r="841" spans="1:18" x14ac:dyDescent="0.45">
      <c r="A841">
        <v>840</v>
      </c>
      <c r="B841">
        <v>1</v>
      </c>
      <c r="C841" t="s">
        <v>1</v>
      </c>
      <c r="D841" t="s">
        <v>1553</v>
      </c>
      <c r="E841" t="s">
        <v>1468</v>
      </c>
      <c r="F841" t="s">
        <v>722</v>
      </c>
      <c r="G841" t="s">
        <v>691</v>
      </c>
      <c r="H841" t="s">
        <v>9</v>
      </c>
      <c r="I841" t="s">
        <v>1520</v>
      </c>
      <c r="J841">
        <v>28</v>
      </c>
      <c r="K841" t="s">
        <v>1521</v>
      </c>
      <c r="L841" t="s">
        <v>1521</v>
      </c>
      <c r="M841">
        <v>0</v>
      </c>
      <c r="N841">
        <v>0</v>
      </c>
      <c r="O841">
        <v>1</v>
      </c>
      <c r="P841">
        <v>29.7</v>
      </c>
      <c r="Q841" t="s">
        <v>1528</v>
      </c>
      <c r="R841" t="s">
        <v>1515</v>
      </c>
    </row>
    <row r="842" spans="1:18" x14ac:dyDescent="0.45">
      <c r="A842">
        <v>841</v>
      </c>
      <c r="B842">
        <v>0</v>
      </c>
      <c r="C842" t="s">
        <v>1519</v>
      </c>
      <c r="D842" t="s">
        <v>1552</v>
      </c>
      <c r="E842" t="s">
        <v>1469</v>
      </c>
      <c r="F842" t="s">
        <v>722</v>
      </c>
      <c r="G842" t="s">
        <v>692</v>
      </c>
      <c r="H842" t="s">
        <v>9</v>
      </c>
      <c r="I842" t="s">
        <v>1520</v>
      </c>
      <c r="J842">
        <v>20</v>
      </c>
      <c r="K842" t="s">
        <v>1521</v>
      </c>
      <c r="L842" t="s">
        <v>1521</v>
      </c>
      <c r="M842">
        <v>0</v>
      </c>
      <c r="N842">
        <v>0</v>
      </c>
      <c r="O842">
        <v>1</v>
      </c>
      <c r="P842">
        <v>7.9249999999999998</v>
      </c>
      <c r="Q842" t="s">
        <v>1528</v>
      </c>
      <c r="R842" t="s">
        <v>1514</v>
      </c>
    </row>
    <row r="843" spans="1:18" x14ac:dyDescent="0.45">
      <c r="A843">
        <v>842</v>
      </c>
      <c r="B843">
        <v>0</v>
      </c>
      <c r="C843" t="s">
        <v>1519</v>
      </c>
      <c r="D843" t="s">
        <v>1554</v>
      </c>
      <c r="E843" t="s">
        <v>1470</v>
      </c>
      <c r="F843" t="s">
        <v>722</v>
      </c>
      <c r="G843" t="s">
        <v>693</v>
      </c>
      <c r="H843" t="s">
        <v>9</v>
      </c>
      <c r="I843" t="s">
        <v>1520</v>
      </c>
      <c r="J843">
        <v>16</v>
      </c>
      <c r="K843" t="s">
        <v>1525</v>
      </c>
      <c r="L843" t="s">
        <v>1525</v>
      </c>
      <c r="M843">
        <v>0</v>
      </c>
      <c r="N843">
        <v>0</v>
      </c>
      <c r="O843">
        <v>1</v>
      </c>
      <c r="P843" t="s">
        <v>18</v>
      </c>
      <c r="Q843" t="s">
        <v>1528</v>
      </c>
      <c r="R843" t="s">
        <v>1514</v>
      </c>
    </row>
    <row r="844" spans="1:18" x14ac:dyDescent="0.45">
      <c r="A844">
        <v>843</v>
      </c>
      <c r="B844">
        <v>1</v>
      </c>
      <c r="C844" t="s">
        <v>1</v>
      </c>
      <c r="D844" t="s">
        <v>1553</v>
      </c>
      <c r="E844" t="s">
        <v>1471</v>
      </c>
      <c r="F844" t="s">
        <v>724</v>
      </c>
      <c r="G844" t="s">
        <v>694</v>
      </c>
      <c r="H844" t="s">
        <v>10</v>
      </c>
      <c r="I844" t="s">
        <v>1523</v>
      </c>
      <c r="J844">
        <v>30</v>
      </c>
      <c r="K844" t="s">
        <v>1521</v>
      </c>
      <c r="L844" t="s">
        <v>1521</v>
      </c>
      <c r="M844">
        <v>0</v>
      </c>
      <c r="N844">
        <v>0</v>
      </c>
      <c r="O844">
        <v>1</v>
      </c>
      <c r="P844">
        <v>31</v>
      </c>
      <c r="Q844" t="s">
        <v>1528</v>
      </c>
      <c r="R844" t="s">
        <v>1515</v>
      </c>
    </row>
    <row r="845" spans="1:18" x14ac:dyDescent="0.45">
      <c r="A845">
        <v>844</v>
      </c>
      <c r="B845">
        <v>0</v>
      </c>
      <c r="C845" t="s">
        <v>1519</v>
      </c>
      <c r="D845" t="s">
        <v>1552</v>
      </c>
      <c r="E845" t="s">
        <v>1472</v>
      </c>
      <c r="F845" t="s">
        <v>722</v>
      </c>
      <c r="G845" t="s">
        <v>695</v>
      </c>
      <c r="H845" t="s">
        <v>9</v>
      </c>
      <c r="I845" t="s">
        <v>1520</v>
      </c>
      <c r="J845">
        <v>34.5</v>
      </c>
      <c r="K845" t="s">
        <v>1521</v>
      </c>
      <c r="L845" t="s">
        <v>1521</v>
      </c>
      <c r="M845">
        <v>0</v>
      </c>
      <c r="N845">
        <v>0</v>
      </c>
      <c r="O845">
        <v>1</v>
      </c>
      <c r="P845">
        <v>6.4375</v>
      </c>
      <c r="Q845" t="s">
        <v>1528</v>
      </c>
      <c r="R845" t="s">
        <v>1515</v>
      </c>
    </row>
    <row r="846" spans="1:18" x14ac:dyDescent="0.45">
      <c r="A846">
        <v>845</v>
      </c>
      <c r="B846">
        <v>0</v>
      </c>
      <c r="C846" t="s">
        <v>1519</v>
      </c>
      <c r="D846" t="s">
        <v>1552</v>
      </c>
      <c r="E846" t="s">
        <v>1473</v>
      </c>
      <c r="F846" t="s">
        <v>722</v>
      </c>
      <c r="G846" t="s">
        <v>696</v>
      </c>
      <c r="H846" t="s">
        <v>9</v>
      </c>
      <c r="I846" t="s">
        <v>1520</v>
      </c>
      <c r="J846">
        <v>17</v>
      </c>
      <c r="K846" t="s">
        <v>1525</v>
      </c>
      <c r="L846" t="s">
        <v>1525</v>
      </c>
      <c r="M846">
        <v>0</v>
      </c>
      <c r="N846">
        <v>0</v>
      </c>
      <c r="O846">
        <v>1</v>
      </c>
      <c r="P846">
        <v>8.6624999999999996</v>
      </c>
      <c r="Q846" t="s">
        <v>1528</v>
      </c>
      <c r="R846" t="s">
        <v>1514</v>
      </c>
    </row>
    <row r="847" spans="1:18" x14ac:dyDescent="0.45">
      <c r="A847">
        <v>846</v>
      </c>
      <c r="B847">
        <v>0</v>
      </c>
      <c r="C847" t="s">
        <v>1519</v>
      </c>
      <c r="D847" t="s">
        <v>1552</v>
      </c>
      <c r="E847" t="s">
        <v>1474</v>
      </c>
      <c r="F847" t="s">
        <v>722</v>
      </c>
      <c r="G847" t="s">
        <v>697</v>
      </c>
      <c r="H847" t="s">
        <v>9</v>
      </c>
      <c r="I847" t="s">
        <v>1520</v>
      </c>
      <c r="J847">
        <v>42</v>
      </c>
      <c r="K847" t="s">
        <v>1521</v>
      </c>
      <c r="L847" t="s">
        <v>1521</v>
      </c>
      <c r="M847">
        <v>0</v>
      </c>
      <c r="N847">
        <v>0</v>
      </c>
      <c r="O847">
        <v>1</v>
      </c>
      <c r="P847">
        <v>7.55</v>
      </c>
      <c r="Q847" t="s">
        <v>1528</v>
      </c>
      <c r="R847" t="s">
        <v>1514</v>
      </c>
    </row>
    <row r="848" spans="1:18" x14ac:dyDescent="0.45">
      <c r="A848">
        <v>847</v>
      </c>
      <c r="B848">
        <v>0</v>
      </c>
      <c r="C848" t="s">
        <v>1519</v>
      </c>
      <c r="D848" t="s">
        <v>1552</v>
      </c>
      <c r="E848" t="s">
        <v>1475</v>
      </c>
      <c r="F848" t="s">
        <v>722</v>
      </c>
      <c r="G848" t="s">
        <v>199</v>
      </c>
      <c r="H848" t="s">
        <v>9</v>
      </c>
      <c r="I848" t="s">
        <v>1520</v>
      </c>
      <c r="J848">
        <v>28</v>
      </c>
      <c r="K848" t="s">
        <v>1521</v>
      </c>
      <c r="L848" t="s">
        <v>1521</v>
      </c>
      <c r="M848">
        <v>8</v>
      </c>
      <c r="N848">
        <v>2</v>
      </c>
      <c r="O848">
        <v>11</v>
      </c>
      <c r="P848">
        <v>69.55</v>
      </c>
      <c r="Q848" t="s">
        <v>1528</v>
      </c>
      <c r="R848" t="s">
        <v>1514</v>
      </c>
    </row>
    <row r="849" spans="1:18" x14ac:dyDescent="0.45">
      <c r="A849">
        <v>848</v>
      </c>
      <c r="B849">
        <v>0</v>
      </c>
      <c r="C849" t="s">
        <v>1519</v>
      </c>
      <c r="D849" t="s">
        <v>1552</v>
      </c>
      <c r="E849" t="s">
        <v>1476</v>
      </c>
      <c r="F849" t="s">
        <v>722</v>
      </c>
      <c r="G849" t="s">
        <v>698</v>
      </c>
      <c r="H849" t="s">
        <v>9</v>
      </c>
      <c r="I849" t="s">
        <v>1520</v>
      </c>
      <c r="J849">
        <v>35</v>
      </c>
      <c r="K849" t="s">
        <v>1521</v>
      </c>
      <c r="L849" t="s">
        <v>1521</v>
      </c>
      <c r="M849">
        <v>0</v>
      </c>
      <c r="N849">
        <v>0</v>
      </c>
      <c r="O849">
        <v>1</v>
      </c>
      <c r="P849">
        <v>7.8958000000000004</v>
      </c>
      <c r="Q849" t="s">
        <v>1528</v>
      </c>
      <c r="R849" t="s">
        <v>1515</v>
      </c>
    </row>
    <row r="850" spans="1:18" x14ac:dyDescent="0.45">
      <c r="A850">
        <v>849</v>
      </c>
      <c r="B850">
        <v>0</v>
      </c>
      <c r="C850" t="s">
        <v>1519</v>
      </c>
      <c r="D850" t="s">
        <v>1554</v>
      </c>
      <c r="E850" t="s">
        <v>920</v>
      </c>
      <c r="F850" t="s">
        <v>727</v>
      </c>
      <c r="G850" t="s">
        <v>105</v>
      </c>
      <c r="H850" t="s">
        <v>9</v>
      </c>
      <c r="I850" t="s">
        <v>1520</v>
      </c>
      <c r="J850">
        <v>28</v>
      </c>
      <c r="K850" t="s">
        <v>1521</v>
      </c>
      <c r="L850" t="s">
        <v>1521</v>
      </c>
      <c r="M850">
        <v>0</v>
      </c>
      <c r="N850">
        <v>1</v>
      </c>
      <c r="O850">
        <v>2</v>
      </c>
      <c r="P850">
        <v>33</v>
      </c>
      <c r="Q850" t="s">
        <v>1528</v>
      </c>
      <c r="R850" t="s">
        <v>1514</v>
      </c>
    </row>
    <row r="851" spans="1:18" x14ac:dyDescent="0.45">
      <c r="A851">
        <v>850</v>
      </c>
      <c r="B851">
        <v>1</v>
      </c>
      <c r="C851" t="s">
        <v>1</v>
      </c>
      <c r="D851" t="s">
        <v>1553</v>
      </c>
      <c r="E851" t="s">
        <v>1477</v>
      </c>
      <c r="F851" t="s">
        <v>723</v>
      </c>
      <c r="G851" t="s">
        <v>428</v>
      </c>
      <c r="H851" t="s">
        <v>10</v>
      </c>
      <c r="I851" t="s">
        <v>1523</v>
      </c>
      <c r="J851">
        <v>28</v>
      </c>
      <c r="K851" t="s">
        <v>1521</v>
      </c>
      <c r="L851" t="s">
        <v>1521</v>
      </c>
      <c r="M851">
        <v>1</v>
      </c>
      <c r="N851">
        <v>0</v>
      </c>
      <c r="O851">
        <v>2</v>
      </c>
      <c r="P851" t="s">
        <v>37</v>
      </c>
      <c r="Q851" t="s">
        <v>1528</v>
      </c>
      <c r="R851" t="s">
        <v>1515</v>
      </c>
    </row>
    <row r="852" spans="1:18" x14ac:dyDescent="0.45">
      <c r="A852">
        <v>851</v>
      </c>
      <c r="B852">
        <v>0</v>
      </c>
      <c r="C852" t="s">
        <v>1519</v>
      </c>
      <c r="D852" t="s">
        <v>1552</v>
      </c>
      <c r="E852" t="s">
        <v>1478</v>
      </c>
      <c r="F852" t="s">
        <v>725</v>
      </c>
      <c r="G852" t="s">
        <v>68</v>
      </c>
      <c r="H852" t="s">
        <v>9</v>
      </c>
      <c r="I852" t="s">
        <v>1520</v>
      </c>
      <c r="J852">
        <v>4</v>
      </c>
      <c r="K852" t="s">
        <v>1524</v>
      </c>
      <c r="L852" t="s">
        <v>1524</v>
      </c>
      <c r="M852">
        <v>4</v>
      </c>
      <c r="N852">
        <v>2</v>
      </c>
      <c r="O852">
        <v>7</v>
      </c>
      <c r="P852">
        <v>31.274999999999999</v>
      </c>
      <c r="Q852" t="s">
        <v>1528</v>
      </c>
      <c r="R852" t="s">
        <v>1514</v>
      </c>
    </row>
    <row r="853" spans="1:18" x14ac:dyDescent="0.45">
      <c r="A853">
        <v>852</v>
      </c>
      <c r="B853">
        <v>0</v>
      </c>
      <c r="C853" t="s">
        <v>1519</v>
      </c>
      <c r="D853" t="s">
        <v>1552</v>
      </c>
      <c r="E853" t="s">
        <v>864</v>
      </c>
      <c r="F853" t="s">
        <v>722</v>
      </c>
      <c r="G853" t="s">
        <v>464</v>
      </c>
      <c r="H853" t="s">
        <v>9</v>
      </c>
      <c r="I853" t="s">
        <v>1520</v>
      </c>
      <c r="J853">
        <v>74</v>
      </c>
      <c r="K853" t="s">
        <v>1527</v>
      </c>
      <c r="L853" t="s">
        <v>1527</v>
      </c>
      <c r="M853">
        <v>0</v>
      </c>
      <c r="N853">
        <v>0</v>
      </c>
      <c r="O853">
        <v>1</v>
      </c>
      <c r="P853">
        <v>7.7750000000000004</v>
      </c>
      <c r="Q853" t="s">
        <v>1528</v>
      </c>
      <c r="R853" t="s">
        <v>1514</v>
      </c>
    </row>
    <row r="854" spans="1:18" x14ac:dyDescent="0.45">
      <c r="A854">
        <v>853</v>
      </c>
      <c r="B854">
        <v>0</v>
      </c>
      <c r="C854" t="s">
        <v>1519</v>
      </c>
      <c r="D854" t="s">
        <v>1552</v>
      </c>
      <c r="E854" t="s">
        <v>1479</v>
      </c>
      <c r="F854" t="s">
        <v>724</v>
      </c>
      <c r="G854" t="s">
        <v>183</v>
      </c>
      <c r="H854" t="s">
        <v>10</v>
      </c>
      <c r="I854" t="s">
        <v>1523</v>
      </c>
      <c r="J854">
        <v>9</v>
      </c>
      <c r="K854" t="s">
        <v>1524</v>
      </c>
      <c r="L854" t="s">
        <v>1524</v>
      </c>
      <c r="M854">
        <v>1</v>
      </c>
      <c r="N854">
        <v>1</v>
      </c>
      <c r="O854">
        <v>3</v>
      </c>
      <c r="P854">
        <v>15.245799999999999</v>
      </c>
      <c r="Q854" t="s">
        <v>1528</v>
      </c>
      <c r="R854" t="s">
        <v>1515</v>
      </c>
    </row>
    <row r="855" spans="1:18" x14ac:dyDescent="0.45">
      <c r="A855">
        <v>854</v>
      </c>
      <c r="B855">
        <v>1</v>
      </c>
      <c r="C855" t="s">
        <v>1</v>
      </c>
      <c r="D855" t="s">
        <v>1553</v>
      </c>
      <c r="E855" t="s">
        <v>1480</v>
      </c>
      <c r="F855" t="s">
        <v>724</v>
      </c>
      <c r="G855" t="s">
        <v>699</v>
      </c>
      <c r="H855" t="s">
        <v>10</v>
      </c>
      <c r="I855" t="s">
        <v>1523</v>
      </c>
      <c r="J855">
        <v>16</v>
      </c>
      <c r="K855" t="s">
        <v>1525</v>
      </c>
      <c r="L855" t="s">
        <v>1525</v>
      </c>
      <c r="M855">
        <v>0</v>
      </c>
      <c r="N855">
        <v>1</v>
      </c>
      <c r="O855">
        <v>2</v>
      </c>
      <c r="P855">
        <v>39.4</v>
      </c>
      <c r="Q855" t="s">
        <v>1528</v>
      </c>
      <c r="R855" t="s">
        <v>1514</v>
      </c>
    </row>
    <row r="856" spans="1:18" x14ac:dyDescent="0.45">
      <c r="A856">
        <v>855</v>
      </c>
      <c r="B856">
        <v>0</v>
      </c>
      <c r="C856" t="s">
        <v>1519</v>
      </c>
      <c r="D856" t="s">
        <v>1554</v>
      </c>
      <c r="E856" t="s">
        <v>1481</v>
      </c>
      <c r="F856" t="s">
        <v>723</v>
      </c>
      <c r="G856" t="s">
        <v>273</v>
      </c>
      <c r="H856" t="s">
        <v>10</v>
      </c>
      <c r="I856" t="s">
        <v>1523</v>
      </c>
      <c r="J856">
        <v>44</v>
      </c>
      <c r="K856" t="s">
        <v>1521</v>
      </c>
      <c r="L856" t="s">
        <v>1521</v>
      </c>
      <c r="M856">
        <v>1</v>
      </c>
      <c r="N856">
        <v>0</v>
      </c>
      <c r="O856">
        <v>2</v>
      </c>
      <c r="P856">
        <v>26</v>
      </c>
      <c r="Q856" t="s">
        <v>1528</v>
      </c>
      <c r="R856" t="s">
        <v>1514</v>
      </c>
    </row>
    <row r="857" spans="1:18" x14ac:dyDescent="0.45">
      <c r="A857">
        <v>856</v>
      </c>
      <c r="B857">
        <v>1</v>
      </c>
      <c r="C857" t="s">
        <v>1</v>
      </c>
      <c r="D857" t="s">
        <v>1552</v>
      </c>
      <c r="E857" t="s">
        <v>1482</v>
      </c>
      <c r="F857" t="s">
        <v>723</v>
      </c>
      <c r="G857" t="s">
        <v>700</v>
      </c>
      <c r="H857" t="s">
        <v>10</v>
      </c>
      <c r="I857" t="s">
        <v>1523</v>
      </c>
      <c r="J857">
        <v>18</v>
      </c>
      <c r="K857" t="s">
        <v>1521</v>
      </c>
      <c r="L857" t="s">
        <v>1521</v>
      </c>
      <c r="M857">
        <v>0</v>
      </c>
      <c r="N857">
        <v>1</v>
      </c>
      <c r="O857">
        <v>2</v>
      </c>
      <c r="P857">
        <v>9.35</v>
      </c>
      <c r="Q857" t="s">
        <v>1528</v>
      </c>
      <c r="R857" t="s">
        <v>1514</v>
      </c>
    </row>
    <row r="858" spans="1:18" x14ac:dyDescent="0.45">
      <c r="A858">
        <v>857</v>
      </c>
      <c r="B858">
        <v>1</v>
      </c>
      <c r="C858" t="s">
        <v>1</v>
      </c>
      <c r="D858" t="s">
        <v>1553</v>
      </c>
      <c r="E858" t="s">
        <v>1483</v>
      </c>
      <c r="F858" t="s">
        <v>723</v>
      </c>
      <c r="G858" t="s">
        <v>331</v>
      </c>
      <c r="H858" t="s">
        <v>10</v>
      </c>
      <c r="I858" t="s">
        <v>1523</v>
      </c>
      <c r="J858">
        <v>45</v>
      </c>
      <c r="K858" t="s">
        <v>1521</v>
      </c>
      <c r="L858" t="s">
        <v>1521</v>
      </c>
      <c r="M858">
        <v>1</v>
      </c>
      <c r="N858">
        <v>1</v>
      </c>
      <c r="O858">
        <v>3</v>
      </c>
      <c r="P858">
        <v>164.86670000000001</v>
      </c>
      <c r="Q858" t="s">
        <v>1528</v>
      </c>
      <c r="R858" t="s">
        <v>1514</v>
      </c>
    </row>
    <row r="859" spans="1:18" x14ac:dyDescent="0.45">
      <c r="A859">
        <v>858</v>
      </c>
      <c r="B859">
        <v>1</v>
      </c>
      <c r="C859" t="s">
        <v>1</v>
      </c>
      <c r="D859" t="s">
        <v>1553</v>
      </c>
      <c r="E859" t="s">
        <v>1484</v>
      </c>
      <c r="F859" t="s">
        <v>722</v>
      </c>
      <c r="G859" t="s">
        <v>472</v>
      </c>
      <c r="H859" t="s">
        <v>9</v>
      </c>
      <c r="I859" t="s">
        <v>1520</v>
      </c>
      <c r="J859">
        <v>51</v>
      </c>
      <c r="K859" t="s">
        <v>1521</v>
      </c>
      <c r="L859" t="s">
        <v>1521</v>
      </c>
      <c r="M859">
        <v>0</v>
      </c>
      <c r="N859">
        <v>0</v>
      </c>
      <c r="O859">
        <v>1</v>
      </c>
      <c r="P859">
        <v>26.55</v>
      </c>
      <c r="Q859" t="s">
        <v>1528</v>
      </c>
      <c r="R859" t="s">
        <v>1514</v>
      </c>
    </row>
    <row r="860" spans="1:18" x14ac:dyDescent="0.45">
      <c r="A860">
        <v>859</v>
      </c>
      <c r="B860">
        <v>1</v>
      </c>
      <c r="C860" t="s">
        <v>1</v>
      </c>
      <c r="D860" t="s">
        <v>1552</v>
      </c>
      <c r="E860" t="s">
        <v>1485</v>
      </c>
      <c r="F860" t="s">
        <v>723</v>
      </c>
      <c r="G860" t="s">
        <v>424</v>
      </c>
      <c r="H860" t="s">
        <v>10</v>
      </c>
      <c r="I860" t="s">
        <v>1523</v>
      </c>
      <c r="J860">
        <v>24</v>
      </c>
      <c r="K860" t="s">
        <v>1521</v>
      </c>
      <c r="L860" t="s">
        <v>1521</v>
      </c>
      <c r="M860">
        <v>0</v>
      </c>
      <c r="N860">
        <v>3</v>
      </c>
      <c r="O860">
        <v>4</v>
      </c>
      <c r="P860">
        <v>19.258299999999998</v>
      </c>
      <c r="Q860" t="s">
        <v>1528</v>
      </c>
      <c r="R860" t="s">
        <v>1515</v>
      </c>
    </row>
    <row r="861" spans="1:18" x14ac:dyDescent="0.45">
      <c r="A861">
        <v>860</v>
      </c>
      <c r="B861">
        <v>0</v>
      </c>
      <c r="C861" t="s">
        <v>1519</v>
      </c>
      <c r="D861" t="s">
        <v>1552</v>
      </c>
      <c r="E861" t="s">
        <v>1486</v>
      </c>
      <c r="F861" t="s">
        <v>722</v>
      </c>
      <c r="G861" t="s">
        <v>701</v>
      </c>
      <c r="H861" t="s">
        <v>9</v>
      </c>
      <c r="I861" t="s">
        <v>1520</v>
      </c>
      <c r="J861">
        <v>28</v>
      </c>
      <c r="K861" t="s">
        <v>1521</v>
      </c>
      <c r="L861" t="s">
        <v>1521</v>
      </c>
      <c r="M861">
        <v>0</v>
      </c>
      <c r="N861">
        <v>0</v>
      </c>
      <c r="O861">
        <v>1</v>
      </c>
      <c r="P861">
        <v>7.2291999999999996</v>
      </c>
      <c r="Q861" t="s">
        <v>1528</v>
      </c>
      <c r="R861" t="s">
        <v>1515</v>
      </c>
    </row>
    <row r="862" spans="1:18" x14ac:dyDescent="0.45">
      <c r="A862">
        <v>861</v>
      </c>
      <c r="B862">
        <v>0</v>
      </c>
      <c r="C862" t="s">
        <v>1519</v>
      </c>
      <c r="D862" t="s">
        <v>1552</v>
      </c>
      <c r="E862" t="s">
        <v>1487</v>
      </c>
      <c r="F862" t="s">
        <v>722</v>
      </c>
      <c r="G862" t="s">
        <v>549</v>
      </c>
      <c r="H862" t="s">
        <v>9</v>
      </c>
      <c r="I862" t="s">
        <v>1520</v>
      </c>
      <c r="J862">
        <v>41</v>
      </c>
      <c r="K862" t="s">
        <v>1521</v>
      </c>
      <c r="L862" t="s">
        <v>1521</v>
      </c>
      <c r="M862">
        <v>2</v>
      </c>
      <c r="N862">
        <v>0</v>
      </c>
      <c r="O862">
        <v>3</v>
      </c>
      <c r="P862" t="s">
        <v>48</v>
      </c>
      <c r="Q862" t="s">
        <v>1528</v>
      </c>
      <c r="R862" t="s">
        <v>1514</v>
      </c>
    </row>
    <row r="863" spans="1:18" x14ac:dyDescent="0.45">
      <c r="A863">
        <v>862</v>
      </c>
      <c r="B863">
        <v>0</v>
      </c>
      <c r="C863" t="s">
        <v>1519</v>
      </c>
      <c r="D863" t="s">
        <v>1554</v>
      </c>
      <c r="E863" t="s">
        <v>1488</v>
      </c>
      <c r="F863" t="s">
        <v>722</v>
      </c>
      <c r="G863" t="s">
        <v>702</v>
      </c>
      <c r="H863" t="s">
        <v>9</v>
      </c>
      <c r="I863" t="s">
        <v>1520</v>
      </c>
      <c r="J863">
        <v>21</v>
      </c>
      <c r="K863" t="s">
        <v>1521</v>
      </c>
      <c r="L863" t="s">
        <v>1521</v>
      </c>
      <c r="M863">
        <v>1</v>
      </c>
      <c r="N863">
        <v>0</v>
      </c>
      <c r="O863">
        <v>2</v>
      </c>
      <c r="P863">
        <v>11.5</v>
      </c>
      <c r="Q863" t="s">
        <v>1528</v>
      </c>
      <c r="R863" t="s">
        <v>1514</v>
      </c>
    </row>
    <row r="864" spans="1:18" x14ac:dyDescent="0.45">
      <c r="A864">
        <v>863</v>
      </c>
      <c r="B864">
        <v>1</v>
      </c>
      <c r="C864" t="s">
        <v>1</v>
      </c>
      <c r="D864" t="s">
        <v>1553</v>
      </c>
      <c r="E864" t="s">
        <v>1489</v>
      </c>
      <c r="F864" t="s">
        <v>723</v>
      </c>
      <c r="G864" t="s">
        <v>703</v>
      </c>
      <c r="H864" t="s">
        <v>10</v>
      </c>
      <c r="I864" t="s">
        <v>1523</v>
      </c>
      <c r="J864">
        <v>48</v>
      </c>
      <c r="K864" t="s">
        <v>1521</v>
      </c>
      <c r="L864" t="s">
        <v>1521</v>
      </c>
      <c r="M864">
        <v>0</v>
      </c>
      <c r="N864">
        <v>0</v>
      </c>
      <c r="O864">
        <v>1</v>
      </c>
      <c r="P864">
        <v>25.929200000000002</v>
      </c>
      <c r="Q864" t="s">
        <v>1528</v>
      </c>
      <c r="R864" t="s">
        <v>1514</v>
      </c>
    </row>
    <row r="865" spans="1:18" x14ac:dyDescent="0.45">
      <c r="A865">
        <v>864</v>
      </c>
      <c r="B865">
        <v>0</v>
      </c>
      <c r="C865" t="s">
        <v>1519</v>
      </c>
      <c r="D865" t="s">
        <v>1552</v>
      </c>
      <c r="E865" t="s">
        <v>1490</v>
      </c>
      <c r="F865" t="s">
        <v>724</v>
      </c>
      <c r="G865" t="s">
        <v>199</v>
      </c>
      <c r="H865" t="s">
        <v>10</v>
      </c>
      <c r="I865" t="s">
        <v>1523</v>
      </c>
      <c r="J865">
        <v>28</v>
      </c>
      <c r="K865" t="s">
        <v>1521</v>
      </c>
      <c r="L865" t="s">
        <v>1521</v>
      </c>
      <c r="M865">
        <v>8</v>
      </c>
      <c r="N865">
        <v>2</v>
      </c>
      <c r="O865">
        <v>11</v>
      </c>
      <c r="P865">
        <v>69.55</v>
      </c>
      <c r="Q865" t="s">
        <v>1528</v>
      </c>
      <c r="R865" t="s">
        <v>1514</v>
      </c>
    </row>
    <row r="866" spans="1:18" x14ac:dyDescent="0.45">
      <c r="A866">
        <v>865</v>
      </c>
      <c r="B866">
        <v>0</v>
      </c>
      <c r="C866" t="s">
        <v>1519</v>
      </c>
      <c r="D866" t="s">
        <v>1554</v>
      </c>
      <c r="E866" t="s">
        <v>1491</v>
      </c>
      <c r="F866" t="s">
        <v>722</v>
      </c>
      <c r="G866" t="s">
        <v>704</v>
      </c>
      <c r="H866" t="s">
        <v>9</v>
      </c>
      <c r="I866" t="s">
        <v>1520</v>
      </c>
      <c r="J866">
        <v>24</v>
      </c>
      <c r="K866" t="s">
        <v>1521</v>
      </c>
      <c r="L866" t="s">
        <v>1521</v>
      </c>
      <c r="M866">
        <v>0</v>
      </c>
      <c r="N866">
        <v>0</v>
      </c>
      <c r="O866">
        <v>1</v>
      </c>
      <c r="P866">
        <v>13</v>
      </c>
      <c r="Q866" t="s">
        <v>1528</v>
      </c>
      <c r="R866" t="s">
        <v>1514</v>
      </c>
    </row>
    <row r="867" spans="1:18" x14ac:dyDescent="0.45">
      <c r="A867">
        <v>866</v>
      </c>
      <c r="B867">
        <v>1</v>
      </c>
      <c r="C867" t="s">
        <v>1</v>
      </c>
      <c r="D867" t="s">
        <v>1554</v>
      </c>
      <c r="E867" t="s">
        <v>753</v>
      </c>
      <c r="F867" t="s">
        <v>723</v>
      </c>
      <c r="G867" t="s">
        <v>705</v>
      </c>
      <c r="H867" t="s">
        <v>10</v>
      </c>
      <c r="I867" t="s">
        <v>1523</v>
      </c>
      <c r="J867">
        <v>42</v>
      </c>
      <c r="K867" t="s">
        <v>1521</v>
      </c>
      <c r="L867" t="s">
        <v>1521</v>
      </c>
      <c r="M867">
        <v>0</v>
      </c>
      <c r="N867">
        <v>0</v>
      </c>
      <c r="O867">
        <v>1</v>
      </c>
      <c r="P867">
        <v>13</v>
      </c>
      <c r="Q867" t="s">
        <v>1528</v>
      </c>
      <c r="R867" t="s">
        <v>1514</v>
      </c>
    </row>
    <row r="868" spans="1:18" x14ac:dyDescent="0.45">
      <c r="A868">
        <v>867</v>
      </c>
      <c r="B868">
        <v>1</v>
      </c>
      <c r="C868" t="s">
        <v>1</v>
      </c>
      <c r="D868" t="s">
        <v>1554</v>
      </c>
      <c r="E868" t="s">
        <v>1492</v>
      </c>
      <c r="F868" t="s">
        <v>724</v>
      </c>
      <c r="G868" t="s">
        <v>706</v>
      </c>
      <c r="H868" t="s">
        <v>10</v>
      </c>
      <c r="I868" t="s">
        <v>1523</v>
      </c>
      <c r="J868">
        <v>27</v>
      </c>
      <c r="K868" t="s">
        <v>1521</v>
      </c>
      <c r="L868" t="s">
        <v>1521</v>
      </c>
      <c r="M868">
        <v>1</v>
      </c>
      <c r="N868">
        <v>0</v>
      </c>
      <c r="O868">
        <v>2</v>
      </c>
      <c r="P868">
        <v>13.8583</v>
      </c>
      <c r="Q868" t="s">
        <v>1528</v>
      </c>
      <c r="R868" t="s">
        <v>1515</v>
      </c>
    </row>
    <row r="869" spans="1:18" x14ac:dyDescent="0.45">
      <c r="A869">
        <v>868</v>
      </c>
      <c r="B869">
        <v>0</v>
      </c>
      <c r="C869" t="s">
        <v>1519</v>
      </c>
      <c r="D869" t="s">
        <v>1553</v>
      </c>
      <c r="E869" t="s">
        <v>1493</v>
      </c>
      <c r="F869" t="s">
        <v>722</v>
      </c>
      <c r="G869" t="s">
        <v>707</v>
      </c>
      <c r="H869" t="s">
        <v>9</v>
      </c>
      <c r="I869" t="s">
        <v>1520</v>
      </c>
      <c r="J869">
        <v>31</v>
      </c>
      <c r="K869" t="s">
        <v>1521</v>
      </c>
      <c r="L869" t="s">
        <v>1521</v>
      </c>
      <c r="M869">
        <v>0</v>
      </c>
      <c r="N869">
        <v>0</v>
      </c>
      <c r="O869">
        <v>1</v>
      </c>
      <c r="P869" t="s">
        <v>49</v>
      </c>
      <c r="Q869" t="s">
        <v>1528</v>
      </c>
      <c r="R869" t="s">
        <v>1514</v>
      </c>
    </row>
    <row r="870" spans="1:18" x14ac:dyDescent="0.45">
      <c r="A870">
        <v>869</v>
      </c>
      <c r="B870">
        <v>0</v>
      </c>
      <c r="C870" t="s">
        <v>1519</v>
      </c>
      <c r="D870" t="s">
        <v>1552</v>
      </c>
      <c r="E870" t="s">
        <v>1494</v>
      </c>
      <c r="F870" t="s">
        <v>722</v>
      </c>
      <c r="G870" t="s">
        <v>708</v>
      </c>
      <c r="H870" t="s">
        <v>9</v>
      </c>
      <c r="I870" t="s">
        <v>1520</v>
      </c>
      <c r="J870">
        <v>28</v>
      </c>
      <c r="K870" t="s">
        <v>1521</v>
      </c>
      <c r="L870" t="s">
        <v>1521</v>
      </c>
      <c r="M870">
        <v>0</v>
      </c>
      <c r="N870">
        <v>0</v>
      </c>
      <c r="O870">
        <v>1</v>
      </c>
      <c r="P870">
        <v>9.5</v>
      </c>
      <c r="Q870" t="s">
        <v>1528</v>
      </c>
      <c r="R870" t="s">
        <v>1514</v>
      </c>
    </row>
    <row r="871" spans="1:18" x14ac:dyDescent="0.45">
      <c r="A871">
        <v>870</v>
      </c>
      <c r="B871">
        <v>1</v>
      </c>
      <c r="C871" t="s">
        <v>1</v>
      </c>
      <c r="D871" t="s">
        <v>1552</v>
      </c>
      <c r="E871" t="s">
        <v>1495</v>
      </c>
      <c r="F871" t="s">
        <v>725</v>
      </c>
      <c r="G871" t="s">
        <v>63</v>
      </c>
      <c r="H871" t="s">
        <v>9</v>
      </c>
      <c r="I871" t="s">
        <v>1520</v>
      </c>
      <c r="J871">
        <v>4</v>
      </c>
      <c r="K871" t="s">
        <v>1524</v>
      </c>
      <c r="L871" t="s">
        <v>1524</v>
      </c>
      <c r="M871">
        <v>1</v>
      </c>
      <c r="N871">
        <v>1</v>
      </c>
      <c r="O871">
        <v>3</v>
      </c>
      <c r="P871">
        <v>11.1333</v>
      </c>
      <c r="Q871" t="s">
        <v>1528</v>
      </c>
      <c r="R871" t="s">
        <v>1514</v>
      </c>
    </row>
    <row r="872" spans="1:18" x14ac:dyDescent="0.45">
      <c r="A872">
        <v>871</v>
      </c>
      <c r="B872">
        <v>0</v>
      </c>
      <c r="C872" t="s">
        <v>1519</v>
      </c>
      <c r="D872" t="s">
        <v>1552</v>
      </c>
      <c r="E872" t="s">
        <v>1496</v>
      </c>
      <c r="F872" t="s">
        <v>722</v>
      </c>
      <c r="G872" t="s">
        <v>709</v>
      </c>
      <c r="H872" t="s">
        <v>9</v>
      </c>
      <c r="I872" t="s">
        <v>1520</v>
      </c>
      <c r="J872">
        <v>26</v>
      </c>
      <c r="K872" t="s">
        <v>1521</v>
      </c>
      <c r="L872" t="s">
        <v>1521</v>
      </c>
      <c r="M872">
        <v>0</v>
      </c>
      <c r="N872">
        <v>0</v>
      </c>
      <c r="O872">
        <v>1</v>
      </c>
      <c r="P872">
        <v>7.8958000000000004</v>
      </c>
      <c r="Q872" t="s">
        <v>1528</v>
      </c>
      <c r="R872" t="s">
        <v>1514</v>
      </c>
    </row>
    <row r="873" spans="1:18" x14ac:dyDescent="0.45">
      <c r="A873">
        <v>872</v>
      </c>
      <c r="B873">
        <v>1</v>
      </c>
      <c r="C873" t="s">
        <v>1</v>
      </c>
      <c r="D873" t="s">
        <v>1553</v>
      </c>
      <c r="E873" t="s">
        <v>1497</v>
      </c>
      <c r="F873" t="s">
        <v>723</v>
      </c>
      <c r="G873" t="s">
        <v>272</v>
      </c>
      <c r="H873" t="s">
        <v>10</v>
      </c>
      <c r="I873" t="s">
        <v>1523</v>
      </c>
      <c r="J873">
        <v>47</v>
      </c>
      <c r="K873" t="s">
        <v>1521</v>
      </c>
      <c r="L873" t="s">
        <v>1521</v>
      </c>
      <c r="M873">
        <v>1</v>
      </c>
      <c r="N873">
        <v>1</v>
      </c>
      <c r="O873">
        <v>3</v>
      </c>
      <c r="P873">
        <v>52.554200000000002</v>
      </c>
      <c r="Q873" t="s">
        <v>1528</v>
      </c>
      <c r="R873" t="s">
        <v>1514</v>
      </c>
    </row>
    <row r="874" spans="1:18" x14ac:dyDescent="0.45">
      <c r="A874">
        <v>873</v>
      </c>
      <c r="B874">
        <v>0</v>
      </c>
      <c r="C874" t="s">
        <v>1519</v>
      </c>
      <c r="D874" t="s">
        <v>1553</v>
      </c>
      <c r="E874" t="s">
        <v>1498</v>
      </c>
      <c r="F874" t="s">
        <v>722</v>
      </c>
      <c r="G874" t="s">
        <v>638</v>
      </c>
      <c r="H874" t="s">
        <v>9</v>
      </c>
      <c r="I874" t="s">
        <v>1520</v>
      </c>
      <c r="J874">
        <v>33</v>
      </c>
      <c r="K874" t="s">
        <v>1521</v>
      </c>
      <c r="L874" t="s">
        <v>1521</v>
      </c>
      <c r="M874">
        <v>0</v>
      </c>
      <c r="N874">
        <v>0</v>
      </c>
      <c r="O874">
        <v>1</v>
      </c>
      <c r="P874">
        <v>5</v>
      </c>
      <c r="Q874" t="s">
        <v>1528</v>
      </c>
      <c r="R874" t="s">
        <v>1514</v>
      </c>
    </row>
    <row r="875" spans="1:18" x14ac:dyDescent="0.45">
      <c r="A875">
        <v>874</v>
      </c>
      <c r="B875">
        <v>0</v>
      </c>
      <c r="C875" t="s">
        <v>1519</v>
      </c>
      <c r="D875" t="s">
        <v>1552</v>
      </c>
      <c r="E875" t="s">
        <v>874</v>
      </c>
      <c r="F875" t="s">
        <v>722</v>
      </c>
      <c r="G875" t="s">
        <v>710</v>
      </c>
      <c r="H875" t="s">
        <v>9</v>
      </c>
      <c r="I875" t="s">
        <v>1520</v>
      </c>
      <c r="J875">
        <v>47</v>
      </c>
      <c r="K875" t="s">
        <v>1521</v>
      </c>
      <c r="L875" t="s">
        <v>1521</v>
      </c>
      <c r="M875">
        <v>0</v>
      </c>
      <c r="N875">
        <v>0</v>
      </c>
      <c r="O875">
        <v>1</v>
      </c>
      <c r="P875">
        <v>9</v>
      </c>
      <c r="Q875" t="s">
        <v>1528</v>
      </c>
      <c r="R875" t="s">
        <v>1514</v>
      </c>
    </row>
    <row r="876" spans="1:18" x14ac:dyDescent="0.45">
      <c r="A876">
        <v>875</v>
      </c>
      <c r="B876">
        <v>1</v>
      </c>
      <c r="C876" t="s">
        <v>1</v>
      </c>
      <c r="D876" t="s">
        <v>1554</v>
      </c>
      <c r="E876" t="s">
        <v>1398</v>
      </c>
      <c r="F876" t="s">
        <v>723</v>
      </c>
      <c r="G876" t="s">
        <v>322</v>
      </c>
      <c r="H876" t="s">
        <v>10</v>
      </c>
      <c r="I876" t="s">
        <v>1523</v>
      </c>
      <c r="J876">
        <v>28</v>
      </c>
      <c r="K876" t="s">
        <v>1521</v>
      </c>
      <c r="L876" t="s">
        <v>1521</v>
      </c>
      <c r="M876">
        <v>1</v>
      </c>
      <c r="N876">
        <v>0</v>
      </c>
      <c r="O876">
        <v>2</v>
      </c>
      <c r="P876">
        <v>24</v>
      </c>
      <c r="Q876" t="s">
        <v>1528</v>
      </c>
      <c r="R876" t="s">
        <v>1515</v>
      </c>
    </row>
    <row r="877" spans="1:18" x14ac:dyDescent="0.45">
      <c r="A877">
        <v>876</v>
      </c>
      <c r="B877">
        <v>1</v>
      </c>
      <c r="C877" t="s">
        <v>1</v>
      </c>
      <c r="D877" t="s">
        <v>1552</v>
      </c>
      <c r="E877" t="s">
        <v>1499</v>
      </c>
      <c r="F877" t="s">
        <v>724</v>
      </c>
      <c r="G877" t="s">
        <v>711</v>
      </c>
      <c r="H877" t="s">
        <v>10</v>
      </c>
      <c r="I877" t="s">
        <v>1523</v>
      </c>
      <c r="J877">
        <v>15</v>
      </c>
      <c r="K877" t="s">
        <v>1525</v>
      </c>
      <c r="L877" t="s">
        <v>1525</v>
      </c>
      <c r="M877">
        <v>0</v>
      </c>
      <c r="N877">
        <v>0</v>
      </c>
      <c r="O877">
        <v>1</v>
      </c>
      <c r="P877">
        <v>7.2249999999999996</v>
      </c>
      <c r="Q877" t="s">
        <v>1528</v>
      </c>
      <c r="R877" t="s">
        <v>1515</v>
      </c>
    </row>
    <row r="878" spans="1:18" x14ac:dyDescent="0.45">
      <c r="A878">
        <v>877</v>
      </c>
      <c r="B878">
        <v>0</v>
      </c>
      <c r="C878" t="s">
        <v>1519</v>
      </c>
      <c r="D878" t="s">
        <v>1552</v>
      </c>
      <c r="E878" t="s">
        <v>1500</v>
      </c>
      <c r="F878" t="s">
        <v>722</v>
      </c>
      <c r="G878" t="s">
        <v>154</v>
      </c>
      <c r="H878" t="s">
        <v>9</v>
      </c>
      <c r="I878" t="s">
        <v>1520</v>
      </c>
      <c r="J878">
        <v>20</v>
      </c>
      <c r="K878" t="s">
        <v>1521</v>
      </c>
      <c r="L878" t="s">
        <v>1521</v>
      </c>
      <c r="M878">
        <v>0</v>
      </c>
      <c r="N878">
        <v>0</v>
      </c>
      <c r="O878">
        <v>1</v>
      </c>
      <c r="P878">
        <v>9.8458000000000006</v>
      </c>
      <c r="Q878" t="s">
        <v>1528</v>
      </c>
      <c r="R878" t="s">
        <v>1514</v>
      </c>
    </row>
    <row r="879" spans="1:18" x14ac:dyDescent="0.45">
      <c r="A879">
        <v>878</v>
      </c>
      <c r="B879">
        <v>0</v>
      </c>
      <c r="C879" t="s">
        <v>1519</v>
      </c>
      <c r="D879" t="s">
        <v>1552</v>
      </c>
      <c r="E879" t="s">
        <v>1501</v>
      </c>
      <c r="F879" t="s">
        <v>722</v>
      </c>
      <c r="G879" t="s">
        <v>151</v>
      </c>
      <c r="H879" t="s">
        <v>9</v>
      </c>
      <c r="I879" t="s">
        <v>1520</v>
      </c>
      <c r="J879">
        <v>19</v>
      </c>
      <c r="K879" t="s">
        <v>1521</v>
      </c>
      <c r="L879" t="s">
        <v>1521</v>
      </c>
      <c r="M879">
        <v>0</v>
      </c>
      <c r="N879">
        <v>0</v>
      </c>
      <c r="O879">
        <v>1</v>
      </c>
      <c r="P879">
        <v>7.8958000000000004</v>
      </c>
      <c r="Q879" t="s">
        <v>1528</v>
      </c>
      <c r="R879" t="s">
        <v>1514</v>
      </c>
    </row>
    <row r="880" spans="1:18" x14ac:dyDescent="0.45">
      <c r="A880">
        <v>879</v>
      </c>
      <c r="B880">
        <v>0</v>
      </c>
      <c r="C880" t="s">
        <v>1519</v>
      </c>
      <c r="D880" t="s">
        <v>1552</v>
      </c>
      <c r="E880" t="s">
        <v>1502</v>
      </c>
      <c r="F880" t="s">
        <v>722</v>
      </c>
      <c r="G880" t="s">
        <v>712</v>
      </c>
      <c r="H880" t="s">
        <v>9</v>
      </c>
      <c r="I880" t="s">
        <v>1520</v>
      </c>
      <c r="J880">
        <v>28</v>
      </c>
      <c r="K880" t="s">
        <v>1521</v>
      </c>
      <c r="L880" t="s">
        <v>1521</v>
      </c>
      <c r="M880">
        <v>0</v>
      </c>
      <c r="N880">
        <v>0</v>
      </c>
      <c r="O880">
        <v>1</v>
      </c>
      <c r="P880">
        <v>7.8958000000000004</v>
      </c>
      <c r="Q880" t="s">
        <v>1528</v>
      </c>
      <c r="R880" t="s">
        <v>1514</v>
      </c>
    </row>
    <row r="881" spans="1:18" x14ac:dyDescent="0.45">
      <c r="A881">
        <v>880</v>
      </c>
      <c r="B881">
        <v>1</v>
      </c>
      <c r="C881" t="s">
        <v>1</v>
      </c>
      <c r="D881" t="s">
        <v>1553</v>
      </c>
      <c r="E881" t="s">
        <v>1503</v>
      </c>
      <c r="F881" t="s">
        <v>723</v>
      </c>
      <c r="G881" t="s">
        <v>713</v>
      </c>
      <c r="H881" t="s">
        <v>10</v>
      </c>
      <c r="I881" t="s">
        <v>1523</v>
      </c>
      <c r="J881">
        <v>56</v>
      </c>
      <c r="K881" t="s">
        <v>1521</v>
      </c>
      <c r="L881" t="s">
        <v>1521</v>
      </c>
      <c r="M881">
        <v>0</v>
      </c>
      <c r="N881">
        <v>1</v>
      </c>
      <c r="O881">
        <v>2</v>
      </c>
      <c r="P881">
        <v>83.158299999999997</v>
      </c>
      <c r="Q881" t="s">
        <v>1528</v>
      </c>
      <c r="R881" t="s">
        <v>1515</v>
      </c>
    </row>
    <row r="882" spans="1:18" x14ac:dyDescent="0.45">
      <c r="A882">
        <v>881</v>
      </c>
      <c r="B882">
        <v>1</v>
      </c>
      <c r="C882" t="s">
        <v>1</v>
      </c>
      <c r="D882" t="s">
        <v>1554</v>
      </c>
      <c r="E882" t="s">
        <v>901</v>
      </c>
      <c r="F882" t="s">
        <v>723</v>
      </c>
      <c r="G882" t="s">
        <v>714</v>
      </c>
      <c r="H882" t="s">
        <v>10</v>
      </c>
      <c r="I882" t="s">
        <v>1523</v>
      </c>
      <c r="J882">
        <v>25</v>
      </c>
      <c r="K882" t="s">
        <v>1521</v>
      </c>
      <c r="L882" t="s">
        <v>1521</v>
      </c>
      <c r="M882">
        <v>0</v>
      </c>
      <c r="N882">
        <v>1</v>
      </c>
      <c r="O882">
        <v>2</v>
      </c>
      <c r="P882">
        <v>26</v>
      </c>
      <c r="Q882" t="s">
        <v>1528</v>
      </c>
      <c r="R882" t="s">
        <v>1514</v>
      </c>
    </row>
    <row r="883" spans="1:18" x14ac:dyDescent="0.45">
      <c r="A883">
        <v>882</v>
      </c>
      <c r="B883">
        <v>0</v>
      </c>
      <c r="C883" t="s">
        <v>1519</v>
      </c>
      <c r="D883" t="s">
        <v>1552</v>
      </c>
      <c r="E883" t="s">
        <v>1504</v>
      </c>
      <c r="F883" t="s">
        <v>722</v>
      </c>
      <c r="G883" t="s">
        <v>715</v>
      </c>
      <c r="H883" t="s">
        <v>9</v>
      </c>
      <c r="I883" t="s">
        <v>1520</v>
      </c>
      <c r="J883">
        <v>33</v>
      </c>
      <c r="K883" t="s">
        <v>1521</v>
      </c>
      <c r="L883" t="s">
        <v>1521</v>
      </c>
      <c r="M883">
        <v>0</v>
      </c>
      <c r="N883">
        <v>0</v>
      </c>
      <c r="O883">
        <v>1</v>
      </c>
      <c r="P883">
        <v>7.8958000000000004</v>
      </c>
      <c r="Q883" t="s">
        <v>1528</v>
      </c>
      <c r="R883" t="s">
        <v>1514</v>
      </c>
    </row>
    <row r="884" spans="1:18" x14ac:dyDescent="0.45">
      <c r="A884">
        <v>883</v>
      </c>
      <c r="B884">
        <v>0</v>
      </c>
      <c r="C884" t="s">
        <v>1519</v>
      </c>
      <c r="D884" t="s">
        <v>1552</v>
      </c>
      <c r="E884" t="s">
        <v>1505</v>
      </c>
      <c r="F884" t="s">
        <v>724</v>
      </c>
      <c r="G884" t="s">
        <v>716</v>
      </c>
      <c r="H884" t="s">
        <v>10</v>
      </c>
      <c r="I884" t="s">
        <v>1523</v>
      </c>
      <c r="J884">
        <v>22</v>
      </c>
      <c r="K884" t="s">
        <v>1521</v>
      </c>
      <c r="L884" t="s">
        <v>1521</v>
      </c>
      <c r="M884">
        <v>0</v>
      </c>
      <c r="N884">
        <v>0</v>
      </c>
      <c r="O884">
        <v>1</v>
      </c>
      <c r="P884" t="s">
        <v>50</v>
      </c>
      <c r="Q884" t="s">
        <v>1528</v>
      </c>
      <c r="R884" t="s">
        <v>1514</v>
      </c>
    </row>
    <row r="885" spans="1:18" x14ac:dyDescent="0.45">
      <c r="A885">
        <v>884</v>
      </c>
      <c r="B885">
        <v>0</v>
      </c>
      <c r="C885" t="s">
        <v>1519</v>
      </c>
      <c r="D885" t="s">
        <v>1554</v>
      </c>
      <c r="E885" t="s">
        <v>1506</v>
      </c>
      <c r="F885" t="s">
        <v>722</v>
      </c>
      <c r="G885" t="s">
        <v>717</v>
      </c>
      <c r="H885" t="s">
        <v>9</v>
      </c>
      <c r="I885" t="s">
        <v>1520</v>
      </c>
      <c r="J885">
        <v>28</v>
      </c>
      <c r="K885" t="s">
        <v>1521</v>
      </c>
      <c r="L885" t="s">
        <v>1521</v>
      </c>
      <c r="M885">
        <v>0</v>
      </c>
      <c r="N885">
        <v>0</v>
      </c>
      <c r="O885">
        <v>1</v>
      </c>
      <c r="P885" t="s">
        <v>18</v>
      </c>
      <c r="Q885" t="s">
        <v>1528</v>
      </c>
      <c r="R885" t="s">
        <v>1514</v>
      </c>
    </row>
    <row r="886" spans="1:18" x14ac:dyDescent="0.45">
      <c r="A886">
        <v>885</v>
      </c>
      <c r="B886">
        <v>0</v>
      </c>
      <c r="C886" t="s">
        <v>1519</v>
      </c>
      <c r="D886" t="s">
        <v>1552</v>
      </c>
      <c r="E886" t="s">
        <v>1507</v>
      </c>
      <c r="F886" t="s">
        <v>722</v>
      </c>
      <c r="G886" t="s">
        <v>718</v>
      </c>
      <c r="H886" t="s">
        <v>9</v>
      </c>
      <c r="I886" t="s">
        <v>1520</v>
      </c>
      <c r="J886">
        <v>25</v>
      </c>
      <c r="K886" t="s">
        <v>1521</v>
      </c>
      <c r="L886" t="s">
        <v>1521</v>
      </c>
      <c r="M886">
        <v>0</v>
      </c>
      <c r="N886">
        <v>0</v>
      </c>
      <c r="O886">
        <v>1</v>
      </c>
      <c r="P886" t="s">
        <v>22</v>
      </c>
      <c r="Q886" t="s">
        <v>1528</v>
      </c>
      <c r="R886" t="s">
        <v>1514</v>
      </c>
    </row>
    <row r="887" spans="1:18" x14ac:dyDescent="0.45">
      <c r="A887">
        <v>886</v>
      </c>
      <c r="B887">
        <v>0</v>
      </c>
      <c r="C887" t="s">
        <v>1519</v>
      </c>
      <c r="D887" t="s">
        <v>1552</v>
      </c>
      <c r="E887" t="s">
        <v>901</v>
      </c>
      <c r="F887" t="s">
        <v>723</v>
      </c>
      <c r="G887" t="s">
        <v>71</v>
      </c>
      <c r="H887" t="s">
        <v>10</v>
      </c>
      <c r="I887" t="s">
        <v>1523</v>
      </c>
      <c r="J887">
        <v>39</v>
      </c>
      <c r="K887" t="s">
        <v>1521</v>
      </c>
      <c r="L887" t="s">
        <v>1521</v>
      </c>
      <c r="M887">
        <v>0</v>
      </c>
      <c r="N887">
        <v>5</v>
      </c>
      <c r="O887">
        <v>6</v>
      </c>
      <c r="P887">
        <v>29.125</v>
      </c>
      <c r="Q887" t="s">
        <v>1528</v>
      </c>
      <c r="R887" t="s">
        <v>1516</v>
      </c>
    </row>
    <row r="888" spans="1:18" x14ac:dyDescent="0.45">
      <c r="A888">
        <v>887</v>
      </c>
      <c r="B888">
        <v>0</v>
      </c>
      <c r="C888" t="s">
        <v>1519</v>
      </c>
      <c r="D888" t="s">
        <v>1554</v>
      </c>
      <c r="E888" t="s">
        <v>1508</v>
      </c>
      <c r="F888" t="s">
        <v>727</v>
      </c>
      <c r="G888" t="s">
        <v>719</v>
      </c>
      <c r="H888" t="s">
        <v>9</v>
      </c>
      <c r="I888" t="s">
        <v>1520</v>
      </c>
      <c r="J888">
        <v>27</v>
      </c>
      <c r="K888" t="s">
        <v>1521</v>
      </c>
      <c r="L888" t="s">
        <v>1521</v>
      </c>
      <c r="M888">
        <v>0</v>
      </c>
      <c r="N888">
        <v>0</v>
      </c>
      <c r="O888">
        <v>1</v>
      </c>
      <c r="P888">
        <v>13</v>
      </c>
      <c r="Q888" t="s">
        <v>1528</v>
      </c>
      <c r="R888" t="s">
        <v>1514</v>
      </c>
    </row>
    <row r="889" spans="1:18" x14ac:dyDescent="0.45">
      <c r="A889">
        <v>888</v>
      </c>
      <c r="B889">
        <v>1</v>
      </c>
      <c r="C889" t="s">
        <v>1</v>
      </c>
      <c r="D889" t="s">
        <v>1553</v>
      </c>
      <c r="E889" t="s">
        <v>1509</v>
      </c>
      <c r="F889" t="s">
        <v>724</v>
      </c>
      <c r="G889" t="s">
        <v>288</v>
      </c>
      <c r="H889" t="s">
        <v>10</v>
      </c>
      <c r="I889" t="s">
        <v>1523</v>
      </c>
      <c r="J889">
        <v>19</v>
      </c>
      <c r="K889" t="s">
        <v>1521</v>
      </c>
      <c r="L889" t="s">
        <v>1521</v>
      </c>
      <c r="M889">
        <v>0</v>
      </c>
      <c r="N889">
        <v>0</v>
      </c>
      <c r="O889">
        <v>1</v>
      </c>
      <c r="P889">
        <v>314.45420000000001</v>
      </c>
      <c r="Q889" t="s">
        <v>1528</v>
      </c>
      <c r="R889" t="s">
        <v>1514</v>
      </c>
    </row>
    <row r="890" spans="1:18" x14ac:dyDescent="0.45">
      <c r="A890">
        <v>889</v>
      </c>
      <c r="B890">
        <v>0</v>
      </c>
      <c r="C890" t="s">
        <v>1519</v>
      </c>
      <c r="D890" t="s">
        <v>1552</v>
      </c>
      <c r="E890" t="s">
        <v>1510</v>
      </c>
      <c r="F890" t="s">
        <v>724</v>
      </c>
      <c r="G890" t="s">
        <v>659</v>
      </c>
      <c r="H890" t="s">
        <v>10</v>
      </c>
      <c r="I890" t="s">
        <v>1523</v>
      </c>
      <c r="J890">
        <v>28</v>
      </c>
      <c r="K890" t="s">
        <v>1521</v>
      </c>
      <c r="L890" t="s">
        <v>1521</v>
      </c>
      <c r="M890">
        <v>1</v>
      </c>
      <c r="N890">
        <v>2</v>
      </c>
      <c r="O890">
        <v>4</v>
      </c>
      <c r="P890">
        <v>23.45</v>
      </c>
      <c r="Q890" t="s">
        <v>1528</v>
      </c>
      <c r="R890" t="s">
        <v>1514</v>
      </c>
    </row>
    <row r="891" spans="1:18" x14ac:dyDescent="0.45">
      <c r="A891">
        <v>890</v>
      </c>
      <c r="B891">
        <v>1</v>
      </c>
      <c r="C891" t="s">
        <v>1</v>
      </c>
      <c r="D891" t="s">
        <v>1553</v>
      </c>
      <c r="E891" t="s">
        <v>1511</v>
      </c>
      <c r="F891" t="s">
        <v>722</v>
      </c>
      <c r="G891" t="s">
        <v>720</v>
      </c>
      <c r="H891" t="s">
        <v>9</v>
      </c>
      <c r="I891" t="s">
        <v>1520</v>
      </c>
      <c r="J891">
        <v>26</v>
      </c>
      <c r="K891" t="s">
        <v>1521</v>
      </c>
      <c r="L891" t="s">
        <v>1521</v>
      </c>
      <c r="M891">
        <v>0</v>
      </c>
      <c r="N891">
        <v>0</v>
      </c>
      <c r="O891">
        <v>1</v>
      </c>
      <c r="P891">
        <v>314.45420000000001</v>
      </c>
      <c r="Q891" t="s">
        <v>1528</v>
      </c>
      <c r="R891" t="s">
        <v>1515</v>
      </c>
    </row>
    <row r="892" spans="1:18" x14ac:dyDescent="0.45">
      <c r="A892">
        <v>891</v>
      </c>
      <c r="B892">
        <v>0</v>
      </c>
      <c r="C892" t="s">
        <v>1519</v>
      </c>
      <c r="D892" t="s">
        <v>1552</v>
      </c>
      <c r="E892" t="s">
        <v>851</v>
      </c>
      <c r="F892" t="s">
        <v>722</v>
      </c>
      <c r="G892" t="s">
        <v>721</v>
      </c>
      <c r="H892" t="s">
        <v>9</v>
      </c>
      <c r="I892" t="s">
        <v>1520</v>
      </c>
      <c r="J892">
        <v>32</v>
      </c>
      <c r="K892" t="s">
        <v>1521</v>
      </c>
      <c r="L892" t="s">
        <v>1521</v>
      </c>
      <c r="M892">
        <v>0</v>
      </c>
      <c r="N892">
        <v>0</v>
      </c>
      <c r="O892">
        <v>1</v>
      </c>
      <c r="P892">
        <v>7.75</v>
      </c>
      <c r="Q892" t="s">
        <v>1528</v>
      </c>
      <c r="R892" t="s">
        <v>1516</v>
      </c>
    </row>
  </sheetData>
  <autoFilter ref="A1:R892" xr:uid="{E24405D8-CD66-4315-A4D9-3A2486E7542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5598-1AA2-4E9C-9725-EBBCA39C8B3D}">
  <dimension ref="A1:F57"/>
  <sheetViews>
    <sheetView workbookViewId="0">
      <selection activeCell="V31" sqref="V31"/>
    </sheetView>
  </sheetViews>
  <sheetFormatPr defaultRowHeight="14.25" x14ac:dyDescent="0.45"/>
  <cols>
    <col min="1" max="1" width="10" bestFit="1" customWidth="1"/>
    <col min="2" max="2" width="11.265625" bestFit="1" customWidth="1"/>
    <col min="3" max="3" width="14.53125" bestFit="1" customWidth="1"/>
    <col min="4" max="4" width="9.59765625" customWidth="1"/>
  </cols>
  <sheetData>
    <row r="1" spans="1:3" x14ac:dyDescent="0.45">
      <c r="A1" t="s">
        <v>1529</v>
      </c>
      <c r="C1" t="s">
        <v>1530</v>
      </c>
    </row>
    <row r="2" spans="1:3" x14ac:dyDescent="0.45">
      <c r="A2">
        <v>891</v>
      </c>
      <c r="B2">
        <f>GETPIVOTDATA("PassengerId",$A$1)</f>
        <v>891</v>
      </c>
      <c r="C2" t="s">
        <v>1531</v>
      </c>
    </row>
    <row r="5" spans="1:3" x14ac:dyDescent="0.45">
      <c r="A5" s="2" t="s">
        <v>1532</v>
      </c>
      <c r="B5" t="s">
        <v>1529</v>
      </c>
      <c r="C5" t="s">
        <v>1534</v>
      </c>
    </row>
    <row r="6" spans="1:3" x14ac:dyDescent="0.45">
      <c r="A6" s="3" t="s">
        <v>1519</v>
      </c>
      <c r="B6">
        <v>549</v>
      </c>
      <c r="C6" s="4">
        <f>GETPIVOTDATA("PassengerId",$A$5,"New Survived","Not Survived")/891</f>
        <v>0.61616161616161613</v>
      </c>
    </row>
    <row r="7" spans="1:3" x14ac:dyDescent="0.45">
      <c r="A7" s="3" t="s">
        <v>1</v>
      </c>
      <c r="B7">
        <v>342</v>
      </c>
      <c r="C7" s="4">
        <f>GETPIVOTDATA("PassengerId",$A$5,"New Survived","Survived")/891</f>
        <v>0.38383838383838381</v>
      </c>
    </row>
    <row r="8" spans="1:3" x14ac:dyDescent="0.45">
      <c r="A8" s="3" t="s">
        <v>1533</v>
      </c>
      <c r="B8">
        <v>891</v>
      </c>
    </row>
    <row r="11" spans="1:3" x14ac:dyDescent="0.45">
      <c r="A11" s="2" t="s">
        <v>1532</v>
      </c>
      <c r="B11" t="s">
        <v>1529</v>
      </c>
      <c r="C11" t="s">
        <v>1535</v>
      </c>
    </row>
    <row r="12" spans="1:3" x14ac:dyDescent="0.45">
      <c r="A12" s="3" t="s">
        <v>1523</v>
      </c>
      <c r="B12">
        <v>314</v>
      </c>
      <c r="C12" s="4">
        <f>GETPIVOTDATA("PassengerId",$A$11,"Gender","Female")/891</f>
        <v>0.35241301907968575</v>
      </c>
    </row>
    <row r="13" spans="1:3" x14ac:dyDescent="0.45">
      <c r="A13" s="3" t="s">
        <v>1520</v>
      </c>
      <c r="B13">
        <v>577</v>
      </c>
      <c r="C13" s="4">
        <f>GETPIVOTDATA("PassengerId",$A$11,"Gender","Male")/891</f>
        <v>0.6475869809203143</v>
      </c>
    </row>
    <row r="14" spans="1:3" x14ac:dyDescent="0.45">
      <c r="A14" s="3" t="s">
        <v>1533</v>
      </c>
      <c r="B14">
        <v>891</v>
      </c>
    </row>
    <row r="17" spans="1:6" x14ac:dyDescent="0.45">
      <c r="A17" t="s">
        <v>1537</v>
      </c>
      <c r="B17" t="s">
        <v>1538</v>
      </c>
      <c r="C17" t="s">
        <v>1536</v>
      </c>
      <c r="D17" t="s">
        <v>1539</v>
      </c>
      <c r="E17" t="s">
        <v>1540</v>
      </c>
      <c r="F17" t="s">
        <v>1541</v>
      </c>
    </row>
    <row r="18" spans="1:6" x14ac:dyDescent="0.45">
      <c r="A18">
        <v>80</v>
      </c>
      <c r="B18">
        <v>29.361582491582489</v>
      </c>
      <c r="C18">
        <v>0.42</v>
      </c>
      <c r="D18" s="5">
        <f>GETPIVOTDATA("Min of Age",$A$17)</f>
        <v>0.42</v>
      </c>
      <c r="E18">
        <f>GETPIVOTDATA("Max of Age2",$A$17)</f>
        <v>80</v>
      </c>
      <c r="F18" s="5">
        <f>GETPIVOTDATA("Average of Age3",$A$17)</f>
        <v>29.361582491582489</v>
      </c>
    </row>
    <row r="20" spans="1:6" x14ac:dyDescent="0.45">
      <c r="A20" s="6" t="s">
        <v>1532</v>
      </c>
      <c r="B20" s="3" t="s">
        <v>1529</v>
      </c>
      <c r="C20" s="3" t="s">
        <v>1542</v>
      </c>
    </row>
    <row r="21" spans="1:6" x14ac:dyDescent="0.45">
      <c r="A21" s="3" t="s">
        <v>1516</v>
      </c>
      <c r="B21" s="3">
        <v>77</v>
      </c>
      <c r="C21" s="7">
        <f>168/891</f>
        <v>0.18855218855218855</v>
      </c>
    </row>
    <row r="22" spans="1:6" x14ac:dyDescent="0.45">
      <c r="A22" s="3" t="s">
        <v>1515</v>
      </c>
      <c r="B22" s="3">
        <v>168</v>
      </c>
      <c r="C22" s="7">
        <f>77/891</f>
        <v>8.6419753086419748E-2</v>
      </c>
    </row>
    <row r="23" spans="1:6" x14ac:dyDescent="0.45">
      <c r="A23" s="3" t="s">
        <v>1514</v>
      </c>
      <c r="B23" s="3">
        <v>646</v>
      </c>
      <c r="C23" s="7">
        <f>GETPIVOTDATA("PassengerId",$A$20,"Embarked","Southampton")/891</f>
        <v>0.72502805836139173</v>
      </c>
    </row>
    <row r="24" spans="1:6" x14ac:dyDescent="0.45">
      <c r="A24" s="3" t="s">
        <v>1533</v>
      </c>
      <c r="B24">
        <v>891</v>
      </c>
    </row>
    <row r="27" spans="1:6" x14ac:dyDescent="0.45">
      <c r="A27" s="2" t="s">
        <v>1543</v>
      </c>
      <c r="B27" t="s">
        <v>1529</v>
      </c>
      <c r="C27" t="s">
        <v>1543</v>
      </c>
    </row>
    <row r="28" spans="1:6" x14ac:dyDescent="0.45">
      <c r="A28" s="3">
        <v>1</v>
      </c>
      <c r="B28">
        <v>537</v>
      </c>
      <c r="C28" s="5">
        <f>GETPIVOTDATA("PassengerId",$A$27,"Family Size",1)</f>
        <v>537</v>
      </c>
    </row>
    <row r="29" spans="1:6" x14ac:dyDescent="0.45">
      <c r="A29" s="3">
        <v>2</v>
      </c>
      <c r="B29">
        <v>161</v>
      </c>
      <c r="C29" s="5">
        <f>GETPIVOTDATA("PassengerId",$A$27,"Family Size",2)</f>
        <v>161</v>
      </c>
    </row>
    <row r="30" spans="1:6" x14ac:dyDescent="0.45">
      <c r="A30" s="3">
        <v>3</v>
      </c>
      <c r="B30">
        <v>102</v>
      </c>
      <c r="C30" s="5">
        <f>GETPIVOTDATA("PassengerId",$A$27,"Family Size",3)</f>
        <v>102</v>
      </c>
    </row>
    <row r="31" spans="1:6" x14ac:dyDescent="0.45">
      <c r="A31" s="3">
        <v>4</v>
      </c>
      <c r="B31">
        <v>29</v>
      </c>
      <c r="C31" s="5">
        <f>GETPIVOTDATA("PassengerId",$A$27,"Family Size",4)</f>
        <v>29</v>
      </c>
    </row>
    <row r="32" spans="1:6" x14ac:dyDescent="0.45">
      <c r="A32" s="3">
        <v>6</v>
      </c>
      <c r="B32">
        <v>22</v>
      </c>
      <c r="C32" s="5">
        <f>GETPIVOTDATA("PassengerId",$A$27,"Family Size",5)</f>
        <v>15</v>
      </c>
    </row>
    <row r="33" spans="1:6" x14ac:dyDescent="0.45">
      <c r="A33" s="3">
        <v>5</v>
      </c>
      <c r="B33">
        <v>15</v>
      </c>
      <c r="C33" s="5">
        <f>GETPIVOTDATA("PassengerId",$A$27,"Family Size",6)</f>
        <v>22</v>
      </c>
    </row>
    <row r="34" spans="1:6" x14ac:dyDescent="0.45">
      <c r="A34" s="3">
        <v>7</v>
      </c>
      <c r="B34">
        <v>12</v>
      </c>
      <c r="C34" s="5">
        <f>GETPIVOTDATA("PassengerId",$A$27,"Family Size",7)</f>
        <v>12</v>
      </c>
    </row>
    <row r="35" spans="1:6" x14ac:dyDescent="0.45">
      <c r="A35" s="3">
        <v>11</v>
      </c>
      <c r="B35">
        <v>7</v>
      </c>
      <c r="C35" s="5">
        <f>GETPIVOTDATA("PassengerId",$A$27,"Family Size",8)</f>
        <v>6</v>
      </c>
    </row>
    <row r="36" spans="1:6" x14ac:dyDescent="0.45">
      <c r="A36" s="3">
        <v>8</v>
      </c>
      <c r="B36">
        <v>6</v>
      </c>
      <c r="C36" s="5">
        <f>GETPIVOTDATA("PassengerId",$A$27,"Family Size",11)</f>
        <v>7</v>
      </c>
    </row>
    <row r="37" spans="1:6" x14ac:dyDescent="0.45">
      <c r="A37" s="3" t="s">
        <v>1533</v>
      </c>
      <c r="B37">
        <v>891</v>
      </c>
    </row>
    <row r="40" spans="1:6" x14ac:dyDescent="0.45">
      <c r="A40" s="2" t="s">
        <v>1517</v>
      </c>
      <c r="B40" t="s">
        <v>1529</v>
      </c>
      <c r="C40" t="s">
        <v>1517</v>
      </c>
    </row>
    <row r="41" spans="1:6" x14ac:dyDescent="0.45">
      <c r="A41" s="3" t="s">
        <v>1522</v>
      </c>
      <c r="B41">
        <v>10</v>
      </c>
      <c r="C41" s="5">
        <f>GETPIVOTDATA("PassengerId",$A$40,"Fare Category","High")</f>
        <v>841</v>
      </c>
    </row>
    <row r="42" spans="1:6" x14ac:dyDescent="0.45">
      <c r="A42" s="3" t="s">
        <v>1526</v>
      </c>
      <c r="B42">
        <v>40</v>
      </c>
      <c r="C42">
        <f>GETPIVOTDATA("PassengerId",$A$40,"Fare Category","Low")</f>
        <v>10</v>
      </c>
    </row>
    <row r="43" spans="1:6" x14ac:dyDescent="0.45">
      <c r="A43" s="3" t="s">
        <v>1528</v>
      </c>
      <c r="B43">
        <v>841</v>
      </c>
      <c r="C43">
        <f>GETPIVOTDATA("PassengerId",$A$40,"Fare Category","Medium")</f>
        <v>40</v>
      </c>
    </row>
    <row r="44" spans="1:6" x14ac:dyDescent="0.45">
      <c r="A44" s="3" t="s">
        <v>1533</v>
      </c>
      <c r="B44">
        <v>891</v>
      </c>
    </row>
    <row r="46" spans="1:6" x14ac:dyDescent="0.45">
      <c r="A46" t="s">
        <v>1544</v>
      </c>
      <c r="B46" t="s">
        <v>1545</v>
      </c>
      <c r="C46" t="s">
        <v>1546</v>
      </c>
      <c r="D46" t="s">
        <v>1547</v>
      </c>
      <c r="E46" t="s">
        <v>1548</v>
      </c>
      <c r="F46" t="s">
        <v>1549</v>
      </c>
    </row>
    <row r="47" spans="1:6" x14ac:dyDescent="0.45">
      <c r="A47">
        <v>5</v>
      </c>
      <c r="B47">
        <v>1214.4541999999999</v>
      </c>
      <c r="C47">
        <v>48.363791722296398</v>
      </c>
      <c r="D47">
        <f>GETPIVOTDATA("Min of Fare",$A$46)</f>
        <v>5</v>
      </c>
      <c r="E47" s="5">
        <f>GETPIVOTDATA("Max of Fare2",$A$46)</f>
        <v>1214.4541999999999</v>
      </c>
      <c r="F47" s="5">
        <f>GETPIVOTDATA("Average of Fare3",$A$46)</f>
        <v>48.363791722296398</v>
      </c>
    </row>
    <row r="50" spans="2:4" x14ac:dyDescent="0.45">
      <c r="C50" s="4"/>
    </row>
    <row r="51" spans="2:4" x14ac:dyDescent="0.45">
      <c r="C51" s="4"/>
    </row>
    <row r="52" spans="2:4" x14ac:dyDescent="0.45">
      <c r="C52" s="4"/>
    </row>
    <row r="53" spans="2:4" x14ac:dyDescent="0.45">
      <c r="B53" s="2" t="s">
        <v>1532</v>
      </c>
      <c r="C53" t="s">
        <v>1551</v>
      </c>
    </row>
    <row r="54" spans="2:4" x14ac:dyDescent="0.45">
      <c r="B54" s="3">
        <v>1</v>
      </c>
      <c r="C54">
        <v>216</v>
      </c>
      <c r="D54" s="4">
        <f>GETPIVOTDATA("New Survived",$B$53,"Pclass",1)/891</f>
        <v>0.24242424242424243</v>
      </c>
    </row>
    <row r="55" spans="2:4" x14ac:dyDescent="0.45">
      <c r="B55" s="3">
        <v>2</v>
      </c>
      <c r="C55">
        <v>184</v>
      </c>
      <c r="D55" s="4">
        <f>GETPIVOTDATA("New Survived",$B$53,"Pclass",2)/891</f>
        <v>0.20650953984287318</v>
      </c>
    </row>
    <row r="56" spans="2:4" x14ac:dyDescent="0.45">
      <c r="B56" s="3">
        <v>3</v>
      </c>
      <c r="C56">
        <v>491</v>
      </c>
      <c r="D56" s="4">
        <f>GETPIVOTDATA("New Survived",$B$53,"Pclass",3)/891</f>
        <v>0.55106621773288444</v>
      </c>
    </row>
    <row r="57" spans="2:4" x14ac:dyDescent="0.45">
      <c r="B57" s="3" t="s">
        <v>1533</v>
      </c>
      <c r="C57">
        <v>891</v>
      </c>
    </row>
  </sheetData>
  <autoFilter ref="A17:F18" xr:uid="{67C55598-1AA2-4E9C-9725-EBBCA39C8B3D}"/>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31FB-B855-4B88-96A8-D8E8ED88EE1F}">
  <dimension ref="A1:T32"/>
  <sheetViews>
    <sheetView tabSelected="1" zoomScale="87" workbookViewId="0">
      <selection activeCell="W25" sqref="W25"/>
    </sheetView>
  </sheetViews>
  <sheetFormatPr defaultRowHeight="14.25" x14ac:dyDescent="0.45"/>
  <cols>
    <col min="4" max="4" width="14.9296875" customWidth="1"/>
    <col min="5" max="5" width="7.265625" customWidth="1"/>
  </cols>
  <sheetData>
    <row r="1" spans="1:20" x14ac:dyDescent="0.45">
      <c r="A1" s="8"/>
      <c r="B1" s="8"/>
      <c r="C1" s="8"/>
      <c r="D1" s="9" t="s">
        <v>1550</v>
      </c>
      <c r="E1" s="10"/>
      <c r="F1" s="10"/>
      <c r="G1" s="10"/>
      <c r="H1" s="10"/>
      <c r="I1" s="10"/>
      <c r="J1" s="10"/>
      <c r="K1" s="10"/>
      <c r="L1" s="10"/>
      <c r="M1" s="10"/>
      <c r="N1" s="10"/>
      <c r="O1" s="10"/>
      <c r="P1" s="10"/>
      <c r="Q1" s="10"/>
      <c r="R1" s="10"/>
      <c r="S1" s="10"/>
      <c r="T1" s="8"/>
    </row>
    <row r="2" spans="1:20" ht="18" customHeight="1" x14ac:dyDescent="0.45">
      <c r="A2" s="8"/>
      <c r="B2" s="8"/>
      <c r="C2" s="8"/>
      <c r="D2" s="10"/>
      <c r="E2" s="10"/>
      <c r="F2" s="10"/>
      <c r="G2" s="10"/>
      <c r="H2" s="10"/>
      <c r="I2" s="10"/>
      <c r="J2" s="10"/>
      <c r="K2" s="10"/>
      <c r="L2" s="10"/>
      <c r="M2" s="10"/>
      <c r="N2" s="10"/>
      <c r="O2" s="10"/>
      <c r="P2" s="10"/>
      <c r="Q2" s="10"/>
      <c r="R2" s="10"/>
      <c r="S2" s="10"/>
      <c r="T2" s="8"/>
    </row>
    <row r="3" spans="1:20" x14ac:dyDescent="0.45">
      <c r="A3" s="8"/>
      <c r="B3" s="8"/>
      <c r="C3" s="8"/>
      <c r="D3" s="8"/>
      <c r="E3" s="8"/>
      <c r="F3" s="8"/>
      <c r="G3" s="8"/>
      <c r="H3" s="8"/>
      <c r="I3" s="8"/>
      <c r="J3" s="8"/>
      <c r="K3" s="8"/>
      <c r="L3" s="8"/>
      <c r="M3" s="8"/>
      <c r="N3" s="8"/>
      <c r="O3" s="8"/>
      <c r="P3" s="8"/>
      <c r="Q3" s="8"/>
      <c r="R3" s="8"/>
      <c r="S3" s="8"/>
      <c r="T3" s="8"/>
    </row>
    <row r="4" spans="1:20" x14ac:dyDescent="0.45">
      <c r="A4" s="8"/>
      <c r="B4" s="8"/>
      <c r="C4" s="8"/>
      <c r="D4" s="8"/>
      <c r="E4" s="8"/>
      <c r="F4" s="8"/>
      <c r="G4" s="8"/>
      <c r="H4" s="8"/>
      <c r="I4" s="8"/>
      <c r="J4" s="8"/>
      <c r="K4" s="8"/>
      <c r="L4" s="8"/>
      <c r="M4" s="8"/>
      <c r="N4" s="8"/>
      <c r="O4" s="8"/>
      <c r="P4" s="8"/>
      <c r="Q4" s="8"/>
      <c r="R4" s="8"/>
      <c r="S4" s="8"/>
      <c r="T4" s="8"/>
    </row>
    <row r="5" spans="1:20" x14ac:dyDescent="0.45">
      <c r="A5" s="8"/>
      <c r="B5" s="8"/>
      <c r="C5" s="8"/>
      <c r="D5" s="8"/>
      <c r="E5" s="8"/>
      <c r="F5" s="8"/>
      <c r="G5" s="8"/>
      <c r="H5" s="8"/>
      <c r="I5" s="8"/>
      <c r="J5" s="8"/>
      <c r="K5" s="8"/>
      <c r="L5" s="8"/>
      <c r="M5" s="8"/>
      <c r="N5" s="8"/>
      <c r="O5" s="8"/>
      <c r="P5" s="8"/>
      <c r="Q5" s="8"/>
      <c r="R5" s="8"/>
      <c r="S5" s="8"/>
      <c r="T5" s="8"/>
    </row>
    <row r="6" spans="1:20" x14ac:dyDescent="0.45">
      <c r="A6" s="8"/>
      <c r="B6" s="8"/>
      <c r="C6" s="8"/>
      <c r="D6" s="8"/>
      <c r="E6" s="8"/>
      <c r="F6" s="8"/>
      <c r="G6" s="8"/>
      <c r="H6" s="8"/>
      <c r="I6" s="8"/>
      <c r="J6" s="8"/>
      <c r="K6" s="8"/>
      <c r="L6" s="8"/>
      <c r="M6" s="8"/>
      <c r="N6" s="8"/>
      <c r="O6" s="8"/>
      <c r="P6" s="8"/>
      <c r="Q6" s="8"/>
      <c r="R6" s="8"/>
      <c r="S6" s="8"/>
      <c r="T6" s="8"/>
    </row>
    <row r="7" spans="1:20" x14ac:dyDescent="0.45">
      <c r="A7" s="8"/>
      <c r="B7" s="8"/>
      <c r="C7" s="8"/>
      <c r="D7" s="8"/>
      <c r="E7" s="8"/>
      <c r="F7" s="8"/>
      <c r="G7" s="8"/>
      <c r="H7" s="8"/>
      <c r="I7" s="8"/>
      <c r="J7" s="8"/>
      <c r="K7" s="8"/>
      <c r="L7" s="8"/>
      <c r="M7" s="8"/>
      <c r="N7" s="8"/>
      <c r="O7" s="8"/>
      <c r="P7" s="8"/>
      <c r="Q7" s="8"/>
      <c r="R7" s="8"/>
      <c r="S7" s="8"/>
      <c r="T7" s="8"/>
    </row>
    <row r="8" spans="1:20" x14ac:dyDescent="0.45">
      <c r="A8" s="8"/>
      <c r="B8" s="8"/>
      <c r="C8" s="8"/>
      <c r="D8" s="8"/>
      <c r="E8" s="8"/>
      <c r="F8" s="8"/>
      <c r="G8" s="8"/>
      <c r="H8" s="8"/>
      <c r="I8" s="8"/>
      <c r="J8" s="8"/>
      <c r="K8" s="8"/>
      <c r="L8" s="8"/>
      <c r="M8" s="8"/>
      <c r="N8" s="8"/>
      <c r="O8" s="8"/>
      <c r="P8" s="8"/>
      <c r="Q8" s="8"/>
      <c r="R8" s="8"/>
      <c r="S8" s="8"/>
      <c r="T8" s="8"/>
    </row>
    <row r="9" spans="1:20" x14ac:dyDescent="0.45">
      <c r="A9" s="8"/>
      <c r="B9" s="8"/>
      <c r="C9" s="8"/>
      <c r="D9" s="8"/>
      <c r="E9" s="8"/>
      <c r="F9" s="8"/>
      <c r="G9" s="8"/>
      <c r="H9" s="8"/>
      <c r="I9" s="8"/>
      <c r="J9" s="8"/>
      <c r="K9" s="8"/>
      <c r="L9" s="8"/>
      <c r="M9" s="8"/>
      <c r="N9" s="8"/>
      <c r="O9" s="8"/>
      <c r="P9" s="8"/>
      <c r="Q9" s="8"/>
      <c r="R9" s="8"/>
      <c r="S9" s="8"/>
      <c r="T9" s="8"/>
    </row>
    <row r="10" spans="1:20" x14ac:dyDescent="0.45">
      <c r="A10" s="8"/>
      <c r="B10" s="8"/>
      <c r="C10" s="8"/>
      <c r="D10" s="8"/>
      <c r="E10" s="8"/>
      <c r="F10" s="8"/>
      <c r="G10" s="8"/>
      <c r="H10" s="8"/>
      <c r="I10" s="8"/>
      <c r="J10" s="8"/>
      <c r="K10" s="8"/>
      <c r="L10" s="8"/>
      <c r="M10" s="8"/>
      <c r="N10" s="8"/>
      <c r="O10" s="8"/>
      <c r="P10" s="8"/>
      <c r="Q10" s="8"/>
      <c r="R10" s="8"/>
      <c r="S10" s="8"/>
      <c r="T10" s="8"/>
    </row>
    <row r="11" spans="1:20" x14ac:dyDescent="0.45">
      <c r="A11" s="8"/>
      <c r="B11" s="8"/>
      <c r="C11" s="8"/>
      <c r="D11" s="8"/>
      <c r="E11" s="8"/>
      <c r="F11" s="8"/>
      <c r="G11" s="8"/>
      <c r="H11" s="8"/>
      <c r="I11" s="8"/>
      <c r="J11" s="8"/>
      <c r="K11" s="8"/>
      <c r="L11" s="8"/>
      <c r="M11" s="8"/>
      <c r="N11" s="8"/>
      <c r="O11" s="8"/>
      <c r="P11" s="8"/>
      <c r="Q11" s="8"/>
      <c r="R11" s="8"/>
      <c r="S11" s="8"/>
      <c r="T11" s="8"/>
    </row>
    <row r="12" spans="1:20" x14ac:dyDescent="0.45">
      <c r="A12" s="8"/>
      <c r="B12" s="8"/>
      <c r="C12" s="8"/>
      <c r="D12" s="8"/>
      <c r="E12" s="8"/>
      <c r="F12" s="8"/>
      <c r="G12" s="8"/>
      <c r="H12" s="8"/>
      <c r="I12" s="8"/>
      <c r="J12" s="8"/>
      <c r="K12" s="8"/>
      <c r="L12" s="8"/>
      <c r="M12" s="8"/>
      <c r="N12" s="8"/>
      <c r="O12" s="8"/>
      <c r="P12" s="8"/>
      <c r="Q12" s="8"/>
      <c r="R12" s="8"/>
      <c r="S12" s="8"/>
      <c r="T12" s="8"/>
    </row>
    <row r="13" spans="1:20" x14ac:dyDescent="0.45">
      <c r="A13" s="8"/>
      <c r="B13" s="8"/>
      <c r="C13" s="8"/>
      <c r="D13" s="8"/>
      <c r="E13" s="8"/>
      <c r="F13" s="8"/>
      <c r="G13" s="8"/>
      <c r="H13" s="8"/>
      <c r="I13" s="8"/>
      <c r="J13" s="8"/>
      <c r="K13" s="8"/>
      <c r="L13" s="8"/>
      <c r="M13" s="8"/>
      <c r="N13" s="8"/>
      <c r="O13" s="8"/>
      <c r="P13" s="8"/>
      <c r="Q13" s="8"/>
      <c r="R13" s="8"/>
      <c r="S13" s="8"/>
      <c r="T13" s="8"/>
    </row>
    <row r="14" spans="1:20" x14ac:dyDescent="0.45">
      <c r="A14" s="8"/>
      <c r="B14" s="8"/>
      <c r="C14" s="8"/>
      <c r="D14" s="8"/>
      <c r="E14" s="8"/>
      <c r="F14" s="8"/>
      <c r="G14" s="8"/>
      <c r="H14" s="8"/>
      <c r="I14" s="8"/>
      <c r="J14" s="8"/>
      <c r="K14" s="8"/>
      <c r="L14" s="8"/>
      <c r="M14" s="8"/>
      <c r="N14" s="8"/>
      <c r="O14" s="8"/>
      <c r="P14" s="8"/>
      <c r="Q14" s="8"/>
      <c r="R14" s="8"/>
      <c r="S14" s="8"/>
      <c r="T14" s="8"/>
    </row>
    <row r="15" spans="1:20" x14ac:dyDescent="0.45">
      <c r="A15" s="8"/>
      <c r="B15" s="8"/>
      <c r="C15" s="8"/>
      <c r="D15" s="8"/>
      <c r="E15" s="8"/>
      <c r="F15" s="8"/>
      <c r="G15" s="8"/>
      <c r="H15" s="8"/>
      <c r="I15" s="8"/>
      <c r="J15" s="8"/>
      <c r="K15" s="8"/>
      <c r="L15" s="8"/>
      <c r="M15" s="8"/>
      <c r="N15" s="8"/>
      <c r="O15" s="8"/>
      <c r="P15" s="8"/>
      <c r="Q15" s="8"/>
      <c r="R15" s="8"/>
      <c r="S15" s="8"/>
      <c r="T15" s="8"/>
    </row>
    <row r="16" spans="1:20" x14ac:dyDescent="0.45">
      <c r="A16" s="8"/>
      <c r="B16" s="8"/>
      <c r="C16" s="8"/>
      <c r="D16" s="8"/>
      <c r="E16" s="8"/>
      <c r="F16" s="8"/>
      <c r="G16" s="8"/>
      <c r="H16" s="8"/>
      <c r="I16" s="8"/>
      <c r="J16" s="8"/>
      <c r="K16" s="8"/>
      <c r="L16" s="8"/>
      <c r="M16" s="8"/>
      <c r="N16" s="8"/>
      <c r="O16" s="8"/>
      <c r="P16" s="8"/>
      <c r="Q16" s="8"/>
      <c r="R16" s="8"/>
      <c r="S16" s="8"/>
      <c r="T16" s="8"/>
    </row>
    <row r="17" spans="1:20" x14ac:dyDescent="0.45">
      <c r="A17" s="8"/>
      <c r="B17" s="8"/>
      <c r="C17" s="8"/>
      <c r="D17" s="8"/>
      <c r="E17" s="8"/>
      <c r="F17" s="8"/>
      <c r="G17" s="8"/>
      <c r="H17" s="8"/>
      <c r="I17" s="8"/>
      <c r="J17" s="8"/>
      <c r="K17" s="8"/>
      <c r="L17" s="8"/>
      <c r="M17" s="8"/>
      <c r="N17" s="8"/>
      <c r="O17" s="8"/>
      <c r="P17" s="8"/>
      <c r="Q17" s="8"/>
      <c r="R17" s="8"/>
      <c r="S17" s="8"/>
      <c r="T17" s="8"/>
    </row>
    <row r="18" spans="1:20" x14ac:dyDescent="0.45">
      <c r="A18" s="8"/>
      <c r="B18" s="8"/>
      <c r="C18" s="8"/>
      <c r="D18" s="8"/>
      <c r="E18" s="8"/>
      <c r="F18" s="8"/>
      <c r="G18" s="8"/>
      <c r="H18" s="8"/>
      <c r="I18" s="8"/>
      <c r="J18" s="8"/>
      <c r="K18" s="8"/>
      <c r="L18" s="8"/>
      <c r="M18" s="8"/>
      <c r="N18" s="8"/>
      <c r="O18" s="8"/>
      <c r="P18" s="8"/>
      <c r="Q18" s="8"/>
      <c r="R18" s="8"/>
      <c r="S18" s="8"/>
      <c r="T18" s="8"/>
    </row>
    <row r="19" spans="1:20" x14ac:dyDescent="0.45">
      <c r="A19" s="8"/>
      <c r="B19" s="8"/>
      <c r="C19" s="8"/>
      <c r="D19" s="8"/>
      <c r="E19" s="8"/>
      <c r="F19" s="8"/>
      <c r="G19" s="8"/>
      <c r="H19" s="8"/>
      <c r="I19" s="8"/>
      <c r="J19" s="8"/>
      <c r="K19" s="8"/>
      <c r="L19" s="8"/>
      <c r="M19" s="8"/>
      <c r="N19" s="8"/>
      <c r="O19" s="8"/>
      <c r="P19" s="8"/>
      <c r="Q19" s="8"/>
      <c r="R19" s="8"/>
      <c r="S19" s="8"/>
      <c r="T19" s="8"/>
    </row>
    <row r="20" spans="1:20" x14ac:dyDescent="0.45">
      <c r="A20" s="8"/>
      <c r="B20" s="8"/>
      <c r="C20" s="8"/>
      <c r="D20" s="8"/>
      <c r="E20" s="8"/>
      <c r="F20" s="8"/>
      <c r="G20" s="8"/>
      <c r="H20" s="8"/>
      <c r="I20" s="8"/>
      <c r="J20" s="8"/>
      <c r="K20" s="8"/>
      <c r="L20" s="8"/>
      <c r="M20" s="8"/>
      <c r="N20" s="8"/>
      <c r="O20" s="8"/>
      <c r="P20" s="8"/>
      <c r="Q20" s="8"/>
      <c r="R20" s="8"/>
      <c r="S20" s="8"/>
      <c r="T20" s="8"/>
    </row>
    <row r="21" spans="1:20" x14ac:dyDescent="0.45">
      <c r="A21" s="8"/>
      <c r="B21" s="8"/>
      <c r="C21" s="8"/>
      <c r="D21" s="8"/>
      <c r="E21" s="8"/>
      <c r="F21" s="8"/>
      <c r="G21" s="8"/>
      <c r="H21" s="8"/>
      <c r="I21" s="8"/>
      <c r="J21" s="8"/>
      <c r="K21" s="8"/>
      <c r="L21" s="8"/>
      <c r="M21" s="8"/>
      <c r="N21" s="8"/>
      <c r="O21" s="8"/>
      <c r="P21" s="8"/>
      <c r="Q21" s="8"/>
      <c r="R21" s="8"/>
      <c r="S21" s="8"/>
      <c r="T21" s="8"/>
    </row>
    <row r="22" spans="1:20" x14ac:dyDescent="0.45">
      <c r="A22" s="8"/>
      <c r="B22" s="8"/>
      <c r="C22" s="8"/>
      <c r="D22" s="8"/>
      <c r="E22" s="8"/>
      <c r="F22" s="8"/>
      <c r="G22" s="8"/>
      <c r="H22" s="8"/>
      <c r="I22" s="8"/>
      <c r="J22" s="8"/>
      <c r="K22" s="8"/>
      <c r="L22" s="8"/>
      <c r="M22" s="8"/>
      <c r="N22" s="8"/>
      <c r="O22" s="8"/>
      <c r="P22" s="8"/>
      <c r="Q22" s="8"/>
      <c r="R22" s="8"/>
      <c r="S22" s="8"/>
      <c r="T22" s="8"/>
    </row>
    <row r="23" spans="1:20" x14ac:dyDescent="0.45">
      <c r="A23" s="8"/>
      <c r="B23" s="8"/>
      <c r="C23" s="8"/>
      <c r="D23" s="8"/>
      <c r="E23" s="8"/>
      <c r="F23" s="8"/>
      <c r="G23" s="8"/>
      <c r="H23" s="8"/>
      <c r="I23" s="8"/>
      <c r="J23" s="8"/>
      <c r="K23" s="8"/>
      <c r="L23" s="8"/>
      <c r="M23" s="8"/>
      <c r="N23" s="8"/>
      <c r="O23" s="8"/>
      <c r="P23" s="8"/>
      <c r="Q23" s="8"/>
      <c r="R23" s="8"/>
      <c r="S23" s="8"/>
      <c r="T23" s="8"/>
    </row>
    <row r="24" spans="1:20" x14ac:dyDescent="0.45">
      <c r="A24" s="8"/>
      <c r="B24" s="8"/>
      <c r="C24" s="8"/>
      <c r="D24" s="8"/>
      <c r="E24" s="8"/>
      <c r="F24" s="8"/>
      <c r="G24" s="8"/>
      <c r="H24" s="8"/>
      <c r="I24" s="8"/>
      <c r="J24" s="8"/>
      <c r="K24" s="8"/>
      <c r="L24" s="8"/>
      <c r="M24" s="8"/>
      <c r="N24" s="8"/>
      <c r="O24" s="8"/>
      <c r="P24" s="8"/>
      <c r="Q24" s="8"/>
      <c r="R24" s="8"/>
      <c r="S24" s="8"/>
      <c r="T24" s="8"/>
    </row>
    <row r="25" spans="1:20" x14ac:dyDescent="0.45">
      <c r="A25" s="8"/>
      <c r="B25" s="8"/>
      <c r="C25" s="8"/>
      <c r="D25" s="8"/>
      <c r="E25" s="8"/>
      <c r="F25" s="8"/>
      <c r="G25" s="8"/>
      <c r="H25" s="8"/>
      <c r="I25" s="8"/>
      <c r="J25" s="8"/>
      <c r="K25" s="8"/>
      <c r="L25" s="8"/>
      <c r="M25" s="8"/>
      <c r="N25" s="8"/>
      <c r="O25" s="8"/>
      <c r="P25" s="8"/>
      <c r="Q25" s="8"/>
      <c r="R25" s="8"/>
      <c r="S25" s="8"/>
      <c r="T25" s="8"/>
    </row>
    <row r="26" spans="1:20" x14ac:dyDescent="0.45">
      <c r="A26" s="8"/>
      <c r="B26" s="8"/>
      <c r="C26" s="8"/>
      <c r="D26" s="8"/>
      <c r="E26" s="8"/>
      <c r="F26" s="8"/>
      <c r="G26" s="8"/>
      <c r="H26" s="8"/>
      <c r="I26" s="8"/>
      <c r="J26" s="8"/>
      <c r="K26" s="8"/>
      <c r="L26" s="8"/>
      <c r="M26" s="8"/>
      <c r="N26" s="8"/>
      <c r="O26" s="8"/>
      <c r="P26" s="8"/>
      <c r="Q26" s="8"/>
      <c r="R26" s="8"/>
      <c r="S26" s="8"/>
      <c r="T26" s="8"/>
    </row>
    <row r="27" spans="1:20" x14ac:dyDescent="0.45">
      <c r="A27" s="8"/>
      <c r="B27" s="8"/>
      <c r="C27" s="8"/>
      <c r="D27" s="8"/>
      <c r="E27" s="8"/>
      <c r="F27" s="8"/>
      <c r="G27" s="8"/>
      <c r="H27" s="8"/>
      <c r="I27" s="8"/>
      <c r="J27" s="8"/>
      <c r="K27" s="8"/>
      <c r="L27" s="8"/>
      <c r="M27" s="8"/>
      <c r="N27" s="8"/>
      <c r="O27" s="8"/>
      <c r="P27" s="8"/>
      <c r="Q27" s="8"/>
      <c r="R27" s="8"/>
      <c r="S27" s="8"/>
      <c r="T27" s="8"/>
    </row>
    <row r="28" spans="1:20" x14ac:dyDescent="0.45">
      <c r="A28" s="8"/>
      <c r="B28" s="8"/>
      <c r="C28" s="8"/>
      <c r="D28" s="8"/>
      <c r="E28" s="8"/>
      <c r="F28" s="8"/>
      <c r="G28" s="8"/>
      <c r="H28" s="8"/>
      <c r="I28" s="8"/>
      <c r="J28" s="8"/>
      <c r="K28" s="8"/>
      <c r="L28" s="8"/>
      <c r="M28" s="8"/>
      <c r="N28" s="8"/>
      <c r="O28" s="8"/>
      <c r="P28" s="8"/>
      <c r="Q28" s="8"/>
      <c r="R28" s="8"/>
      <c r="S28" s="8"/>
      <c r="T28" s="8"/>
    </row>
    <row r="29" spans="1:20" x14ac:dyDescent="0.45">
      <c r="A29" s="8"/>
      <c r="B29" s="8"/>
      <c r="C29" s="8"/>
      <c r="D29" s="8"/>
      <c r="E29" s="8"/>
      <c r="F29" s="8"/>
      <c r="G29" s="8"/>
      <c r="H29" s="8"/>
      <c r="I29" s="8"/>
      <c r="J29" s="8"/>
      <c r="K29" s="8"/>
      <c r="L29" s="8"/>
      <c r="M29" s="8"/>
      <c r="N29" s="8"/>
      <c r="O29" s="8"/>
      <c r="P29" s="8"/>
      <c r="Q29" s="8"/>
      <c r="R29" s="8"/>
      <c r="S29" s="8"/>
      <c r="T29" s="8"/>
    </row>
    <row r="30" spans="1:20" x14ac:dyDescent="0.45">
      <c r="A30" s="8"/>
      <c r="B30" s="8"/>
      <c r="C30" s="8"/>
      <c r="D30" s="8"/>
      <c r="E30" s="8"/>
      <c r="F30" s="8"/>
      <c r="G30" s="8"/>
      <c r="H30" s="8"/>
      <c r="I30" s="8"/>
      <c r="J30" s="8"/>
      <c r="K30" s="8"/>
      <c r="L30" s="8"/>
      <c r="M30" s="8"/>
      <c r="N30" s="8"/>
      <c r="O30" s="8"/>
      <c r="P30" s="8"/>
      <c r="Q30" s="8"/>
      <c r="R30" s="8"/>
      <c r="S30" s="8"/>
      <c r="T30" s="8"/>
    </row>
    <row r="31" spans="1:20" x14ac:dyDescent="0.45">
      <c r="A31" s="8"/>
      <c r="B31" s="8"/>
      <c r="C31" s="8"/>
      <c r="D31" s="8"/>
      <c r="E31" s="8"/>
      <c r="F31" s="8"/>
      <c r="G31" s="8"/>
      <c r="H31" s="8"/>
      <c r="I31" s="8"/>
      <c r="J31" s="8"/>
      <c r="K31" s="8"/>
      <c r="L31" s="8"/>
      <c r="M31" s="8"/>
      <c r="N31" s="8"/>
      <c r="O31" s="8"/>
      <c r="P31" s="8"/>
      <c r="Q31" s="8"/>
      <c r="R31" s="8"/>
      <c r="S31" s="8"/>
      <c r="T31" s="8"/>
    </row>
    <row r="32" spans="1:20" x14ac:dyDescent="0.45">
      <c r="A32" s="8"/>
      <c r="B32" s="8"/>
      <c r="C32" s="8"/>
      <c r="D32" s="8"/>
      <c r="E32" s="8"/>
      <c r="F32" s="8"/>
      <c r="G32" s="8"/>
      <c r="H32" s="8"/>
      <c r="I32" s="8"/>
      <c r="J32" s="8"/>
      <c r="K32" s="8"/>
      <c r="L32" s="8"/>
      <c r="M32" s="8"/>
      <c r="N32" s="8"/>
      <c r="O32" s="8"/>
      <c r="P32" s="8"/>
      <c r="Q32" s="8"/>
      <c r="R32" s="8"/>
      <c r="S32" s="8"/>
      <c r="T32" s="8"/>
    </row>
  </sheetData>
  <mergeCells count="1">
    <mergeCell ref="D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Titanic-Dataset(1)</vt:lpstr>
      <vt:lpstr>Clean Data</vt:lpstr>
      <vt:lpstr>Pivot 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Sakshi Dhandole</cp:lastModifiedBy>
  <dcterms:created xsi:type="dcterms:W3CDTF">2025-10-06T13:03:50Z</dcterms:created>
  <dcterms:modified xsi:type="dcterms:W3CDTF">2025-10-13T12:31:50Z</dcterms:modified>
</cp:coreProperties>
</file>