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OneDrive\Desktop\Dream With Data\Excel\"/>
    </mc:Choice>
  </mc:AlternateContent>
  <xr:revisionPtr revIDLastSave="0" documentId="8_{6A2A10F8-6092-40C3-88A7-B2EFD72BE368}" xr6:coauthVersionLast="47" xr6:coauthVersionMax="47" xr10:uidLastSave="{00000000-0000-0000-0000-000000000000}"/>
  <bookViews>
    <workbookView xWindow="-98" yWindow="-98" windowWidth="21795" windowHeight="12975" activeTab="3" xr2:uid="{B17E89AB-0878-4952-9880-DC16D92E1A99}"/>
  </bookViews>
  <sheets>
    <sheet name="Data_set 2" sheetId="1" r:id="rId1"/>
    <sheet name="Clean Data " sheetId="5" r:id="rId2"/>
    <sheet name="pivot" sheetId="2" r:id="rId3"/>
    <sheet name="Sheet2" sheetId="4" r:id="rId4"/>
  </sheets>
  <definedNames>
    <definedName name="_xlnm._FilterDatabase" localSheetId="0" hidden="1">'Data_set 2'!$A$1:$Z$41</definedName>
    <definedName name="Slicer_gender">#N/A</definedName>
    <definedName name="Slicer_Investment_Avenues">#N/A</definedName>
    <definedName name="Slicer_Purpose">#N/A</definedName>
    <definedName name="Slicer_Sour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5" l="1"/>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D8" i="2"/>
  <c r="D9" i="2"/>
  <c r="G3" i="2"/>
  <c r="H35" i="2"/>
  <c r="H34" i="2"/>
  <c r="H33" i="2"/>
  <c r="D3" i="2"/>
  <c r="D4" i="2"/>
</calcChain>
</file>

<file path=xl/sharedStrings.xml><?xml version="1.0" encoding="utf-8"?>
<sst xmlns="http://schemas.openxmlformats.org/spreadsheetml/2006/main" count="1420" uniqueCount="92">
  <si>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</si>
  <si>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</si>
  <si>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</si>
  <si>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</si>
  <si>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</si>
  <si>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</si>
  <si>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</si>
  <si>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</si>
  <si>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</si>
  <si>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</si>
  <si>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</si>
  <si>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</si>
  <si>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</si>
  <si>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</si>
  <si>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</si>
  <si>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</si>
  <si>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</si>
  <si>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</si>
  <si>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</si>
  <si>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</si>
  <si>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</si>
  <si>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</si>
  <si>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</si>
  <si>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</si>
  <si>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</si>
  <si>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</si>
  <si>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</si>
  <si>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</si>
  <si>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</si>
  <si>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</si>
  <si>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</si>
  <si>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</si>
  <si>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</si>
  <si>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</si>
  <si>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</si>
  <si>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</si>
  <si>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</si>
  <si>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</si>
  <si>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</si>
  <si>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</si>
  <si>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</si>
  <si>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</si>
  <si>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</si>
  <si>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</si>
  <si>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</si>
  <si>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</si>
  <si>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</si>
  <si>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</si>
  <si>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</si>
  <si>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</si>
  <si>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</si>
  <si>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</si>
  <si>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</si>
  <si>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</si>
  <si>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</si>
  <si>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</si>
  <si>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</si>
  <si>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</si>
  <si>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</si>
  <si>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</si>
  <si>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</si>
  <si>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</si>
  <si>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</si>
  <si>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</si>
  <si>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</si>
  <si>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</si>
  <si>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</si>
  <si>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</si>
  <si>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Count of (M/F)</t>
  </si>
  <si>
    <t>Count (0,1)</t>
  </si>
  <si>
    <t>Row Labels</t>
  </si>
  <si>
    <t>Grand Total</t>
  </si>
  <si>
    <t>Count of gender</t>
  </si>
  <si>
    <t>Average of age</t>
  </si>
  <si>
    <t>Average Age by Gender</t>
  </si>
  <si>
    <t>Gender Distribution</t>
  </si>
  <si>
    <t>Column Labels</t>
  </si>
  <si>
    <t>Count of Investment_Avenues</t>
  </si>
  <si>
    <t>Count of Purpose</t>
  </si>
  <si>
    <t>Popular Investment Avenues by Gender</t>
  </si>
  <si>
    <t>Investment Purpose Distribution</t>
  </si>
  <si>
    <t>Count of Factor</t>
  </si>
  <si>
    <t>Count of Avenue</t>
  </si>
  <si>
    <t>Avenue Preference by Expectation</t>
  </si>
  <si>
    <t>Source of Investment Information by Gender</t>
  </si>
  <si>
    <t>Count of Duration</t>
  </si>
  <si>
    <t>Duration vs Objective</t>
  </si>
  <si>
    <t>Sum of Mutual_Funds</t>
  </si>
  <si>
    <t>(All)</t>
  </si>
  <si>
    <t>Total</t>
  </si>
  <si>
    <t>Investment Preferences Survey Dashboard</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</si>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</sst>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b/>
      <sz val="18"/>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CCCC"/>
        <bgColor indexed="64"/>
      </patternFill>
    </fill>
    <fill>
      <patternFill patternType="solid">
        <fgColor rgb="FF0070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9" fontId="0" fillId="0" borderId="0" xfId="0" applyNumberFormat="1"/>
    <xf numFmtId="0" fontId="0" fillId="33" borderId="0" xfId="0" applyFill="1"/>
    <xf numFmtId="0" fontId="0" fillId="34" borderId="0" xfId="0" applyFill="1"/>
    <xf numFmtId="0" fontId="19" fillId="34" borderId="10" xfId="0" applyFont="1" applyFill="1" applyBorder="1" applyAlignment="1">
      <alignment horizontal="left"/>
    </xf>
    <xf numFmtId="0" fontId="18" fillId="34" borderId="0" xfId="0" applyFont="1" applyFill="1" applyAlignment="1">
      <alignment horizontal="left"/>
    </xf>
    <xf numFmtId="0" fontId="0" fillId="34"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0.0"/>
    </dxf>
    <dxf>
      <numFmt numFmtId="165" formatCode="0.0"/>
    </dxf>
    <dxf>
      <numFmt numFmtId="14" formatCode="0.00%"/>
    </dxf>
  </dxfs>
  <tableStyles count="1" defaultTableStyle="TableStyleMedium2" defaultPivotStyle="PivotStyleLight16">
    <tableStyle name="Slicer Style 1" pivot="0" table="0" count="1" xr9:uid="{EEC9484B-FA05-4F9C-9BDD-3F49C0D2FE60}"/>
  </tableStyles>
  <colors>
    <mruColors>
      <color rgb="FF33CCCC"/>
      <color rgb="FF25E8E3"/>
      <color rgb="FF0099CC"/>
      <color rgb="FF0099FF"/>
      <color rgb="FF14ACAC"/>
      <color rgb="FF66CCFF"/>
      <color rgb="FF33CCFF"/>
      <color rgb="FFCCFFFF"/>
    </mruColors>
  </colors>
  <extLst>
    <ext xmlns:x14="http://schemas.microsoft.com/office/spreadsheetml/2009/9/main" uri="{46F421CA-312F-682f-3DD2-61675219B42D}">
      <x14:dxfs count="1">
        <dxf>
          <font>
            <b val="0"/>
            <i val="0"/>
            <color rgb="FF25E8E3"/>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[Age_Distribution Dashboard.xlsx]pivot!PivotTable1</c:name>
    <c:fmtId val="5"/>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effectLst/>
                <a:latin typeface="+mn-lt"/>
                <a:ea typeface="+mn-ea"/>
                <a:cs typeface="+mn-cs"/>
              </a:defRPr>
            </a:pPr>
            <a:r>
              <a:rPr lang="en-IN">
                <a:effectLst/>
              </a:rPr>
              <a:t>Gender</a:t>
            </a:r>
            <a:r>
              <a:rPr lang="en-IN" baseline="0">
                <a:effectLst/>
              </a:rPr>
              <a:t> Distribution</a:t>
            </a:r>
            <a:endParaRPr lang="en-IN">
              <a:effectLst/>
            </a:endParaRPr>
          </a:p>
        </c:rich>
      </c:tx>
      <c:layout>
        <c:manualLayout>
          <c:xMode val="edge"/>
          <c:yMode val="edge"/>
          <c:x val="0.15639269406392695"/>
          <c:y val="0"/>
        </c:manualLayout>
      </c:layout>
      <c:overlay val="0"/>
      <c:spPr>
        <a:noFill/>
        <a:ln>
          <a:noFill/>
        </a:ln>
        <a:effectLst>
          <a:outerShdw blurRad="50800" dist="50800" dir="5400000" algn="ctr" rotWithShape="0">
            <a:schemeClr val="bg1">
              <a:lumMod val="65000"/>
            </a:schemeClr>
          </a:outerShdw>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effectLst/>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rgbClr val="33CCFF"/>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rgbClr val="0099CC"/>
          </a:solidFill>
          <a:ln>
            <a:solidFill>
              <a:schemeClr val="accent5">
                <a:lumMod val="50000"/>
              </a:schemeClr>
            </a:solid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E1B5E76-B55C-401D-98F7-B92061AADA73}" type="CATEGORYNAME">
                  <a:rPr lang="en-US"/>
                  <a:pPr>
                    <a:defRPr/>
                  </a:pPr>
                  <a:t>[CATEGORY NAME]</a:t>
                </a:fld>
                <a:r>
                  <a:rPr lang="en-US" baseline="0"/>
                  <a:t>
63%</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6"/>
        <c:spPr>
          <a:solidFill>
            <a:srgbClr val="33CCFF"/>
          </a:solidFill>
          <a:ln>
            <a:solidFill>
              <a:schemeClr val="tx1"/>
            </a:solidFill>
          </a:ln>
          <a:effectLst>
            <a:outerShdw blurRad="254000" sx="102000" sy="102000" algn="ctr" rotWithShape="0">
              <a:prstClr val="black">
                <a:alpha val="20000"/>
              </a:prstClr>
            </a:outerShdw>
          </a:effectLst>
        </c:spPr>
      </c:pivotFmt>
    </c:pivotFmts>
    <c:plotArea>
      <c:layout/>
      <c:pieChart>
        <c:varyColors val="1"/>
        <c:ser>
          <c:idx val="0"/>
          <c:order val="0"/>
          <c:tx>
            <c:strRef>
              <c:f>pivot!$C$2</c:f>
              <c:strCache>
                <c:ptCount val="1"/>
                <c:pt idx="0">
                  <c:v>Total</c:v>
                </c:pt>
              </c:strCache>
            </c:strRef>
          </c:tx>
          <c:spPr>
            <a:solidFill>
              <a:srgbClr val="33CCFF"/>
            </a:solidFill>
          </c:spPr>
          <c:dPt>
            <c:idx val="0"/>
            <c:bubble3D val="0"/>
            <c:spPr>
              <a:solidFill>
                <a:srgbClr val="0099CC"/>
              </a:solidFill>
              <a:ln>
                <a:solidFill>
                  <a:schemeClr val="accent5">
                    <a:lumMod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29-463D-AC2E-164DBDA7F4B3}"/>
              </c:ext>
            </c:extLst>
          </c:dPt>
          <c:dPt>
            <c:idx val="1"/>
            <c:bubble3D val="0"/>
            <c:spPr>
              <a:solidFill>
                <a:srgbClr val="33CCFF"/>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29-463D-AC2E-164DBDA7F4B3}"/>
              </c:ext>
            </c:extLst>
          </c:dPt>
          <c:dLbls>
            <c:dLbl>
              <c:idx val="0"/>
              <c:tx>
                <c:rich>
                  <a:bodyPr/>
                  <a:lstStyle/>
                  <a:p>
                    <a:fld id="{5E1B5E76-B55C-401D-98F7-B92061AADA73}" type="CATEGORYNAME">
                      <a:rPr lang="en-US"/>
                      <a:pPr/>
                      <a:t>[CATEGORY NAME]</a:t>
                    </a:fld>
                    <a:r>
                      <a:rPr lang="en-US" baseline="0"/>
                      <a:t>
63%</a:t>
                    </a:r>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829-463D-AC2E-164DBDA7F4B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pivot!$B$3:$B$5</c:f>
              <c:strCache>
                <c:ptCount val="2"/>
                <c:pt idx="0">
                  <c:v>Male</c:v>
                </c:pt>
                <c:pt idx="1">
                  <c:v>Female</c:v>
                </c:pt>
              </c:strCache>
            </c:strRef>
          </c:cat>
          <c:val>
            <c:numRef>
              <c:f>pivot!$C$3:$C$5</c:f>
              <c:numCache>
                <c:formatCode>General</c:formatCode>
                <c:ptCount val="2"/>
                <c:pt idx="0">
                  <c:v>25</c:v>
                </c:pt>
                <c:pt idx="1">
                  <c:v>15</c:v>
                </c:pt>
              </c:numCache>
            </c:numRef>
          </c:val>
          <c:extLst>
            <c:ext xmlns:c16="http://schemas.microsoft.com/office/drawing/2014/chart" uri="{C3380CC4-5D6E-409C-BE32-E72D297353CC}">
              <c16:uniqueId val="{00000004-C829-463D-AC2E-164DBDA7F4B3}"/>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[Age_Distribution Dashboard.xlsx]pivot!PivotTable4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75000"/>
                    <a:lumOff val="25000"/>
                  </a:schemeClr>
                </a:solidFill>
              </a:rPr>
              <a:t>Investement</a:t>
            </a:r>
            <a:r>
              <a:rPr lang="en-US" sz="1800" b="1" baseline="0">
                <a:solidFill>
                  <a:schemeClr val="tx1">
                    <a:lumMod val="75000"/>
                    <a:lumOff val="25000"/>
                  </a:schemeClr>
                </a:solidFill>
              </a:rPr>
              <a:t>Purpose</a:t>
            </a:r>
            <a:endParaRPr lang="en-US" sz="1800" b="1">
              <a:solidFill>
                <a:schemeClr val="tx1">
                  <a:lumMod val="75000"/>
                  <a:lumOff val="25000"/>
                </a:schemeClr>
              </a:solidFill>
            </a:endParaRPr>
          </a:p>
        </c:rich>
      </c:tx>
      <c:layout>
        <c:manualLayout>
          <c:xMode val="edge"/>
          <c:yMode val="edge"/>
          <c:x val="0.13008456104696675"/>
          <c:y val="0"/>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4AC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4ACAC"/>
          </a:solidFill>
          <a:ln>
            <a:noFill/>
          </a:ln>
          <a:effectLst/>
        </c:spPr>
      </c:pivotFmt>
    </c:pivotFmts>
    <c:plotArea>
      <c:layout/>
      <c:barChart>
        <c:barDir val="col"/>
        <c:grouping val="clustered"/>
        <c:varyColors val="0"/>
        <c:ser>
          <c:idx val="0"/>
          <c:order val="0"/>
          <c:tx>
            <c:strRef>
              <c:f>pivot!$C$18</c:f>
              <c:strCache>
                <c:ptCount val="1"/>
                <c:pt idx="0">
                  <c:v>Total</c:v>
                </c:pt>
              </c:strCache>
            </c:strRef>
          </c:tx>
          <c:spPr>
            <a:solidFill>
              <a:srgbClr val="14ACAC"/>
            </a:solidFill>
            <a:ln>
              <a:noFill/>
            </a:ln>
            <a:effectLst/>
          </c:spPr>
          <c:invertIfNegative val="0"/>
          <c:cat>
            <c:strRef>
              <c:f>pivot!$B$19:$B$22</c:f>
              <c:strCache>
                <c:ptCount val="3"/>
                <c:pt idx="0">
                  <c:v>Wealth Creation</c:v>
                </c:pt>
                <c:pt idx="1">
                  <c:v>Savings for Future</c:v>
                </c:pt>
                <c:pt idx="2">
                  <c:v>Returns</c:v>
                </c:pt>
              </c:strCache>
            </c:strRef>
          </c:cat>
          <c:val>
            <c:numRef>
              <c:f>pivot!$C$19:$C$22</c:f>
              <c:numCache>
                <c:formatCode>General</c:formatCode>
                <c:ptCount val="3"/>
                <c:pt idx="0">
                  <c:v>32</c:v>
                </c:pt>
                <c:pt idx="1">
                  <c:v>6</c:v>
                </c:pt>
                <c:pt idx="2">
                  <c:v>2</c:v>
                </c:pt>
              </c:numCache>
            </c:numRef>
          </c:val>
          <c:extLst>
            <c:ext xmlns:c16="http://schemas.microsoft.com/office/drawing/2014/chart" uri="{C3380CC4-5D6E-409C-BE32-E72D297353CC}">
              <c16:uniqueId val="{00000000-1389-4A1D-B271-5FAFCCB503A0}"/>
            </c:ext>
          </c:extLst>
        </c:ser>
        <c:dLbls>
          <c:showLegendKey val="0"/>
          <c:showVal val="0"/>
          <c:showCatName val="0"/>
          <c:showSerName val="0"/>
          <c:showPercent val="0"/>
          <c:showBubbleSize val="0"/>
        </c:dLbls>
        <c:gapWidth val="219"/>
        <c:overlap val="-27"/>
        <c:axId val="1457102912"/>
        <c:axId val="1457093312"/>
      </c:barChart>
      <c:catAx>
        <c:axId val="14571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57093312"/>
        <c:crosses val="autoZero"/>
        <c:auto val="1"/>
        <c:lblAlgn val="ctr"/>
        <c:lblOffset val="100"/>
        <c:noMultiLvlLbl val="0"/>
      </c:catAx>
      <c:valAx>
        <c:axId val="1457093312"/>
        <c:scaling>
          <c:orientation val="minMax"/>
        </c:scaling>
        <c:delete val="1"/>
        <c:axPos val="l"/>
        <c:numFmt formatCode="General" sourceLinked="1"/>
        <c:majorTickMark val="none"/>
        <c:minorTickMark val="none"/>
        <c:tickLblPos val="nextTo"/>
        <c:crossAx val="145710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[Age_Distribution Dashboard.xlsx]pivot!PivotTable6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bg2">
                    <a:lumMod val="25000"/>
                  </a:schemeClr>
                </a:solidFill>
                <a:effectLst/>
              </a:rPr>
              <a:t>Avenue Preference by Equity </a:t>
            </a:r>
            <a:endParaRPr lang="en-US" sz="1600" b="1">
              <a:solidFill>
                <a:schemeClr val="bg2">
                  <a:lumMod val="25000"/>
                </a:schemeClr>
              </a:solidFill>
            </a:endParaRPr>
          </a:p>
        </c:rich>
      </c:tx>
      <c:layout>
        <c:manualLayout>
          <c:xMode val="edge"/>
          <c:yMode val="edge"/>
          <c:x val="9.7995884678595727E-2"/>
          <c:y val="1.1544006297391782E-2"/>
        </c:manualLayout>
      </c:layout>
      <c:overlay val="0"/>
      <c:spPr>
        <a:solidFill>
          <a:schemeClr val="bg1">
            <a:lumMod val="85000"/>
          </a:scheme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4ACAC"/>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4ACAC"/>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bg2">
                <a:lumMod val="10000"/>
              </a:schemeClr>
            </a:solidFill>
          </a:ln>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9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4ACAC"/>
          </a:solidFill>
          <a:ln w="19050">
            <a:solidFill>
              <a:schemeClr val="bg2">
                <a:lumMod val="10000"/>
              </a:schemeClr>
            </a:solidFill>
          </a:ln>
          <a:effectLst/>
        </c:spPr>
      </c:pivotFmt>
      <c:pivotFmt>
        <c:idx val="25"/>
        <c:spPr>
          <a:solidFill>
            <a:srgbClr val="66CCFF"/>
          </a:solidFill>
          <a:ln w="19050">
            <a:solidFill>
              <a:schemeClr val="bg2">
                <a:lumMod val="10000"/>
              </a:schemeClr>
            </a:solidFill>
          </a:ln>
          <a:effectLst/>
        </c:spPr>
      </c:pivotFmt>
      <c:pivotFmt>
        <c:idx val="26"/>
        <c:spPr>
          <a:solidFill>
            <a:srgbClr val="0099FF"/>
          </a:solidFill>
          <a:ln w="19050">
            <a:solidFill>
              <a:schemeClr val="bg2">
                <a:lumMod val="10000"/>
              </a:schemeClr>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pivot!$C$31:$C$32</c:f>
              <c:strCache>
                <c:ptCount val="1"/>
                <c:pt idx="0">
                  <c:v>Equity</c:v>
                </c:pt>
              </c:strCache>
            </c:strRef>
          </c:tx>
          <c:spPr>
            <a:ln>
              <a:solidFill>
                <a:schemeClr val="bg2">
                  <a:lumMod val="10000"/>
                </a:schemeClr>
              </a:solidFill>
            </a:ln>
          </c:spPr>
          <c:dPt>
            <c:idx val="0"/>
            <c:bubble3D val="0"/>
            <c:spPr>
              <a:solidFill>
                <a:srgbClr val="14ACAC"/>
              </a:solidFill>
              <a:ln w="19050">
                <a:solidFill>
                  <a:schemeClr val="bg2">
                    <a:lumMod val="10000"/>
                  </a:schemeClr>
                </a:solidFill>
              </a:ln>
              <a:effectLst/>
            </c:spPr>
            <c:extLst>
              <c:ext xmlns:c16="http://schemas.microsoft.com/office/drawing/2014/chart" uri="{C3380CC4-5D6E-409C-BE32-E72D297353CC}">
                <c16:uniqueId val="{00000001-3EA1-4222-AAC7-DBF49BFC1B97}"/>
              </c:ext>
            </c:extLst>
          </c:dPt>
          <c:dPt>
            <c:idx val="1"/>
            <c:bubble3D val="0"/>
            <c:spPr>
              <a:solidFill>
                <a:srgbClr val="66CCFF"/>
              </a:solidFill>
              <a:ln w="19050">
                <a:solidFill>
                  <a:schemeClr val="bg2">
                    <a:lumMod val="10000"/>
                  </a:schemeClr>
                </a:solidFill>
              </a:ln>
              <a:effectLst/>
            </c:spPr>
            <c:extLst>
              <c:ext xmlns:c16="http://schemas.microsoft.com/office/drawing/2014/chart" uri="{C3380CC4-5D6E-409C-BE32-E72D297353CC}">
                <c16:uniqueId val="{00000003-3EA1-4222-AAC7-DBF49BFC1B97}"/>
              </c:ext>
            </c:extLst>
          </c:dPt>
          <c:dPt>
            <c:idx val="2"/>
            <c:bubble3D val="0"/>
            <c:spPr>
              <a:solidFill>
                <a:srgbClr val="0099FF"/>
              </a:solidFill>
              <a:ln w="19050">
                <a:solidFill>
                  <a:schemeClr val="bg2">
                    <a:lumMod val="10000"/>
                  </a:schemeClr>
                </a:solidFill>
              </a:ln>
              <a:effectLst/>
            </c:spPr>
            <c:extLst>
              <c:ext xmlns:c16="http://schemas.microsoft.com/office/drawing/2014/chart" uri="{C3380CC4-5D6E-409C-BE32-E72D297353CC}">
                <c16:uniqueId val="{00000005-3EA1-4222-AAC7-DBF49BFC1B97}"/>
              </c:ext>
            </c:extLst>
          </c:dPt>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90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pivot!$B$33:$B$36</c:f>
              <c:strCache>
                <c:ptCount val="3"/>
                <c:pt idx="0">
                  <c:v>20%-30%</c:v>
                </c:pt>
                <c:pt idx="1">
                  <c:v>10%-20%</c:v>
                </c:pt>
                <c:pt idx="2">
                  <c:v>30%-40%</c:v>
                </c:pt>
              </c:strCache>
            </c:strRef>
          </c:cat>
          <c:val>
            <c:numRef>
              <c:f>pivot!$C$33:$C$36</c:f>
              <c:numCache>
                <c:formatCode>General</c:formatCode>
                <c:ptCount val="3"/>
                <c:pt idx="0">
                  <c:v>8</c:v>
                </c:pt>
                <c:pt idx="1">
                  <c:v>1</c:v>
                </c:pt>
                <c:pt idx="2">
                  <c:v>1</c:v>
                </c:pt>
              </c:numCache>
            </c:numRef>
          </c:val>
          <c:extLst>
            <c:ext xmlns:c16="http://schemas.microsoft.com/office/drawing/2014/chart" uri="{C3380CC4-5D6E-409C-BE32-E72D297353CC}">
              <c16:uniqueId val="{00000006-3EA1-4222-AAC7-DBF49BFC1B97}"/>
            </c:ext>
          </c:extLst>
        </c:ser>
        <c:ser>
          <c:idx val="1"/>
          <c:order val="1"/>
          <c:tx>
            <c:strRef>
              <c:f>pivot!$D$31:$D$32</c:f>
              <c:strCache>
                <c:ptCount val="1"/>
                <c:pt idx="0">
                  <c:v>Fixed Deposits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770-48A9-B066-705986CFE2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770-48A9-B066-705986CFE2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770-48A9-B066-705986CFE2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pivot!$B$33:$B$36</c:f>
              <c:strCache>
                <c:ptCount val="3"/>
                <c:pt idx="0">
                  <c:v>20%-30%</c:v>
                </c:pt>
                <c:pt idx="1">
                  <c:v>10%-20%</c:v>
                </c:pt>
                <c:pt idx="2">
                  <c:v>30%-40%</c:v>
                </c:pt>
              </c:strCache>
            </c:strRef>
          </c:cat>
          <c:val>
            <c:numRef>
              <c:f>pivot!$D$33:$D$36</c:f>
              <c:numCache>
                <c:formatCode>General</c:formatCode>
                <c:ptCount val="3"/>
                <c:pt idx="0">
                  <c:v>8</c:v>
                </c:pt>
                <c:pt idx="2">
                  <c:v>1</c:v>
                </c:pt>
              </c:numCache>
            </c:numRef>
          </c:val>
          <c:extLst>
            <c:ext xmlns:c16="http://schemas.microsoft.com/office/drawing/2014/chart" uri="{C3380CC4-5D6E-409C-BE32-E72D297353CC}">
              <c16:uniqueId val="{0000001F-3EA1-4222-AAC7-DBF49BFC1B97}"/>
            </c:ext>
          </c:extLst>
        </c:ser>
        <c:ser>
          <c:idx val="2"/>
          <c:order val="2"/>
          <c:tx>
            <c:strRef>
              <c:f>pivot!$E$31:$E$32</c:f>
              <c:strCache>
                <c:ptCount val="1"/>
                <c:pt idx="0">
                  <c:v>Mutual Fund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0770-48A9-B066-705986CFE2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0770-48A9-B066-705986CFE2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0770-48A9-B066-705986CFE2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pivot!$B$33:$B$36</c:f>
              <c:strCache>
                <c:ptCount val="3"/>
                <c:pt idx="0">
                  <c:v>20%-30%</c:v>
                </c:pt>
                <c:pt idx="1">
                  <c:v>10%-20%</c:v>
                </c:pt>
                <c:pt idx="2">
                  <c:v>30%-40%</c:v>
                </c:pt>
              </c:strCache>
            </c:strRef>
          </c:cat>
          <c:val>
            <c:numRef>
              <c:f>pivot!$E$33:$E$36</c:f>
              <c:numCache>
                <c:formatCode>General</c:formatCode>
                <c:ptCount val="3"/>
                <c:pt idx="0">
                  <c:v>15</c:v>
                </c:pt>
                <c:pt idx="1">
                  <c:v>2</c:v>
                </c:pt>
                <c:pt idx="2">
                  <c:v>1</c:v>
                </c:pt>
              </c:numCache>
            </c:numRef>
          </c:val>
          <c:extLst>
            <c:ext xmlns:c16="http://schemas.microsoft.com/office/drawing/2014/chart" uri="{C3380CC4-5D6E-409C-BE32-E72D297353CC}">
              <c16:uniqueId val="{00000020-3EA1-4222-AAC7-DBF49BFC1B97}"/>
            </c:ext>
          </c:extLst>
        </c:ser>
        <c:ser>
          <c:idx val="3"/>
          <c:order val="3"/>
          <c:tx>
            <c:strRef>
              <c:f>pivot!$F$31:$F$32</c:f>
              <c:strCache>
                <c:ptCount val="1"/>
                <c:pt idx="0">
                  <c:v>Public Provident Fund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0770-48A9-B066-705986CFE2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0770-48A9-B066-705986CFE2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0770-48A9-B066-705986CFE2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pivot!$B$33:$B$36</c:f>
              <c:strCache>
                <c:ptCount val="3"/>
                <c:pt idx="0">
                  <c:v>20%-30%</c:v>
                </c:pt>
                <c:pt idx="1">
                  <c:v>10%-20%</c:v>
                </c:pt>
                <c:pt idx="2">
                  <c:v>30%-40%</c:v>
                </c:pt>
              </c:strCache>
            </c:strRef>
          </c:cat>
          <c:val>
            <c:numRef>
              <c:f>pivot!$F$33:$F$36</c:f>
              <c:numCache>
                <c:formatCode>General</c:formatCode>
                <c:ptCount val="3"/>
                <c:pt idx="0">
                  <c:v>1</c:v>
                </c:pt>
                <c:pt idx="2">
                  <c:v>2</c:v>
                </c:pt>
              </c:numCache>
            </c:numRef>
          </c:val>
          <c:extLst>
            <c:ext xmlns:c16="http://schemas.microsoft.com/office/drawing/2014/chart" uri="{C3380CC4-5D6E-409C-BE32-E72D297353CC}">
              <c16:uniqueId val="{00000021-3EA1-4222-AAC7-DBF49BFC1B9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[Age_Distribution Dashboard.xlsx]pivot!PivotTable7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2">
                    <a:lumMod val="25000"/>
                  </a:schemeClr>
                </a:solidFill>
              </a:rPr>
              <a:t>Source</a:t>
            </a:r>
            <a:r>
              <a:rPr lang="en-IN" sz="1600" b="1" baseline="0">
                <a:solidFill>
                  <a:schemeClr val="bg2">
                    <a:lumMod val="25000"/>
                  </a:schemeClr>
                </a:solidFill>
              </a:rPr>
              <a:t> of Investment Information by Gender</a:t>
            </a:r>
            <a:endParaRPr lang="en-IN" sz="1600" b="1">
              <a:solidFill>
                <a:schemeClr val="bg2">
                  <a:lumMod val="25000"/>
                </a:schemeClr>
              </a:solidFill>
            </a:endParaRPr>
          </a:p>
        </c:rich>
      </c:tx>
      <c:overlay val="0"/>
      <c:spPr>
        <a:solidFill>
          <a:schemeClr val="bg1">
            <a:lumMod val="85000"/>
          </a:scheme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4AC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pivotFmt>
      <c:pivotFmt>
        <c:idx val="7"/>
        <c:spPr>
          <a:solidFill>
            <a:srgbClr val="14ACAC"/>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66666666666666E-2"/>
          <c:y val="0.26043961239661995"/>
          <c:w val="0.89523809523809528"/>
          <c:h val="0.46900641486286809"/>
        </c:manualLayout>
      </c:layout>
      <c:barChart>
        <c:barDir val="col"/>
        <c:grouping val="clustered"/>
        <c:varyColors val="0"/>
        <c:ser>
          <c:idx val="0"/>
          <c:order val="0"/>
          <c:tx>
            <c:strRef>
              <c:f>pivot!$C$38:$C$39</c:f>
              <c:strCache>
                <c:ptCount val="1"/>
                <c:pt idx="0">
                  <c:v>Female</c:v>
                </c:pt>
              </c:strCache>
            </c:strRef>
          </c:tx>
          <c:spPr>
            <a:solidFill>
              <a:srgbClr val="0070C0"/>
            </a:solidFill>
            <a:ln>
              <a:noFill/>
            </a:ln>
            <a:effectLst/>
          </c:spPr>
          <c:invertIfNegative val="0"/>
          <c:cat>
            <c:strRef>
              <c:f>pivot!$B$40:$B$44</c:f>
              <c:strCache>
                <c:ptCount val="4"/>
                <c:pt idx="0">
                  <c:v>Financial Consultants</c:v>
                </c:pt>
                <c:pt idx="1">
                  <c:v>Newspapers and Magazines</c:v>
                </c:pt>
                <c:pt idx="2">
                  <c:v>Television</c:v>
                </c:pt>
                <c:pt idx="3">
                  <c:v>Internet</c:v>
                </c:pt>
              </c:strCache>
            </c:strRef>
          </c:cat>
          <c:val>
            <c:numRef>
              <c:f>pivot!$C$40:$C$44</c:f>
              <c:numCache>
                <c:formatCode>General</c:formatCode>
                <c:ptCount val="4"/>
                <c:pt idx="0">
                  <c:v>6</c:v>
                </c:pt>
                <c:pt idx="1">
                  <c:v>5</c:v>
                </c:pt>
                <c:pt idx="2">
                  <c:v>1</c:v>
                </c:pt>
                <c:pt idx="3">
                  <c:v>3</c:v>
                </c:pt>
              </c:numCache>
            </c:numRef>
          </c:val>
          <c:extLst>
            <c:ext xmlns:c16="http://schemas.microsoft.com/office/drawing/2014/chart" uri="{C3380CC4-5D6E-409C-BE32-E72D297353CC}">
              <c16:uniqueId val="{00000000-3D7D-4904-A70D-D44A9C36BB6F}"/>
            </c:ext>
          </c:extLst>
        </c:ser>
        <c:ser>
          <c:idx val="1"/>
          <c:order val="1"/>
          <c:tx>
            <c:strRef>
              <c:f>pivot!$D$38:$D$39</c:f>
              <c:strCache>
                <c:ptCount val="1"/>
                <c:pt idx="0">
                  <c:v>Male</c:v>
                </c:pt>
              </c:strCache>
            </c:strRef>
          </c:tx>
          <c:spPr>
            <a:solidFill>
              <a:srgbClr val="14ACAC"/>
            </a:solidFill>
            <a:ln>
              <a:noFill/>
            </a:ln>
            <a:effectLst/>
          </c:spPr>
          <c:invertIfNegative val="0"/>
          <c:cat>
            <c:strRef>
              <c:f>pivot!$B$40:$B$44</c:f>
              <c:strCache>
                <c:ptCount val="4"/>
                <c:pt idx="0">
                  <c:v>Financial Consultants</c:v>
                </c:pt>
                <c:pt idx="1">
                  <c:v>Newspapers and Magazines</c:v>
                </c:pt>
                <c:pt idx="2">
                  <c:v>Television</c:v>
                </c:pt>
                <c:pt idx="3">
                  <c:v>Internet</c:v>
                </c:pt>
              </c:strCache>
            </c:strRef>
          </c:cat>
          <c:val>
            <c:numRef>
              <c:f>pivot!$D$40:$D$44</c:f>
              <c:numCache>
                <c:formatCode>General</c:formatCode>
                <c:ptCount val="4"/>
                <c:pt idx="0">
                  <c:v>10</c:v>
                </c:pt>
                <c:pt idx="1">
                  <c:v>9</c:v>
                </c:pt>
                <c:pt idx="2">
                  <c:v>5</c:v>
                </c:pt>
                <c:pt idx="3">
                  <c:v>1</c:v>
                </c:pt>
              </c:numCache>
            </c:numRef>
          </c:val>
          <c:extLst>
            <c:ext xmlns:c16="http://schemas.microsoft.com/office/drawing/2014/chart" uri="{C3380CC4-5D6E-409C-BE32-E72D297353CC}">
              <c16:uniqueId val="{00000006-3D7D-4904-A70D-D44A9C36BB6F}"/>
            </c:ext>
          </c:extLst>
        </c:ser>
        <c:dLbls>
          <c:showLegendKey val="0"/>
          <c:showVal val="0"/>
          <c:showCatName val="0"/>
          <c:showSerName val="0"/>
          <c:showPercent val="0"/>
          <c:showBubbleSize val="0"/>
        </c:dLbls>
        <c:gapWidth val="219"/>
        <c:overlap val="-27"/>
        <c:axId val="1457109152"/>
        <c:axId val="1457113472"/>
      </c:barChart>
      <c:catAx>
        <c:axId val="145710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57113472"/>
        <c:crosses val="autoZero"/>
        <c:auto val="1"/>
        <c:lblAlgn val="ctr"/>
        <c:lblOffset val="100"/>
        <c:noMultiLvlLbl val="0"/>
      </c:catAx>
      <c:valAx>
        <c:axId val="1457113472"/>
        <c:scaling>
          <c:orientation val="minMax"/>
        </c:scaling>
        <c:delete val="1"/>
        <c:axPos val="l"/>
        <c:numFmt formatCode="General" sourceLinked="1"/>
        <c:majorTickMark val="none"/>
        <c:minorTickMark val="none"/>
        <c:tickLblPos val="nextTo"/>
        <c:crossAx val="1457109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[Age_Distribution Dashboard.xlsx]pivot!PivotTable10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65000"/>
                    <a:lumOff val="35000"/>
                  </a:schemeClr>
                </a:solidFill>
              </a:rPr>
              <a:t>Mutual</a:t>
            </a:r>
            <a:r>
              <a:rPr lang="en-US" sz="1600" b="1" baseline="0">
                <a:solidFill>
                  <a:schemeClr val="tx1">
                    <a:lumMod val="65000"/>
                    <a:lumOff val="35000"/>
                  </a:schemeClr>
                </a:solidFill>
              </a:rPr>
              <a:t> Funds By Gender</a:t>
            </a:r>
            <a:endParaRPr lang="en-US" sz="1600" b="1">
              <a:solidFill>
                <a:schemeClr val="tx1">
                  <a:lumMod val="65000"/>
                  <a:lumOff val="35000"/>
                </a:schemeClr>
              </a:solidFill>
            </a:endParaRPr>
          </a:p>
        </c:rich>
      </c:tx>
      <c:overlay val="0"/>
      <c:spPr>
        <a:solidFill>
          <a:schemeClr val="bg1">
            <a:lumMod val="85000"/>
          </a:scheme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CCCC"/>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CCCC"/>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CCCC"/>
          </a:solidFill>
          <a:ln>
            <a:noFill/>
          </a:ln>
          <a:effectLst/>
        </c:spPr>
      </c:pivotFmt>
    </c:pivotFmts>
    <c:plotArea>
      <c:layout/>
      <c:barChart>
        <c:barDir val="bar"/>
        <c:grouping val="clustered"/>
        <c:varyColors val="0"/>
        <c:ser>
          <c:idx val="0"/>
          <c:order val="0"/>
          <c:tx>
            <c:strRef>
              <c:f>pivot!$C$74</c:f>
              <c:strCache>
                <c:ptCount val="1"/>
                <c:pt idx="0">
                  <c:v>Total</c:v>
                </c:pt>
              </c:strCache>
            </c:strRef>
          </c:tx>
          <c:spPr>
            <a:solidFill>
              <a:schemeClr val="accent1"/>
            </a:solidFill>
            <a:ln>
              <a:noFill/>
            </a:ln>
            <a:effectLst/>
          </c:spPr>
          <c:invertIfNegative val="0"/>
          <c:dPt>
            <c:idx val="1"/>
            <c:invertIfNegative val="0"/>
            <c:bubble3D val="0"/>
            <c:spPr>
              <a:solidFill>
                <a:srgbClr val="33CCCC"/>
              </a:solidFill>
              <a:ln>
                <a:noFill/>
              </a:ln>
              <a:effectLst/>
            </c:spPr>
            <c:extLst>
              <c:ext xmlns:c16="http://schemas.microsoft.com/office/drawing/2014/chart" uri="{C3380CC4-5D6E-409C-BE32-E72D297353CC}">
                <c16:uniqueId val="{00000001-9730-459C-9FBD-FB11728220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pivot!$B$75:$B$77</c:f>
              <c:strCache>
                <c:ptCount val="2"/>
                <c:pt idx="0">
                  <c:v>Female</c:v>
                </c:pt>
                <c:pt idx="1">
                  <c:v>Male</c:v>
                </c:pt>
              </c:strCache>
            </c:strRef>
          </c:cat>
          <c:val>
            <c:numRef>
              <c:f>pivot!$C$75:$C$77</c:f>
              <c:numCache>
                <c:formatCode>General</c:formatCode>
                <c:ptCount val="2"/>
                <c:pt idx="0">
                  <c:v>41</c:v>
                </c:pt>
                <c:pt idx="1">
                  <c:v>61</c:v>
                </c:pt>
              </c:numCache>
            </c:numRef>
          </c:val>
          <c:extLst>
            <c:ext xmlns:c16="http://schemas.microsoft.com/office/drawing/2014/chart" uri="{C3380CC4-5D6E-409C-BE32-E72D297353CC}">
              <c16:uniqueId val="{00000002-9730-459C-9FBD-FB117282201B}"/>
            </c:ext>
          </c:extLst>
        </c:ser>
        <c:dLbls>
          <c:dLblPos val="outEnd"/>
          <c:showLegendKey val="0"/>
          <c:showVal val="1"/>
          <c:showCatName val="0"/>
          <c:showSerName val="0"/>
          <c:showPercent val="0"/>
          <c:showBubbleSize val="0"/>
        </c:dLbls>
        <c:gapWidth val="182"/>
        <c:axId val="1504181200"/>
        <c:axId val="1504182640"/>
      </c:barChart>
      <c:catAx>
        <c:axId val="150418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504182640"/>
        <c:crosses val="autoZero"/>
        <c:auto val="1"/>
        <c:lblAlgn val="ctr"/>
        <c:lblOffset val="100"/>
        <c:noMultiLvlLbl val="0"/>
      </c:catAx>
      <c:valAx>
        <c:axId val="1504182640"/>
        <c:scaling>
          <c:orientation val="minMax"/>
        </c:scaling>
        <c:delete val="1"/>
        <c:axPos val="b"/>
        <c:numFmt formatCode="General" sourceLinked="1"/>
        <c:majorTickMark val="none"/>
        <c:minorTickMark val="none"/>
        <c:tickLblPos val="nextTo"/>
        <c:crossAx val="15041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[Age_Distribution Dashboard.xlsx]pivot!PivotTable5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2">
                    <a:lumMod val="25000"/>
                  </a:schemeClr>
                </a:solidFill>
              </a:rPr>
              <a:t>Factor</a:t>
            </a:r>
            <a:r>
              <a:rPr lang="en-IN" sz="1600" b="1" baseline="0">
                <a:solidFill>
                  <a:schemeClr val="bg2">
                    <a:lumMod val="25000"/>
                  </a:schemeClr>
                </a:solidFill>
              </a:rPr>
              <a:t> Vs Objective</a:t>
            </a:r>
            <a:endParaRPr lang="en-IN" sz="1600" b="1">
              <a:solidFill>
                <a:schemeClr val="bg2">
                  <a:lumMod val="25000"/>
                </a:schemeClr>
              </a:solidFill>
            </a:endParaRPr>
          </a:p>
        </c:rich>
      </c:tx>
      <c:overlay val="0"/>
      <c:spPr>
        <a:solidFill>
          <a:schemeClr val="bg1">
            <a:lumMod val="85000"/>
          </a:scheme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CCCC"/>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pivot!$C$24:$C$25</c:f>
              <c:strCache>
                <c:ptCount val="1"/>
                <c:pt idx="0">
                  <c:v>Growth</c:v>
                </c:pt>
              </c:strCache>
            </c:strRef>
          </c:tx>
          <c:spPr>
            <a:solidFill>
              <a:srgbClr val="0099CC"/>
            </a:solidFill>
            <a:ln>
              <a:noFill/>
            </a:ln>
            <a:effectLst/>
          </c:spPr>
          <c:invertIfNegative val="0"/>
          <c:dPt>
            <c:idx val="1"/>
            <c:invertIfNegative val="0"/>
            <c:bubble3D val="0"/>
            <c:spPr>
              <a:solidFill>
                <a:srgbClr val="33CCCC"/>
              </a:solidFill>
              <a:ln>
                <a:noFill/>
              </a:ln>
              <a:effectLst/>
            </c:spPr>
            <c:extLst>
              <c:ext xmlns:c16="http://schemas.microsoft.com/office/drawing/2014/chart" uri="{C3380CC4-5D6E-409C-BE32-E72D297353CC}">
                <c16:uniqueId val="{00000001-8EDE-42B0-8602-6B71E1EE10B2}"/>
              </c:ext>
            </c:extLst>
          </c:dPt>
          <c:cat>
            <c:strRef>
              <c:f>pivot!$B$26:$B$28</c:f>
              <c:strCache>
                <c:ptCount val="2"/>
                <c:pt idx="0">
                  <c:v>Risk</c:v>
                </c:pt>
                <c:pt idx="1">
                  <c:v>Returns</c:v>
                </c:pt>
              </c:strCache>
            </c:strRef>
          </c:cat>
          <c:val>
            <c:numRef>
              <c:f>pivot!$C$26:$C$28</c:f>
              <c:numCache>
                <c:formatCode>General</c:formatCode>
                <c:ptCount val="2"/>
                <c:pt idx="0">
                  <c:v>8</c:v>
                </c:pt>
                <c:pt idx="1">
                  <c:v>3</c:v>
                </c:pt>
              </c:numCache>
            </c:numRef>
          </c:val>
          <c:extLst>
            <c:ext xmlns:c16="http://schemas.microsoft.com/office/drawing/2014/chart" uri="{C3380CC4-5D6E-409C-BE32-E72D297353CC}">
              <c16:uniqueId val="{00000000-8EDE-42B0-8602-6B71E1EE10B2}"/>
            </c:ext>
          </c:extLst>
        </c:ser>
        <c:dLbls>
          <c:showLegendKey val="0"/>
          <c:showVal val="0"/>
          <c:showCatName val="0"/>
          <c:showSerName val="0"/>
          <c:showPercent val="0"/>
          <c:showBubbleSize val="0"/>
        </c:dLbls>
        <c:gapWidth val="219"/>
        <c:overlap val="-27"/>
        <c:axId val="1504146160"/>
        <c:axId val="1504150480"/>
      </c:barChart>
      <c:catAx>
        <c:axId val="150414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4150480"/>
        <c:crosses val="autoZero"/>
        <c:auto val="1"/>
        <c:lblAlgn val="ctr"/>
        <c:lblOffset val="100"/>
        <c:noMultiLvlLbl val="0"/>
      </c:catAx>
      <c:valAx>
        <c:axId val="1504150480"/>
        <c:scaling>
          <c:orientation val="minMax"/>
        </c:scaling>
        <c:delete val="1"/>
        <c:axPos val="l"/>
        <c:numFmt formatCode="General" sourceLinked="1"/>
        <c:majorTickMark val="none"/>
        <c:minorTickMark val="none"/>
        <c:tickLblPos val="nextTo"/>
        <c:crossAx val="150414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110098</xdr:colOff>
      <xdr:row>2</xdr:row>
      <xdr:rowOff>166687</xdr:rowOff>
    </xdr:from>
    <xdr:to>
      <xdr:col>5</xdr:col>
      <xdr:colOff>81525</xdr:colOff>
      <xdr:row>6</xdr:row>
      <xdr:rowOff>95250</xdr:rowOff>
    </xdr:to>
    <xdr:sp macro="" textlink="">
      <xdr:nvSpPr>
        <xdr:cNvPr id="2" name="Rectangle: Rounded Corners 1">
          <a:extLst>
            <a:ext uri="{FF2B5EF4-FFF2-40B4-BE49-F238E27FC236}">
              <a16:creationId xmlns:a16="http://schemas.microsoft.com/office/drawing/2014/main" id="{B4A9558A-023A-C777-F2C5-D3361FD12CEA}"/>
            </a:ext>
          </a:extLst>
        </xdr:cNvPr>
        <xdr:cNvSpPr/>
      </xdr:nvSpPr>
      <xdr:spPr>
        <a:xfrm>
          <a:off x="2043113" y="698966"/>
          <a:ext cx="1260103" cy="656946"/>
        </a:xfrm>
        <a:prstGeom prst="roundRect">
          <a:avLst/>
        </a:prstGeom>
        <a:solidFill>
          <a:srgbClr val="14AC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40</a:t>
          </a:r>
        </a:p>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Total</a:t>
          </a:r>
          <a:r>
            <a:rPr lang="en-IN" sz="1100" baseline="0">
              <a:solidFill>
                <a:schemeClr val="lt1"/>
              </a:solidFill>
              <a:effectLst/>
              <a:latin typeface="+mn-lt"/>
              <a:ea typeface="+mn-ea"/>
              <a:cs typeface="+mn-cs"/>
            </a:rPr>
            <a:t> </a:t>
          </a:r>
          <a:endParaRPr lang="en-IN" sz="1400">
            <a:effectLst/>
          </a:endParaRPr>
        </a:p>
        <a:p>
          <a:pPr algn="ctr"/>
          <a:endParaRPr lang="en-IN" sz="1400" b="1"/>
        </a:p>
      </xdr:txBody>
    </xdr:sp>
    <xdr:clientData/>
  </xdr:twoCellAnchor>
  <xdr:twoCellAnchor>
    <xdr:from>
      <xdr:col>6</xdr:col>
      <xdr:colOff>127188</xdr:colOff>
      <xdr:row>2</xdr:row>
      <xdr:rowOff>171450</xdr:rowOff>
    </xdr:from>
    <xdr:to>
      <xdr:col>8</xdr:col>
      <xdr:colOff>12888</xdr:colOff>
      <xdr:row>6</xdr:row>
      <xdr:rowOff>109537</xdr:rowOff>
    </xdr:to>
    <xdr:sp macro="" textlink="">
      <xdr:nvSpPr>
        <xdr:cNvPr id="3" name="Rectangle: Rounded Corners 2">
          <a:extLst>
            <a:ext uri="{FF2B5EF4-FFF2-40B4-BE49-F238E27FC236}">
              <a16:creationId xmlns:a16="http://schemas.microsoft.com/office/drawing/2014/main" id="{50F9B852-01FE-C3E7-8943-B3351A77C5F4}"/>
            </a:ext>
          </a:extLst>
        </xdr:cNvPr>
        <xdr:cNvSpPr/>
      </xdr:nvSpPr>
      <xdr:spPr>
        <a:xfrm>
          <a:off x="3993217" y="703729"/>
          <a:ext cx="1174377" cy="666470"/>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  </a:t>
          </a:r>
          <a:r>
            <a:rPr lang="en-IN" sz="1600" b="1" baseline="0"/>
            <a:t>38%</a:t>
          </a:r>
          <a:endParaRPr lang="en-IN" sz="1100" b="0" baseline="0"/>
        </a:p>
        <a:p>
          <a:pPr algn="ctr"/>
          <a:r>
            <a:rPr lang="en-IN" sz="1200" b="1" baseline="0"/>
            <a:t>Female</a:t>
          </a:r>
          <a:endParaRPr lang="en-IN" sz="1100" b="1" baseline="0"/>
        </a:p>
      </xdr:txBody>
    </xdr:sp>
    <xdr:clientData/>
  </xdr:twoCellAnchor>
  <xdr:twoCellAnchor>
    <xdr:from>
      <xdr:col>9</xdr:col>
      <xdr:colOff>152401</xdr:colOff>
      <xdr:row>2</xdr:row>
      <xdr:rowOff>176212</xdr:rowOff>
    </xdr:from>
    <xdr:to>
      <xdr:col>11</xdr:col>
      <xdr:colOff>57153</xdr:colOff>
      <xdr:row>6</xdr:row>
      <xdr:rowOff>109537</xdr:rowOff>
    </xdr:to>
    <xdr:sp macro="" textlink="">
      <xdr:nvSpPr>
        <xdr:cNvPr id="4" name="Rectangle: Rounded Corners 3">
          <a:extLst>
            <a:ext uri="{FF2B5EF4-FFF2-40B4-BE49-F238E27FC236}">
              <a16:creationId xmlns:a16="http://schemas.microsoft.com/office/drawing/2014/main" id="{5821C49A-6B05-0088-C8B1-F9CB78136376}"/>
            </a:ext>
          </a:extLst>
        </xdr:cNvPr>
        <xdr:cNvSpPr/>
      </xdr:nvSpPr>
      <xdr:spPr>
        <a:xfrm>
          <a:off x="5981701" y="709612"/>
          <a:ext cx="1200152" cy="657225"/>
        </a:xfrm>
        <a:prstGeom prst="roundRect">
          <a:avLst/>
        </a:prstGeom>
        <a:solidFill>
          <a:srgbClr val="14AC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63%</a:t>
          </a:r>
        </a:p>
        <a:p>
          <a:pPr algn="ctr"/>
          <a:r>
            <a:rPr lang="en-IN" sz="1200" b="1"/>
            <a:t>Male</a:t>
          </a:r>
        </a:p>
      </xdr:txBody>
    </xdr:sp>
    <xdr:clientData/>
  </xdr:twoCellAnchor>
  <xdr:twoCellAnchor>
    <xdr:from>
      <xdr:col>3</xdr:col>
      <xdr:colOff>1</xdr:colOff>
      <xdr:row>7</xdr:row>
      <xdr:rowOff>84044</xdr:rowOff>
    </xdr:from>
    <xdr:to>
      <xdr:col>7</xdr:col>
      <xdr:colOff>190501</xdr:colOff>
      <xdr:row>20</xdr:row>
      <xdr:rowOff>76200</xdr:rowOff>
    </xdr:to>
    <xdr:graphicFrame macro="">
      <xdr:nvGraphicFramePr>
        <xdr:cNvPr id="5" name="Chart 4">
          <a:extLst>
            <a:ext uri="{FF2B5EF4-FFF2-40B4-BE49-F238E27FC236}">
              <a16:creationId xmlns:a16="http://schemas.microsoft.com/office/drawing/2014/main" id="{5EE00A08-3853-46EC-8927-CA67171A7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7</xdr:row>
      <xdr:rowOff>91049</xdr:rowOff>
    </xdr:from>
    <xdr:to>
      <xdr:col>11</xdr:col>
      <xdr:colOff>323850</xdr:colOff>
      <xdr:row>20</xdr:row>
      <xdr:rowOff>66676</xdr:rowOff>
    </xdr:to>
    <xdr:graphicFrame macro="">
      <xdr:nvGraphicFramePr>
        <xdr:cNvPr id="8" name="Chart 7">
          <a:extLst>
            <a:ext uri="{FF2B5EF4-FFF2-40B4-BE49-F238E27FC236}">
              <a16:creationId xmlns:a16="http://schemas.microsoft.com/office/drawing/2014/main" id="{5175AB0B-E809-440D-8FB5-A1423C3D6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28576</xdr:colOff>
      <xdr:row>21</xdr:row>
      <xdr:rowOff>42022</xdr:rowOff>
    </xdr:from>
    <xdr:to>
      <xdr:col>7</xdr:col>
      <xdr:colOff>140073</xdr:colOff>
      <xdr:row>34</xdr:row>
      <xdr:rowOff>105055</xdr:rowOff>
    </xdr:to>
    <xdr:graphicFrame macro="">
      <xdr:nvGraphicFramePr>
        <xdr:cNvPr id="10" name="Chart 9">
          <a:extLst>
            <a:ext uri="{FF2B5EF4-FFF2-40B4-BE49-F238E27FC236}">
              <a16:creationId xmlns:a16="http://schemas.microsoft.com/office/drawing/2014/main" id="{32478C7A-17DE-4E04-A111-33D0F41B7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457200</xdr:colOff>
      <xdr:row>16</xdr:row>
      <xdr:rowOff>28014</xdr:rowOff>
    </xdr:from>
    <xdr:to>
      <xdr:col>16</xdr:col>
      <xdr:colOff>406213</xdr:colOff>
      <xdr:row>34</xdr:row>
      <xdr:rowOff>126066</xdr:rowOff>
    </xdr:to>
    <xdr:graphicFrame macro="">
      <xdr:nvGraphicFramePr>
        <xdr:cNvPr id="11" name="Chart 10">
          <a:extLst>
            <a:ext uri="{FF2B5EF4-FFF2-40B4-BE49-F238E27FC236}">
              <a16:creationId xmlns:a16="http://schemas.microsoft.com/office/drawing/2014/main" id="{140FF1FA-CB62-43B4-B6E9-9C677ABB4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441231</xdr:colOff>
      <xdr:row>2</xdr:row>
      <xdr:rowOff>57150</xdr:rowOff>
    </xdr:from>
    <xdr:to>
      <xdr:col>16</xdr:col>
      <xdr:colOff>371195</xdr:colOff>
      <xdr:row>15</xdr:row>
      <xdr:rowOff>77041</xdr:rowOff>
    </xdr:to>
    <xdr:graphicFrame macro="">
      <xdr:nvGraphicFramePr>
        <xdr:cNvPr id="12" name="Chart 11">
          <a:extLst>
            <a:ext uri="{FF2B5EF4-FFF2-40B4-BE49-F238E27FC236}">
              <a16:creationId xmlns:a16="http://schemas.microsoft.com/office/drawing/2014/main" id="{CE6DD2A3-FAF2-430E-9DB5-2DFEF73C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287150</xdr:colOff>
      <xdr:row>21</xdr:row>
      <xdr:rowOff>42022</xdr:rowOff>
    </xdr:from>
    <xdr:to>
      <xdr:col>11</xdr:col>
      <xdr:colOff>301158</xdr:colOff>
      <xdr:row>34</xdr:row>
      <xdr:rowOff>91047</xdr:rowOff>
    </xdr:to>
    <xdr:graphicFrame macro="">
      <xdr:nvGraphicFramePr>
        <xdr:cNvPr id="13" name="Chart 12">
          <a:extLst>
            <a:ext uri="{FF2B5EF4-FFF2-40B4-BE49-F238E27FC236}">
              <a16:creationId xmlns:a16="http://schemas.microsoft.com/office/drawing/2014/main" id="{D5D251A4-B9CF-4A80-AA1B-C66F69317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112059</xdr:colOff>
      <xdr:row>26</xdr:row>
      <xdr:rowOff>35018</xdr:rowOff>
    </xdr:from>
    <xdr:to>
      <xdr:col>2</xdr:col>
      <xdr:colOff>595313</xdr:colOff>
      <xdr:row>34</xdr:row>
      <xdr:rowOff>84044</xdr:rowOff>
    </xdr:to>
    <mc:AlternateContent xmlns:mc="http://schemas.openxmlformats.org/markup-compatibility/2006" xmlns:a14="http://schemas.microsoft.com/office/drawing/2010/main">
      <mc:Choice Requires="a14">
        <xdr:graphicFrame macro="">
          <xdr:nvGraphicFramePr>
            <xdr:cNvPr id="14" name="Source 1">
              <a:extLst>
                <a:ext uri="{FF2B5EF4-FFF2-40B4-BE49-F238E27FC236}">
                  <a16:creationId xmlns:a16="http://schemas.microsoft.com/office/drawing/2014/main" id="{B21F0823-E056-4B6D-9997-D1F9E2B59CDB}"/>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112059" y="4937592"/>
              <a:ext cx="1771930" cy="1505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105056</xdr:colOff>
      <xdr:row>11</xdr:row>
      <xdr:rowOff>133070</xdr:rowOff>
    </xdr:from>
    <xdr:to>
      <xdr:col>2</xdr:col>
      <xdr:colOff>560296</xdr:colOff>
      <xdr:row>18</xdr:row>
      <xdr:rowOff>70037</xdr:rowOff>
    </xdr:to>
    <mc:AlternateContent xmlns:mc="http://schemas.openxmlformats.org/markup-compatibility/2006" xmlns:a14="http://schemas.microsoft.com/office/drawing/2010/main">
      <mc:Choice Requires="a14">
        <xdr:graphicFrame macro="">
          <xdr:nvGraphicFramePr>
            <xdr:cNvPr id="15" name="Purpose 1">
              <a:extLst>
                <a:ext uri="{FF2B5EF4-FFF2-40B4-BE49-F238E27FC236}">
                  <a16:creationId xmlns:a16="http://schemas.microsoft.com/office/drawing/2014/main" id="{410D193C-F31E-42B3-9C30-30B0F4338EA6}"/>
                </a:ext>
              </a:extLst>
            </xdr:cNvPr>
            <xdr:cNvGraphicFramePr/>
          </xdr:nvGraphicFramePr>
          <xdr:xfrm>
            <a:off x="0" y="0"/>
            <a:ext cx="0" cy="0"/>
          </xdr:xfrm>
          <a:graphic>
            <a:graphicData uri="http://schemas.microsoft.com/office/drawing/2010/slicer">
              <sle:slicer xmlns:sle="http://schemas.microsoft.com/office/drawing/2010/slicer" name="Purpose 1"/>
            </a:graphicData>
          </a:graphic>
        </xdr:graphicFrame>
      </mc:Choice>
      <mc:Fallback xmlns="">
        <xdr:sp macro="" textlink="">
          <xdr:nvSpPr>
            <xdr:cNvPr id="0" name=""/>
            <xdr:cNvSpPr>
              <a:spLocks noTextEdit="1"/>
            </xdr:cNvSpPr>
          </xdr:nvSpPr>
          <xdr:spPr>
            <a:xfrm>
              <a:off x="105056" y="2304210"/>
              <a:ext cx="1743916" cy="1211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105055</xdr:colOff>
      <xdr:row>19</xdr:row>
      <xdr:rowOff>42022</xdr:rowOff>
    </xdr:from>
    <xdr:to>
      <xdr:col>2</xdr:col>
      <xdr:colOff>589150</xdr:colOff>
      <xdr:row>25</xdr:row>
      <xdr:rowOff>98051</xdr:rowOff>
    </xdr:to>
    <mc:AlternateContent xmlns:mc="http://schemas.openxmlformats.org/markup-compatibility/2006" xmlns:a14="http://schemas.microsoft.com/office/drawing/2010/main">
      <mc:Choice Requires="a14">
        <xdr:graphicFrame macro="">
          <xdr:nvGraphicFramePr>
            <xdr:cNvPr id="17" name="Investment_Avenues 1">
              <a:extLst>
                <a:ext uri="{FF2B5EF4-FFF2-40B4-BE49-F238E27FC236}">
                  <a16:creationId xmlns:a16="http://schemas.microsoft.com/office/drawing/2014/main" id="{599240A7-A6D9-4A26-BF2C-B5B7AADA957E}"/>
                </a:ext>
              </a:extLst>
            </xdr:cNvPr>
            <xdr:cNvGraphicFramePr/>
          </xdr:nvGraphicFramePr>
          <xdr:xfrm>
            <a:off x="0" y="0"/>
            <a:ext cx="0" cy="0"/>
          </xdr:xfrm>
          <a:graphic>
            <a:graphicData uri="http://schemas.microsoft.com/office/drawing/2010/slicer">
              <sle:slicer xmlns:sle="http://schemas.microsoft.com/office/drawing/2010/slicer" name="Investment_Avenues 1"/>
            </a:graphicData>
          </a:graphic>
        </xdr:graphicFrame>
      </mc:Choice>
      <mc:Fallback xmlns="">
        <xdr:sp macro="" textlink="">
          <xdr:nvSpPr>
            <xdr:cNvPr id="0" name=""/>
            <xdr:cNvSpPr>
              <a:spLocks noTextEdit="1"/>
            </xdr:cNvSpPr>
          </xdr:nvSpPr>
          <xdr:spPr>
            <a:xfrm>
              <a:off x="105055" y="3669926"/>
              <a:ext cx="1772771" cy="1148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126066</xdr:colOff>
      <xdr:row>4</xdr:row>
      <xdr:rowOff>175093</xdr:rowOff>
    </xdr:from>
    <xdr:to>
      <xdr:col>2</xdr:col>
      <xdr:colOff>554131</xdr:colOff>
      <xdr:row>10</xdr:row>
      <xdr:rowOff>161086</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5915F9C2-40E8-4C34-BDDE-8C4218CC3D4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6066" y="1071564"/>
              <a:ext cx="1716741" cy="1078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8.920568287038" createdVersion="8" refreshedVersion="8" minRefreshableVersion="3" recordCount="40" xr:uid="{A3A7E05C-64D6-4B7D-B14A-4D99E895D12E}">
  <cacheSource type="worksheet">
    <worksheetSource ref="A1:Z41" sheet="Data_set 2"/>
  </cacheSource>
  <cacheFields count="26">
    <cacheField name="gender" numFmtId="0">
      <sharedItems count="2">
        <s v="Female"/>
        <s v="Male"/>
      </sharedItems>
    </cacheField>
    <cacheField name="Count of (M/F)" numFmtId="0">
      <sharedItems containsSemiMixedTypes="0" containsString="0" containsNumber="1" containsInteger="1" minValue="15" maxValue="25" count="2">
        <n v="15"/>
        <n v="25"/>
      </sharedItems>
    </cacheField>
    <cacheField name="Count (0,1)" numFmtId="0">
      <sharedItems containsSemiMixedTypes="0" containsString="0" containsNumber="1" containsInteger="1" minValue="0" maxValue="1"/>
    </cacheField>
    <cacheField name="age" numFmtId="0">
      <sharedItems containsSemiMixedTypes="0" containsString="0" containsNumber="1" containsInteger="1" minValue="21" maxValue="35"/>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ount="3">
        <s v="Returns"/>
        <s v="Locking Period"/>
        <s v="Risk"/>
      </sharedItems>
    </cacheField>
    <cacheField name="Objective" numFmtId="0">
      <sharedItems count="3">
        <s v="Capital Appreciation"/>
        <s v="Income"/>
        <s v="Growth"/>
      </sharedItems>
    </cacheField>
    <cacheField name="Purpose" numFmtId="0">
      <sharedItems count="3">
        <s v="Wealth Creation"/>
        <s v="Savings for Future"/>
        <s v="Returns"/>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291086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0"/>
    <n v="34"/>
    <x v="0"/>
    <n v="1"/>
    <n v="2"/>
    <n v="5"/>
    <n v="3"/>
    <n v="7"/>
    <n v="6"/>
    <n v="4"/>
    <s v="Yes"/>
    <x v="0"/>
    <x v="0"/>
    <x v="0"/>
    <x v="0"/>
    <s v="Monthly"/>
    <x v="0"/>
    <x v="0"/>
    <s v="Retirement Plan"/>
    <s v="Capital Appreciation"/>
    <s v="Better Returns"/>
    <s v="Safe Investment"/>
    <s v="Fixed Returns"/>
    <x v="0"/>
  </r>
  <r>
    <x v="0"/>
    <x v="0"/>
    <n v="0"/>
    <n v="23"/>
    <x v="0"/>
    <n v="4"/>
    <n v="3"/>
    <n v="2"/>
    <n v="1"/>
    <n v="5"/>
    <n v="6"/>
    <n v="7"/>
    <s v="No"/>
    <x v="1"/>
    <x v="0"/>
    <x v="0"/>
    <x v="1"/>
    <s v="Weekly"/>
    <x v="0"/>
    <x v="0"/>
    <s v="Health Care"/>
    <s v="Dividend"/>
    <s v="Better Returns"/>
    <s v="Safe Investment"/>
    <s v="High Interest Rates"/>
    <x v="1"/>
  </r>
  <r>
    <x v="1"/>
    <x v="1"/>
    <n v="1"/>
    <n v="30"/>
    <x v="0"/>
    <n v="3"/>
    <n v="6"/>
    <n v="4"/>
    <n v="2"/>
    <n v="5"/>
    <n v="1"/>
    <n v="7"/>
    <s v="Yes"/>
    <x v="0"/>
    <x v="0"/>
    <x v="0"/>
    <x v="2"/>
    <s v="Daily"/>
    <x v="0"/>
    <x v="1"/>
    <s v="Retirement Plan"/>
    <s v="Capital Appreciation"/>
    <s v="Tax Benefits"/>
    <s v="Assured Returns"/>
    <s v="Fixed Returns"/>
    <x v="2"/>
  </r>
  <r>
    <x v="1"/>
    <x v="1"/>
    <n v="1"/>
    <n v="22"/>
    <x v="0"/>
    <n v="2"/>
    <n v="1"/>
    <n v="3"/>
    <n v="7"/>
    <n v="6"/>
    <n v="4"/>
    <n v="5"/>
    <s v="Yes"/>
    <x v="0"/>
    <x v="1"/>
    <x v="0"/>
    <x v="3"/>
    <s v="Daily"/>
    <x v="1"/>
    <x v="1"/>
    <s v="Retirement Plan"/>
    <s v="Dividend"/>
    <s v="Fund Diversification"/>
    <s v="Tax Incentives"/>
    <s v="High Interest Rates"/>
    <x v="3"/>
  </r>
  <r>
    <x v="0"/>
    <x v="0"/>
    <n v="0"/>
    <n v="24"/>
    <x v="1"/>
    <n v="2"/>
    <n v="1"/>
    <n v="3"/>
    <n v="6"/>
    <n v="4"/>
    <n v="5"/>
    <n v="7"/>
    <s v="No"/>
    <x v="0"/>
    <x v="1"/>
    <x v="0"/>
    <x v="3"/>
    <s v="Daily"/>
    <x v="0"/>
    <x v="1"/>
    <s v="Retirement Plan"/>
    <s v="Capital Appreciation"/>
    <s v="Better Returns"/>
    <s v="Safe Investment"/>
    <s v="Risk Free"/>
    <x v="3"/>
  </r>
  <r>
    <x v="0"/>
    <x v="0"/>
    <n v="0"/>
    <n v="24"/>
    <x v="1"/>
    <n v="7"/>
    <n v="5"/>
    <n v="4"/>
    <n v="6"/>
    <n v="3"/>
    <n v="1"/>
    <n v="2"/>
    <s v="No"/>
    <x v="2"/>
    <x v="0"/>
    <x v="0"/>
    <x v="0"/>
    <s v="Daily"/>
    <x v="2"/>
    <x v="0"/>
    <s v="Retirement Plan"/>
    <s v="Liquidity"/>
    <s v="Fund Diversification"/>
    <s v="Safe Investment"/>
    <s v="Risk Free"/>
    <x v="3"/>
  </r>
  <r>
    <x v="0"/>
    <x v="0"/>
    <n v="0"/>
    <n v="27"/>
    <x v="0"/>
    <n v="3"/>
    <n v="6"/>
    <n v="4"/>
    <n v="2"/>
    <n v="5"/>
    <n v="1"/>
    <n v="7"/>
    <s v="Yes"/>
    <x v="0"/>
    <x v="0"/>
    <x v="0"/>
    <x v="2"/>
    <s v="Monthly"/>
    <x v="0"/>
    <x v="1"/>
    <s v="Retirement Plan"/>
    <s v="Capital Appreciation"/>
    <s v="Better Returns"/>
    <s v="Assured Returns"/>
    <s v="High Interest Rates"/>
    <x v="1"/>
  </r>
  <r>
    <x v="1"/>
    <x v="1"/>
    <n v="1"/>
    <n v="21"/>
    <x v="0"/>
    <n v="2"/>
    <n v="3"/>
    <n v="7"/>
    <n v="4"/>
    <n v="6"/>
    <n v="1"/>
    <n v="5"/>
    <s v="Yes"/>
    <x v="2"/>
    <x v="0"/>
    <x v="0"/>
    <x v="2"/>
    <s v="Monthly"/>
    <x v="0"/>
    <x v="0"/>
    <s v="Retirement Plan"/>
    <s v="Capital Appreciation"/>
    <s v="Better Returns"/>
    <s v="Assured Returns"/>
    <s v="Risk Free"/>
    <x v="0"/>
  </r>
  <r>
    <x v="1"/>
    <x v="1"/>
    <n v="1"/>
    <n v="35"/>
    <x v="0"/>
    <n v="2"/>
    <n v="4"/>
    <n v="7"/>
    <n v="5"/>
    <n v="3"/>
    <n v="1"/>
    <n v="6"/>
    <s v="Yes"/>
    <x v="0"/>
    <x v="2"/>
    <x v="1"/>
    <x v="0"/>
    <s v="Weekly"/>
    <x v="0"/>
    <x v="1"/>
    <s v="Retirement Plan"/>
    <s v="Capital Appreciation"/>
    <s v="Fund Diversification"/>
    <s v="Safe Investment"/>
    <s v="Fixed Returns"/>
    <x v="2"/>
  </r>
  <r>
    <x v="1"/>
    <x v="1"/>
    <n v="1"/>
    <n v="31"/>
    <x v="0"/>
    <n v="1"/>
    <n v="3"/>
    <n v="7"/>
    <n v="4"/>
    <n v="5"/>
    <n v="2"/>
    <n v="6"/>
    <s v="Yes"/>
    <x v="0"/>
    <x v="0"/>
    <x v="0"/>
    <x v="2"/>
    <s v="Monthly"/>
    <x v="2"/>
    <x v="2"/>
    <s v="Retirement Plan"/>
    <s v="Capital Appreciation"/>
    <s v="Fund Diversification"/>
    <s v="Assured Returns"/>
    <s v="Fixed Returns"/>
    <x v="0"/>
  </r>
  <r>
    <x v="0"/>
    <x v="0"/>
    <n v="0"/>
    <n v="35"/>
    <x v="0"/>
    <n v="2"/>
    <n v="4"/>
    <n v="7"/>
    <n v="5"/>
    <n v="3"/>
    <n v="1"/>
    <n v="6"/>
    <s v="Yes"/>
    <x v="2"/>
    <x v="2"/>
    <x v="1"/>
    <x v="2"/>
    <s v="Monthly"/>
    <x v="0"/>
    <x v="0"/>
    <s v="Retirement Plan"/>
    <s v="Capital Appreciation"/>
    <s v="Better Returns"/>
    <s v="Assured Returns"/>
    <s v="Risk Free"/>
    <x v="1"/>
  </r>
  <r>
    <x v="1"/>
    <x v="1"/>
    <n v="1"/>
    <n v="29"/>
    <x v="0"/>
    <n v="2"/>
    <n v="5"/>
    <n v="7"/>
    <n v="6"/>
    <n v="3"/>
    <n v="1"/>
    <n v="4"/>
    <s v="Yes"/>
    <x v="2"/>
    <x v="0"/>
    <x v="0"/>
    <x v="0"/>
    <s v="Monthly"/>
    <x v="0"/>
    <x v="0"/>
    <s v="Retirement Plan"/>
    <s v="Capital Appreciation"/>
    <s v="Fund Diversification"/>
    <s v="Assured Returns"/>
    <s v="Fixed Returns"/>
    <x v="1"/>
  </r>
  <r>
    <x v="0"/>
    <x v="0"/>
    <n v="0"/>
    <n v="21"/>
    <x v="1"/>
    <n v="1"/>
    <n v="2"/>
    <n v="3"/>
    <n v="4"/>
    <n v="5"/>
    <n v="6"/>
    <n v="7"/>
    <s v="No"/>
    <x v="0"/>
    <x v="0"/>
    <x v="1"/>
    <x v="0"/>
    <s v="Weekly"/>
    <x v="0"/>
    <x v="0"/>
    <s v="Education"/>
    <s v="Dividend"/>
    <s v="Better Returns"/>
    <s v="Safe Investment"/>
    <s v="Risk Free"/>
    <x v="3"/>
  </r>
  <r>
    <x v="0"/>
    <x v="0"/>
    <n v="0"/>
    <n v="28"/>
    <x v="0"/>
    <n v="2"/>
    <n v="3"/>
    <n v="7"/>
    <n v="4"/>
    <n v="5"/>
    <n v="1"/>
    <n v="6"/>
    <s v="Yes"/>
    <x v="0"/>
    <x v="0"/>
    <x v="0"/>
    <x v="0"/>
    <s v="Monthly"/>
    <x v="0"/>
    <x v="0"/>
    <s v="Retirement Plan"/>
    <s v="Capital Appreciation"/>
    <s v="Fund Diversification"/>
    <s v="Assured Returns"/>
    <s v="Risk Free"/>
    <x v="0"/>
  </r>
  <r>
    <x v="0"/>
    <x v="0"/>
    <n v="0"/>
    <n v="25"/>
    <x v="0"/>
    <n v="2"/>
    <n v="3"/>
    <n v="7"/>
    <n v="5"/>
    <n v="4"/>
    <n v="1"/>
    <n v="6"/>
    <s v="Yes"/>
    <x v="0"/>
    <x v="0"/>
    <x v="0"/>
    <x v="0"/>
    <s v="Monthly"/>
    <x v="0"/>
    <x v="2"/>
    <s v="Health Care"/>
    <s v="Dividend"/>
    <s v="Better Returns"/>
    <s v="Assured Returns"/>
    <s v="Risk Free"/>
    <x v="1"/>
  </r>
  <r>
    <x v="1"/>
    <x v="1"/>
    <n v="1"/>
    <n v="27"/>
    <x v="0"/>
    <n v="2"/>
    <n v="3"/>
    <n v="7"/>
    <n v="5"/>
    <n v="4"/>
    <n v="1"/>
    <n v="6"/>
    <s v="Yes"/>
    <x v="0"/>
    <x v="0"/>
    <x v="0"/>
    <x v="0"/>
    <s v="Monthly"/>
    <x v="0"/>
    <x v="0"/>
    <s v="Health Care"/>
    <s v="Capital Appreciation"/>
    <s v="Fund Diversification"/>
    <s v="Assured Returns"/>
    <s v="Risk Free"/>
    <x v="0"/>
  </r>
  <r>
    <x v="0"/>
    <x v="0"/>
    <n v="0"/>
    <n v="28"/>
    <x v="0"/>
    <n v="3"/>
    <n v="2"/>
    <n v="7"/>
    <n v="5"/>
    <n v="4"/>
    <n v="1"/>
    <n v="6"/>
    <s v="Yes"/>
    <x v="2"/>
    <x v="2"/>
    <x v="0"/>
    <x v="0"/>
    <s v="Monthly"/>
    <x v="0"/>
    <x v="2"/>
    <s v="Health Care"/>
    <s v="Capital Appreciation"/>
    <s v="Fund Diversification"/>
    <s v="Assured Returns"/>
    <s v="Risk Free"/>
    <x v="2"/>
  </r>
  <r>
    <x v="1"/>
    <x v="1"/>
    <n v="1"/>
    <n v="27"/>
    <x v="0"/>
    <n v="3"/>
    <n v="2"/>
    <n v="7"/>
    <n v="4"/>
    <n v="5"/>
    <n v="1"/>
    <n v="6"/>
    <s v="Yes"/>
    <x v="0"/>
    <x v="0"/>
    <x v="0"/>
    <x v="0"/>
    <s v="Monthly"/>
    <x v="0"/>
    <x v="0"/>
    <s v="Retirement Plan"/>
    <s v="Capital Appreciation"/>
    <s v="Better Returns"/>
    <s v="Assured Returns"/>
    <s v="Risk Free"/>
    <x v="1"/>
  </r>
  <r>
    <x v="1"/>
    <x v="1"/>
    <n v="1"/>
    <n v="29"/>
    <x v="0"/>
    <n v="3"/>
    <n v="2"/>
    <n v="7"/>
    <n v="4"/>
    <n v="5"/>
    <n v="1"/>
    <n v="6"/>
    <s v="Yes"/>
    <x v="2"/>
    <x v="0"/>
    <x v="0"/>
    <x v="0"/>
    <s v="Monthly"/>
    <x v="0"/>
    <x v="0"/>
    <s v="Retirement Plan"/>
    <s v="Capital Appreciation"/>
    <s v="Better Returns"/>
    <s v="Assured Returns"/>
    <s v="Risk Free"/>
    <x v="0"/>
  </r>
  <r>
    <x v="1"/>
    <x v="1"/>
    <n v="1"/>
    <n v="26"/>
    <x v="0"/>
    <n v="3"/>
    <n v="4"/>
    <n v="6"/>
    <n v="5"/>
    <n v="1"/>
    <n v="2"/>
    <n v="7"/>
    <s v="Yes"/>
    <x v="2"/>
    <x v="0"/>
    <x v="0"/>
    <x v="2"/>
    <s v="Monthly"/>
    <x v="0"/>
    <x v="2"/>
    <s v="Health Care"/>
    <s v="Capital Appreciation"/>
    <s v="Fund Diversification"/>
    <s v="Assured Returns"/>
    <s v="Risk Free"/>
    <x v="0"/>
  </r>
  <r>
    <x v="1"/>
    <x v="1"/>
    <n v="1"/>
    <n v="29"/>
    <x v="0"/>
    <n v="2"/>
    <n v="4"/>
    <n v="7"/>
    <n v="5"/>
    <n v="3"/>
    <n v="1"/>
    <n v="6"/>
    <s v="Yes"/>
    <x v="0"/>
    <x v="2"/>
    <x v="0"/>
    <x v="2"/>
    <s v="Weekly"/>
    <x v="0"/>
    <x v="0"/>
    <s v="Retirement Plan"/>
    <s v="Capital Appreciation"/>
    <s v="Better Returns"/>
    <s v="Assured Returns"/>
    <s v="Fixed Returns"/>
    <x v="1"/>
  </r>
  <r>
    <x v="0"/>
    <x v="0"/>
    <n v="0"/>
    <n v="24"/>
    <x v="0"/>
    <n v="2"/>
    <n v="4"/>
    <n v="5"/>
    <n v="6"/>
    <n v="3"/>
    <n v="1"/>
    <n v="7"/>
    <s v="Yes"/>
    <x v="2"/>
    <x v="0"/>
    <x v="0"/>
    <x v="2"/>
    <s v="Monthly"/>
    <x v="0"/>
    <x v="1"/>
    <s v="Health Care"/>
    <s v="Capital Appreciation"/>
    <s v="Better Returns"/>
    <s v="Assured Returns"/>
    <s v="Risk Free"/>
    <x v="0"/>
  </r>
  <r>
    <x v="1"/>
    <x v="1"/>
    <n v="1"/>
    <n v="27"/>
    <x v="0"/>
    <n v="3"/>
    <n v="4"/>
    <n v="6"/>
    <n v="5"/>
    <n v="2"/>
    <n v="1"/>
    <n v="7"/>
    <s v="Yes"/>
    <x v="0"/>
    <x v="0"/>
    <x v="0"/>
    <x v="2"/>
    <s v="Monthly"/>
    <x v="0"/>
    <x v="0"/>
    <s v="Retirement Plan"/>
    <s v="Capital Appreciation"/>
    <s v="Better Returns"/>
    <s v="Assured Returns"/>
    <s v="Risk Free"/>
    <x v="1"/>
  </r>
  <r>
    <x v="1"/>
    <x v="1"/>
    <n v="1"/>
    <n v="25"/>
    <x v="0"/>
    <n v="2"/>
    <n v="4"/>
    <n v="6"/>
    <n v="5"/>
    <n v="3"/>
    <n v="1"/>
    <n v="7"/>
    <s v="Yes"/>
    <x v="2"/>
    <x v="2"/>
    <x v="1"/>
    <x v="2"/>
    <s v="Weekly"/>
    <x v="0"/>
    <x v="3"/>
    <s v="Health Care"/>
    <s v="Liquidity"/>
    <s v="Better Returns"/>
    <s v="Assured Returns"/>
    <s v="Risk Free"/>
    <x v="1"/>
  </r>
  <r>
    <x v="0"/>
    <x v="0"/>
    <n v="0"/>
    <n v="26"/>
    <x v="0"/>
    <n v="2"/>
    <n v="3"/>
    <n v="7"/>
    <n v="5"/>
    <n v="4"/>
    <n v="1"/>
    <n v="6"/>
    <s v="Yes"/>
    <x v="0"/>
    <x v="0"/>
    <x v="0"/>
    <x v="2"/>
    <s v="Monthly"/>
    <x v="2"/>
    <x v="3"/>
    <s v="Retirement Plan"/>
    <s v="Capital Appreciation"/>
    <s v="Better Returns"/>
    <s v="Assured Returns"/>
    <s v="Risk Free"/>
    <x v="0"/>
  </r>
  <r>
    <x v="0"/>
    <x v="0"/>
    <n v="0"/>
    <n v="32"/>
    <x v="0"/>
    <n v="3"/>
    <n v="4"/>
    <n v="7"/>
    <n v="5"/>
    <n v="1"/>
    <n v="2"/>
    <n v="6"/>
    <s v="Yes"/>
    <x v="2"/>
    <x v="2"/>
    <x v="0"/>
    <x v="2"/>
    <s v="Monthly"/>
    <x v="0"/>
    <x v="0"/>
    <s v="Retirement Plan"/>
    <s v="Capital Appreciation"/>
    <s v="Better Returns"/>
    <s v="Assured Returns"/>
    <s v="Fixed Returns"/>
    <x v="1"/>
  </r>
  <r>
    <x v="1"/>
    <x v="1"/>
    <n v="1"/>
    <n v="26"/>
    <x v="0"/>
    <n v="3"/>
    <n v="4"/>
    <n v="6"/>
    <n v="5"/>
    <n v="1"/>
    <n v="2"/>
    <n v="7"/>
    <s v="Yes"/>
    <x v="0"/>
    <x v="0"/>
    <x v="0"/>
    <x v="2"/>
    <s v="Monthly"/>
    <x v="0"/>
    <x v="0"/>
    <s v="Retirement Plan"/>
    <s v="Dividend"/>
    <s v="Fund Diversification"/>
    <s v="Assured Returns"/>
    <s v="Fixed Returns"/>
    <x v="1"/>
  </r>
  <r>
    <x v="1"/>
    <x v="1"/>
    <n v="1"/>
    <n v="31"/>
    <x v="0"/>
    <n v="2"/>
    <n v="3"/>
    <n v="7"/>
    <n v="6"/>
    <n v="4"/>
    <n v="1"/>
    <n v="5"/>
    <s v="Yes"/>
    <x v="2"/>
    <x v="2"/>
    <x v="1"/>
    <x v="0"/>
    <s v="Monthly"/>
    <x v="0"/>
    <x v="2"/>
    <s v="Health Care"/>
    <s v="Capital Appreciation"/>
    <s v="Fund Diversification"/>
    <s v="Safe Investment"/>
    <s v="Fixed Returns"/>
    <x v="2"/>
  </r>
  <r>
    <x v="1"/>
    <x v="1"/>
    <n v="1"/>
    <n v="29"/>
    <x v="0"/>
    <n v="2"/>
    <n v="3"/>
    <n v="6"/>
    <n v="5"/>
    <n v="1"/>
    <n v="4"/>
    <n v="7"/>
    <s v="Yes"/>
    <x v="0"/>
    <x v="0"/>
    <x v="0"/>
    <x v="0"/>
    <s v="Monthly"/>
    <x v="0"/>
    <x v="1"/>
    <s v="Retirement Plan"/>
    <s v="Capital Appreciation"/>
    <s v="Better Returns"/>
    <s v="Assured Returns"/>
    <s v="Risk Free"/>
    <x v="2"/>
  </r>
  <r>
    <x v="0"/>
    <x v="0"/>
    <n v="0"/>
    <n v="34"/>
    <x v="0"/>
    <n v="5"/>
    <n v="4"/>
    <n v="3"/>
    <n v="2"/>
    <n v="7"/>
    <n v="1"/>
    <n v="6"/>
    <s v="Yes"/>
    <x v="0"/>
    <x v="1"/>
    <x v="2"/>
    <x v="2"/>
    <s v="Monthly"/>
    <x v="1"/>
    <x v="0"/>
    <s v="Retirement Plan"/>
    <s v="Capital Appreciation"/>
    <s v="Tax Benefits"/>
    <s v="Safe Investment"/>
    <s v="Fixed Returns"/>
    <x v="0"/>
  </r>
  <r>
    <x v="1"/>
    <x v="1"/>
    <n v="1"/>
    <n v="27"/>
    <x v="0"/>
    <n v="4"/>
    <n v="5"/>
    <n v="1"/>
    <n v="2"/>
    <n v="7"/>
    <n v="3"/>
    <n v="6"/>
    <s v="No"/>
    <x v="0"/>
    <x v="2"/>
    <x v="0"/>
    <x v="0"/>
    <s v="Monthly"/>
    <x v="1"/>
    <x v="0"/>
    <s v="Education"/>
    <s v="Capital Appreciation"/>
    <s v="Tax Benefits"/>
    <s v="Safe Investment"/>
    <s v="Fixed Returns"/>
    <x v="2"/>
  </r>
  <r>
    <x v="0"/>
    <x v="0"/>
    <n v="0"/>
    <n v="31"/>
    <x v="0"/>
    <n v="2"/>
    <n v="4"/>
    <n v="7"/>
    <n v="6"/>
    <n v="3"/>
    <n v="1"/>
    <n v="5"/>
    <s v="Yes"/>
    <x v="0"/>
    <x v="0"/>
    <x v="0"/>
    <x v="2"/>
    <s v="Monthly"/>
    <x v="0"/>
    <x v="2"/>
    <s v="Retirement Plan"/>
    <s v="Capital Appreciation"/>
    <s v="Better Returns"/>
    <s v="Assured Returns"/>
    <s v="Fixed Returns"/>
    <x v="1"/>
  </r>
  <r>
    <x v="1"/>
    <x v="1"/>
    <n v="1"/>
    <n v="27"/>
    <x v="0"/>
    <n v="2"/>
    <n v="4"/>
    <n v="7"/>
    <n v="5"/>
    <n v="1"/>
    <n v="3"/>
    <n v="6"/>
    <s v="Yes"/>
    <x v="0"/>
    <x v="0"/>
    <x v="0"/>
    <x v="2"/>
    <s v="Monthly"/>
    <x v="2"/>
    <x v="1"/>
    <s v="Health Care"/>
    <s v="Capital Appreciation"/>
    <s v="Fund Diversification"/>
    <s v="Assured Returns"/>
    <s v="Fixed Returns"/>
    <x v="0"/>
  </r>
  <r>
    <x v="1"/>
    <x v="1"/>
    <n v="1"/>
    <n v="26"/>
    <x v="0"/>
    <n v="2"/>
    <n v="3"/>
    <n v="6"/>
    <n v="4"/>
    <n v="1"/>
    <n v="5"/>
    <n v="7"/>
    <s v="Yes"/>
    <x v="0"/>
    <x v="0"/>
    <x v="2"/>
    <x v="0"/>
    <s v="Monthly"/>
    <x v="0"/>
    <x v="2"/>
    <s v="Education"/>
    <s v="Dividend"/>
    <s v="Better Returns"/>
    <s v="Safe Investment"/>
    <s v="Risk Free"/>
    <x v="0"/>
  </r>
  <r>
    <x v="1"/>
    <x v="1"/>
    <n v="1"/>
    <n v="27"/>
    <x v="0"/>
    <n v="2"/>
    <n v="3"/>
    <n v="6"/>
    <n v="5"/>
    <n v="4"/>
    <n v="1"/>
    <n v="7"/>
    <s v="Yes"/>
    <x v="0"/>
    <x v="0"/>
    <x v="0"/>
    <x v="0"/>
    <s v="Weekly"/>
    <x v="0"/>
    <x v="0"/>
    <s v="Health Care"/>
    <s v="Capital Appreciation"/>
    <s v="Better Returns"/>
    <s v="Safe Investment"/>
    <s v="Fixed Returns"/>
    <x v="1"/>
  </r>
  <r>
    <x v="1"/>
    <x v="1"/>
    <n v="1"/>
    <n v="30"/>
    <x v="0"/>
    <n v="1"/>
    <n v="4"/>
    <n v="6"/>
    <n v="5"/>
    <n v="3"/>
    <n v="2"/>
    <n v="7"/>
    <s v="Yes"/>
    <x v="2"/>
    <x v="2"/>
    <x v="0"/>
    <x v="2"/>
    <s v="Monthly"/>
    <x v="0"/>
    <x v="2"/>
    <s v="Health Care"/>
    <s v="Capital Appreciation"/>
    <s v="Better Returns"/>
    <s v="Assured Returns"/>
    <s v="Fixed Returns"/>
    <x v="1"/>
  </r>
  <r>
    <x v="1"/>
    <x v="1"/>
    <n v="1"/>
    <n v="30"/>
    <x v="0"/>
    <n v="2"/>
    <n v="4"/>
    <n v="7"/>
    <n v="5"/>
    <n v="1"/>
    <n v="3"/>
    <n v="6"/>
    <s v="Yes"/>
    <x v="0"/>
    <x v="0"/>
    <x v="0"/>
    <x v="0"/>
    <s v="Monthly"/>
    <x v="0"/>
    <x v="1"/>
    <s v="Retirement Plan"/>
    <s v="Capital Appreciation"/>
    <s v="Better Returns"/>
    <s v="Assured Returns"/>
    <s v="Risk Free"/>
    <x v="0"/>
  </r>
  <r>
    <x v="1"/>
    <x v="1"/>
    <n v="1"/>
    <n v="25"/>
    <x v="0"/>
    <n v="5"/>
    <n v="4"/>
    <n v="7"/>
    <n v="6"/>
    <n v="1"/>
    <n v="2"/>
    <n v="3"/>
    <s v="Yes"/>
    <x v="2"/>
    <x v="2"/>
    <x v="1"/>
    <x v="2"/>
    <s v="Monthly"/>
    <x v="2"/>
    <x v="3"/>
    <s v="Health Care"/>
    <s v="Capital Appreciation"/>
    <s v="Better Returns"/>
    <s v="Safe Investment"/>
    <s v="Fixed Returns"/>
    <x v="1"/>
  </r>
  <r>
    <x v="1"/>
    <x v="1"/>
    <n v="1"/>
    <n v="31"/>
    <x v="0"/>
    <n v="2"/>
    <n v="4"/>
    <n v="7"/>
    <n v="5"/>
    <n v="3"/>
    <n v="1"/>
    <n v="6"/>
    <s v="Yes"/>
    <x v="2"/>
    <x v="2"/>
    <x v="0"/>
    <x v="0"/>
    <s v="Weekly"/>
    <x v="0"/>
    <x v="1"/>
    <s v="Health Care"/>
    <s v="Dividend"/>
    <s v="Fund Diversification"/>
    <s v="Assured Returns"/>
    <s v="Fixed Returns"/>
    <x v="0"/>
  </r>
  <r>
    <x v="1"/>
    <x v="1"/>
    <n v="1"/>
    <n v="29"/>
    <x v="0"/>
    <n v="4"/>
    <n v="3"/>
    <n v="5"/>
    <n v="7"/>
    <n v="2"/>
    <n v="1"/>
    <n v="6"/>
    <s v="Yes"/>
    <x v="0"/>
    <x v="0"/>
    <x v="0"/>
    <x v="2"/>
    <s v="Monthly"/>
    <x v="0"/>
    <x v="2"/>
    <s v="Retirement Plan"/>
    <s v="Dividend"/>
    <s v="Better Returns"/>
    <s v="Safe Investment"/>
    <s v="Fixed Return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3A6AB-0F16-459E-93A5-FC98CE6DCFA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M7" firstHeaderRow="1" firstDataRow="2" firstDataCol="1" rowPageCount="1" colPageCount="1"/>
  <pivotFields count="26">
    <pivotField axis="axisRow" dataField="1"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5">
        <item x="1"/>
        <item x="3"/>
        <item x="0"/>
        <item x="2"/>
        <item t="default"/>
      </items>
    </pivotField>
  </pivotFields>
  <rowFields count="1">
    <field x="0"/>
  </rowFields>
  <rowItems count="3">
    <i>
      <x/>
    </i>
    <i>
      <x v="1"/>
    </i>
    <i t="grand">
      <x/>
    </i>
  </rowItems>
  <colFields count="1">
    <field x="14"/>
  </colFields>
  <colItems count="4">
    <i>
      <x/>
    </i>
    <i>
      <x v="1"/>
    </i>
    <i>
      <x v="2"/>
    </i>
    <i t="grand">
      <x/>
    </i>
  </colItems>
  <pageFields count="1">
    <pageField fld="25" hier="-1"/>
  </pageField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EF3311-DDAD-4185-967D-B5C6C9909F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4:D28" firstHeaderRow="1" firstDataRow="2" firstDataCol="1"/>
  <pivotFields count="26">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dataField="1" showAll="0" measureFilter="1" sortType="descending">
      <items count="4">
        <item x="1"/>
        <item x="0"/>
        <item x="2"/>
        <item t="default"/>
      </items>
      <autoSortScope>
        <pivotArea dataOnly="0" outline="0" fieldPosition="0">
          <references count="2">
            <reference field="4294967294" count="1" selected="0">
              <x v="0"/>
            </reference>
            <reference field="14" count="1" selected="0">
              <x v="1"/>
            </reference>
          </references>
        </pivotArea>
      </autoSortScope>
    </pivotField>
    <pivotField axis="axisCol" showAll="0">
      <items count="4">
        <item n="Capital Appreciation " h="1" x="0"/>
        <item x="2"/>
        <item h="1" x="1"/>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s>
  <rowFields count="1">
    <field x="13"/>
  </rowFields>
  <rowItems count="3">
    <i>
      <x v="2"/>
    </i>
    <i>
      <x v="1"/>
    </i>
    <i t="grand">
      <x/>
    </i>
  </rowItems>
  <colFields count="1">
    <field x="14"/>
  </colFields>
  <colItems count="2">
    <i>
      <x v="1"/>
    </i>
    <i t="grand">
      <x/>
    </i>
  </colItems>
  <dataFields count="1">
    <dataField name="Count of Factor" fld="13" subtotal="count" baseField="0" baseItem="0"/>
  </dataFields>
  <chartFormats count="9">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9" format="2" series="1">
      <pivotArea type="data" outline="0" fieldPosition="0">
        <references count="2">
          <reference field="4294967294" count="1" selected="0">
            <x v="0"/>
          </reference>
          <reference field="14" count="1" selected="0">
            <x v="1"/>
          </reference>
        </references>
      </pivotArea>
    </chartFormat>
    <chartFormat chart="9" format="3">
      <pivotArea type="data" outline="0" fieldPosition="0">
        <references count="3">
          <reference field="4294967294" count="1" selected="0">
            <x v="0"/>
          </reference>
          <reference field="13" count="1" selected="0">
            <x v="1"/>
          </reference>
          <reference field="14" count="1" selected="0">
            <x v="1"/>
          </reference>
        </references>
      </pivotArea>
    </chartFormat>
    <chartFormat chart="9"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2" format="4" series="1">
      <pivotArea type="data" outline="0" fieldPosition="0">
        <references count="2">
          <reference field="4294967294" count="1" selected="0">
            <x v="0"/>
          </reference>
          <reference field="14" count="1" selected="0">
            <x v="1"/>
          </reference>
        </references>
      </pivotArea>
    </chartFormat>
    <chartFormat chart="1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8E295-C08F-4946-A0C0-DD9A04AC6C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5" firstHeaderRow="1" firstDataRow="1" firstDataCol="1"/>
  <pivotFields count="26">
    <pivotField axis="axisRow" dataField="1"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s>
  <rowFields count="1">
    <field x="0"/>
  </rowFields>
  <rowItems count="3">
    <i>
      <x v="1"/>
    </i>
    <i>
      <x/>
    </i>
    <i t="grand">
      <x/>
    </i>
  </rowItems>
  <colItems count="1">
    <i/>
  </colItems>
  <dataFields count="1">
    <dataField name="Count of gender"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D17DAF-0214-4220-9391-28CD5C94D8C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6:C49" firstHeaderRow="1" firstDataRow="1" firstDataCol="1"/>
  <pivotFields count="26">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4">
        <item x="2"/>
        <item x="1"/>
        <item x="0"/>
        <item t="default"/>
      </items>
    </pivotField>
    <pivotField axis="axisRow" dataField="1" showAll="0" measureFilter="1">
      <items count="5">
        <item x="0"/>
        <item x="2"/>
        <item x="3"/>
        <item x="1"/>
        <item t="default"/>
      </items>
    </pivotField>
    <pivotField showAll="0"/>
    <pivotField showAll="0"/>
    <pivotField showAll="0"/>
    <pivotField showAll="0"/>
    <pivotField showAll="0"/>
    <pivotField showAll="0"/>
    <pivotField showAll="0"/>
    <pivotField showAll="0"/>
    <pivotField showAll="0">
      <items count="5">
        <item x="1"/>
        <item x="3"/>
        <item x="0"/>
        <item x="2"/>
        <item t="default"/>
      </items>
    </pivotField>
  </pivotFields>
  <rowFields count="1">
    <field x="16"/>
  </rowFields>
  <rowItems count="3">
    <i>
      <x/>
    </i>
    <i>
      <x v="1"/>
    </i>
    <i t="grand">
      <x/>
    </i>
  </rowItems>
  <colItems count="1">
    <i/>
  </colItems>
  <dataFields count="1">
    <dataField name="Count of Duration" fld="16" subtotal="count" baseField="0" baseItem="0"/>
  </dataFields>
  <pivotTableStyleInfo name="PivotStyleLight16" showRowHeaders="1" showColHeaders="1" showRowStripes="0" showColStripes="0" showLastColumn="1"/>
  <filters count="1">
    <filter fld="16"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83DFCA-D024-4792-9D18-22C760262F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8:C22" firstHeaderRow="1" firstDataRow="1" firstDataCol="1"/>
  <pivotFields count="26">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s>
  <rowFields count="1">
    <field x="15"/>
  </rowFields>
  <rowItems count="4">
    <i>
      <x v="2"/>
    </i>
    <i>
      <x v="1"/>
    </i>
    <i>
      <x/>
    </i>
    <i t="grand">
      <x/>
    </i>
  </rowItems>
  <colItems count="1">
    <i/>
  </colItems>
  <dataFields count="1">
    <dataField name="Count of Purpose" fld="15" subtotal="count" baseField="0" baseItem="0"/>
  </dataFields>
  <chartFormats count="2">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8A870E-70CF-40DF-AF54-7FF496144D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74:C77" firstHeaderRow="1" firstDataRow="1" firstDataCol="1"/>
  <pivotFields count="26">
    <pivotField axis="axisRow" showAll="0">
      <items count="3">
        <item x="0"/>
        <item x="1"/>
        <item t="default"/>
      </items>
    </pivotField>
    <pivotField showAll="0"/>
    <pivotField showAll="0"/>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s>
  <rowFields count="1">
    <field x="0"/>
  </rowFields>
  <rowItems count="3">
    <i>
      <x/>
    </i>
    <i>
      <x v="1"/>
    </i>
    <i t="grand">
      <x/>
    </i>
  </rowItems>
  <colItems count="1">
    <i/>
  </colItems>
  <dataFields count="1">
    <dataField name="Sum of Mutual_Funds" fld="5" baseField="0" baseItem="0"/>
  </dataField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DD4198-7902-4154-9F76-3E38745971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0" firstHeaderRow="1" firstDataRow="1" firstDataCol="1"/>
  <pivotFields count="26">
    <pivotField axis="axisRow" showAll="0">
      <items count="3">
        <item x="0"/>
        <item x="1"/>
        <item t="default"/>
      </items>
    </pivotField>
    <pivotField showAll="0"/>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s>
  <rowFields count="1">
    <field x="0"/>
  </rowFields>
  <rowItems count="3">
    <i>
      <x/>
    </i>
    <i>
      <x v="1"/>
    </i>
    <i t="grand">
      <x/>
    </i>
  </rowItems>
  <colItems count="1">
    <i/>
  </colItems>
  <dataFields count="1">
    <dataField name="Average of age" fld="3" subtotal="average" baseField="0" baseItem="0"/>
  </dataFields>
  <formats count="2">
    <format dxfId="1">
      <pivotArea collapsedLevelsAreSubtotals="1" fieldPosition="0">
        <references count="1">
          <reference field="0" count="1">
            <x v="0"/>
          </reference>
        </references>
      </pivotArea>
    </format>
    <format dxfId="0">
      <pivotArea collapsedLevelsAreSubtotals="1" fieldPosition="0">
        <references count="1">
          <reference field="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D94659-FCA7-4524-AF8E-4834949492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E16" firstHeaderRow="1" firstDataRow="2" firstDataCol="1"/>
  <pivotFields count="26">
    <pivotField axis="axisCol" showAll="0">
      <items count="3">
        <item x="0"/>
        <item x="1"/>
        <item t="default"/>
      </items>
    </pivotField>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s>
  <rowFields count="1">
    <field x="4"/>
  </rowFields>
  <rowItems count="3">
    <i>
      <x/>
    </i>
    <i>
      <x v="1"/>
    </i>
    <i t="grand">
      <x/>
    </i>
  </rowItems>
  <colFields count="1">
    <field x="0"/>
  </colFields>
  <colItems count="3">
    <i>
      <x/>
    </i>
    <i>
      <x v="1"/>
    </i>
    <i t="grand">
      <x/>
    </i>
  </colItems>
  <dataFields count="1">
    <dataField name="Count of Investment_Avenu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64E203-B0D0-4A2E-98AA-E34172FB08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1:G36" firstHeaderRow="1" firstDataRow="2" firstDataCol="1"/>
  <pivotFields count="26">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axis="axisRow" showAll="0" sortType="descending">
      <items count="4">
        <item x="1"/>
        <item x="0"/>
        <item x="2"/>
        <item t="default"/>
      </items>
      <autoSortScope>
        <pivotArea dataOnly="0" outline="0" fieldPosition="0">
          <references count="2">
            <reference field="4294967294" count="1" selected="0">
              <x v="0"/>
            </reference>
            <reference field="19" count="1" selected="0">
              <x v="2"/>
            </reference>
          </references>
        </pivotArea>
      </autoSortScope>
    </pivotField>
    <pivotField axis="axisCol" dataField="1" showAll="0">
      <items count="5">
        <item x="1"/>
        <item x="2"/>
        <item x="0"/>
        <item x="3"/>
        <item t="default"/>
      </items>
    </pivotField>
    <pivotField showAll="0"/>
    <pivotField showAll="0"/>
    <pivotField showAll="0"/>
    <pivotField showAll="0"/>
    <pivotField showAll="0"/>
    <pivotField showAll="0">
      <items count="5">
        <item x="1"/>
        <item x="3"/>
        <item x="0"/>
        <item x="2"/>
        <item t="default"/>
      </items>
    </pivotField>
  </pivotFields>
  <rowFields count="1">
    <field x="18"/>
  </rowFields>
  <rowItems count="4">
    <i>
      <x v="1"/>
    </i>
    <i>
      <x/>
    </i>
    <i>
      <x v="2"/>
    </i>
    <i t="grand">
      <x/>
    </i>
  </rowItems>
  <colFields count="1">
    <field x="19"/>
  </colFields>
  <colItems count="5">
    <i>
      <x/>
    </i>
    <i>
      <x v="1"/>
    </i>
    <i>
      <x v="2"/>
    </i>
    <i>
      <x v="3"/>
    </i>
    <i t="grand">
      <x/>
    </i>
  </colItems>
  <dataFields count="1">
    <dataField name="Count of Avenue" fld="19" subtotal="count" baseField="0" baseItem="0"/>
  </dataFields>
  <formats count="1">
    <format dxfId="2">
      <pivotArea field="18" grandCol="1" collapsedLevelsAreSubtotals="1" axis="axisRow" fieldPosition="0">
        <references count="1">
          <reference field="18" count="0"/>
        </references>
      </pivotArea>
    </format>
  </formats>
  <chartFormats count="17">
    <chartFormat chart="9" format="23" series="1">
      <pivotArea type="data" outline="0" fieldPosition="0">
        <references count="2">
          <reference field="4294967294" count="1" selected="0">
            <x v="0"/>
          </reference>
          <reference field="19" count="1" selected="0">
            <x v="0"/>
          </reference>
        </references>
      </pivotArea>
    </chartFormat>
    <chartFormat chart="9" format="24">
      <pivotArea type="data" outline="0" fieldPosition="0">
        <references count="3">
          <reference field="4294967294" count="1" selected="0">
            <x v="0"/>
          </reference>
          <reference field="18" count="1" selected="0">
            <x v="1"/>
          </reference>
          <reference field="19" count="1" selected="0">
            <x v="0"/>
          </reference>
        </references>
      </pivotArea>
    </chartFormat>
    <chartFormat chart="9" format="25">
      <pivotArea type="data" outline="0" fieldPosition="0">
        <references count="3">
          <reference field="4294967294" count="1" selected="0">
            <x v="0"/>
          </reference>
          <reference field="18" count="1" selected="0">
            <x v="0"/>
          </reference>
          <reference field="19" count="1" selected="0">
            <x v="0"/>
          </reference>
        </references>
      </pivotArea>
    </chartFormat>
    <chartFormat chart="9" format="26">
      <pivotArea type="data" outline="0" fieldPosition="0">
        <references count="3">
          <reference field="4294967294" count="1" selected="0">
            <x v="0"/>
          </reference>
          <reference field="18" count="1" selected="0">
            <x v="2"/>
          </reference>
          <reference field="19" count="1" selected="0">
            <x v="0"/>
          </reference>
        </references>
      </pivotArea>
    </chartFormat>
    <chartFormat chart="9" format="27" series="1">
      <pivotArea type="data" outline="0" fieldPosition="0">
        <references count="2">
          <reference field="4294967294" count="1" selected="0">
            <x v="0"/>
          </reference>
          <reference field="19" count="1" selected="0">
            <x v="1"/>
          </reference>
        </references>
      </pivotArea>
    </chartFormat>
    <chartFormat chart="9" format="28">
      <pivotArea type="data" outline="0" fieldPosition="0">
        <references count="3">
          <reference field="4294967294" count="1" selected="0">
            <x v="0"/>
          </reference>
          <reference field="18" count="1" selected="0">
            <x v="1"/>
          </reference>
          <reference field="19" count="1" selected="0">
            <x v="1"/>
          </reference>
        </references>
      </pivotArea>
    </chartFormat>
    <chartFormat chart="9" format="29">
      <pivotArea type="data" outline="0" fieldPosition="0">
        <references count="3">
          <reference field="4294967294" count="1" selected="0">
            <x v="0"/>
          </reference>
          <reference field="18" count="1" selected="0">
            <x v="0"/>
          </reference>
          <reference field="19" count="1" selected="0">
            <x v="1"/>
          </reference>
        </references>
      </pivotArea>
    </chartFormat>
    <chartFormat chart="9" format="30">
      <pivotArea type="data" outline="0" fieldPosition="0">
        <references count="3">
          <reference field="4294967294" count="1" selected="0">
            <x v="0"/>
          </reference>
          <reference field="18" count="1" selected="0">
            <x v="2"/>
          </reference>
          <reference field="19" count="1" selected="0">
            <x v="1"/>
          </reference>
        </references>
      </pivotArea>
    </chartFormat>
    <chartFormat chart="9" format="31" series="1">
      <pivotArea type="data" outline="0" fieldPosition="0">
        <references count="2">
          <reference field="4294967294" count="1" selected="0">
            <x v="0"/>
          </reference>
          <reference field="19" count="1" selected="0">
            <x v="2"/>
          </reference>
        </references>
      </pivotArea>
    </chartFormat>
    <chartFormat chart="9" format="32">
      <pivotArea type="data" outline="0" fieldPosition="0">
        <references count="3">
          <reference field="4294967294" count="1" selected="0">
            <x v="0"/>
          </reference>
          <reference field="18" count="1" selected="0">
            <x v="1"/>
          </reference>
          <reference field="19" count="1" selected="0">
            <x v="2"/>
          </reference>
        </references>
      </pivotArea>
    </chartFormat>
    <chartFormat chart="9" format="33">
      <pivotArea type="data" outline="0" fieldPosition="0">
        <references count="3">
          <reference field="4294967294" count="1" selected="0">
            <x v="0"/>
          </reference>
          <reference field="18" count="1" selected="0">
            <x v="0"/>
          </reference>
          <reference field="19" count="1" selected="0">
            <x v="2"/>
          </reference>
        </references>
      </pivotArea>
    </chartFormat>
    <chartFormat chart="9" format="34">
      <pivotArea type="data" outline="0" fieldPosition="0">
        <references count="3">
          <reference field="4294967294" count="1" selected="0">
            <x v="0"/>
          </reference>
          <reference field="18" count="1" selected="0">
            <x v="2"/>
          </reference>
          <reference field="19" count="1" selected="0">
            <x v="2"/>
          </reference>
        </references>
      </pivotArea>
    </chartFormat>
    <chartFormat chart="9" format="35" series="1">
      <pivotArea type="data" outline="0" fieldPosition="0">
        <references count="2">
          <reference field="4294967294" count="1" selected="0">
            <x v="0"/>
          </reference>
          <reference field="19" count="1" selected="0">
            <x v="3"/>
          </reference>
        </references>
      </pivotArea>
    </chartFormat>
    <chartFormat chart="9" format="36">
      <pivotArea type="data" outline="0" fieldPosition="0">
        <references count="3">
          <reference field="4294967294" count="1" selected="0">
            <x v="0"/>
          </reference>
          <reference field="18" count="1" selected="0">
            <x v="1"/>
          </reference>
          <reference field="19" count="1" selected="0">
            <x v="3"/>
          </reference>
        </references>
      </pivotArea>
    </chartFormat>
    <chartFormat chart="9" format="37">
      <pivotArea type="data" outline="0" fieldPosition="0">
        <references count="3">
          <reference field="4294967294" count="1" selected="0">
            <x v="0"/>
          </reference>
          <reference field="18" count="1" selected="0">
            <x v="0"/>
          </reference>
          <reference field="19" count="1" selected="0">
            <x v="3"/>
          </reference>
        </references>
      </pivotArea>
    </chartFormat>
    <chartFormat chart="9" format="38">
      <pivotArea type="data" outline="0" fieldPosition="0">
        <references count="3">
          <reference field="4294967294" count="1" selected="0">
            <x v="0"/>
          </reference>
          <reference field="18" count="1" selected="0">
            <x v="2"/>
          </reference>
          <reference field="19" count="1" selected="0">
            <x v="3"/>
          </reference>
        </references>
      </pivotArea>
    </chartFormat>
    <chartFormat chart="9" format="3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EEFB06-CC7B-486C-BCAF-9243E08ECD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8:E44" firstHeaderRow="1" firstDataRow="2" firstDataCol="1"/>
  <pivotFields count="26">
    <pivotField axis="axisCol" dataField="1"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s>
  <rowFields count="1">
    <field x="25"/>
  </rowFields>
  <rowItems count="5">
    <i>
      <x/>
    </i>
    <i>
      <x v="2"/>
    </i>
    <i>
      <x v="3"/>
    </i>
    <i>
      <x v="1"/>
    </i>
    <i t="grand">
      <x/>
    </i>
  </rowItems>
  <colFields count="1">
    <field x="0"/>
  </colFields>
  <colItems count="3">
    <i>
      <x/>
    </i>
    <i>
      <x v="1"/>
    </i>
    <i t="grand">
      <x/>
    </i>
  </colItems>
  <dataFields count="1">
    <dataField name="Count of gender" fld="0" subtotal="count" baseField="0" baseItem="0"/>
  </dataFields>
  <chartFormats count="5">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3">
          <reference field="4294967294" count="1" selected="0">
            <x v="0"/>
          </reference>
          <reference field="0" count="1" selected="0">
            <x v="0"/>
          </reference>
          <reference field="25" count="1" selected="0">
            <x v="0"/>
          </reference>
        </references>
      </pivotArea>
    </chartFormat>
    <chartFormat chart="3" format="7">
      <pivotArea type="data" outline="0" fieldPosition="0">
        <references count="3">
          <reference field="4294967294" count="1" selected="0">
            <x v="0"/>
          </reference>
          <reference field="0" count="1" selected="0">
            <x v="1"/>
          </reference>
          <reference field="25"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B580E7-0812-4DA7-9C5A-1D8943699973}" sourceName="gender">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s>
  <data>
    <tabular pivotCacheId="2910867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venues" xr10:uid="{DABB3D26-A60E-4368-BE80-E1EBDA0F8BAB}" sourceName="Investment_Avenues">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s>
  <data>
    <tabular pivotCacheId="29108675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B0ACC1DC-1B19-4434-BFE5-13AEEE503D8D}" sourceName="Purpose">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s>
  <data>
    <tabular pivotCacheId="29108675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45F5BAA-E57E-4C92-B13D-8147A01837CB}" sourceName="Source">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s>
  <data>
    <tabular pivotCacheId="291086750">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1709EEC-D3B6-4B4D-A7E6-A764473DFF97}" cache="Slicer_gender" caption="gender" style="SlicerStyleDark1" rowHeight="241300"/>
  <slicer name="Investment_Avenues 1" xr10:uid="{F547285B-1F6D-44CC-BEB8-5E1CFEA6066E}" cache="Slicer_Investment_Avenues" caption="Investment_Avenues" style="SlicerStyleDark1" rowHeight="241300"/>
  <slicer name="Purpose 1" xr10:uid="{19491809-1C40-43D0-94D6-698241884405}" cache="Slicer_Purpose" caption="Purpose" style="SlicerStyleDark5" rowHeight="241300"/>
  <slicer name="Source 1" xr10:uid="{334A94A5-2AC9-4727-B5D8-19AD19EB8DE0}" cache="Slicer_Source" caption="Source"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F1A63-D028-49F2-845C-E38D42765D5B}">
  <dimension ref="A1:Z41"/>
  <sheetViews>
    <sheetView topLeftCell="Q1" workbookViewId="0">
      <pane ySplit="1" topLeftCell="A14" activePane="bottomLeft" state="frozen"/>
      <selection pane="bottomLeft" activeCell="Q1" sqref="A1:Z41"/>
    </sheetView>
  </sheetViews>
  <sheetFormatPr defaultRowHeight="14.25" x14ac:dyDescent="0.45"/>
  <cols>
    <col min="2" max="2" width="14.59765625" bestFit="1" customWidth="1"/>
    <col min="3" max="3" width="13.06640625" customWidth="1"/>
    <col min="4" max="4" width="8.46484375" customWidth="1"/>
    <col min="5" max="5" width="19.3984375" bestFit="1" customWidth="1"/>
    <col min="6" max="6" width="14.19921875" bestFit="1" customWidth="1"/>
    <col min="7" max="7" width="14.53125" bestFit="1" customWidth="1"/>
    <col min="8" max="8" width="12" bestFit="1" customWidth="1"/>
    <col min="9" max="9" width="18.53125" bestFit="1" customWidth="1"/>
    <col min="10" max="10" width="14.73046875" bestFit="1" customWidth="1"/>
    <col min="11" max="11" width="7.6640625" customWidth="1"/>
    <col min="12" max="12" width="8.59765625" customWidth="1"/>
    <col min="13" max="13" width="14.46484375" bestFit="1" customWidth="1"/>
    <col min="14" max="14" width="12.1328125" bestFit="1" customWidth="1"/>
    <col min="15" max="15" width="16.86328125" bestFit="1" customWidth="1"/>
    <col min="16" max="16" width="14.9296875" bestFit="1" customWidth="1"/>
    <col min="17" max="17" width="15.19921875" bestFit="1" customWidth="1"/>
    <col min="18" max="18" width="15.06640625" bestFit="1" customWidth="1"/>
    <col min="19" max="19" width="10" customWidth="1"/>
    <col min="20" max="20" width="18" bestFit="1" customWidth="1"/>
    <col min="21" max="21" width="29.86328125" bestFit="1" customWidth="1"/>
    <col min="22" max="22" width="16.86328125" bestFit="1" customWidth="1"/>
    <col min="23" max="23" width="16.3984375" bestFit="1" customWidth="1"/>
    <col min="24" max="24" width="14.33203125" bestFit="1" customWidth="1"/>
    <col min="25" max="25" width="15.73046875" bestFit="1" customWidth="1"/>
    <col min="26" max="26" width="22.73046875" bestFit="1" customWidth="1"/>
  </cols>
  <sheetData>
    <row r="1" spans="1:26" x14ac:dyDescent="0.45">
      <c r="A1" t="s">
        <v>0</v>
      </c>
      <c r="B1" t="s">
        <v>68</v>
      </c>
      <c r="C1" t="s">
        <v>69</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row>
    <row r="2" spans="1:26" x14ac:dyDescent="0.45">
      <c r="A2" t="s">
        <v>24</v>
      </c>
      <c r="B2">
        <v>15</v>
      </c>
      <c r="C2">
        <v>0</v>
      </c>
      <c r="D2">
        <v>34</v>
      </c>
      <c r="E2" t="s">
        <v>25</v>
      </c>
      <c r="F2">
        <v>1</v>
      </c>
      <c r="G2">
        <v>2</v>
      </c>
      <c r="H2">
        <v>5</v>
      </c>
      <c r="I2">
        <v>3</v>
      </c>
      <c r="J2">
        <v>7</v>
      </c>
      <c r="K2">
        <v>6</v>
      </c>
      <c r="L2">
        <v>4</v>
      </c>
      <c r="M2" t="s">
        <v>25</v>
      </c>
      <c r="N2" t="s">
        <v>26</v>
      </c>
      <c r="O2" t="s">
        <v>27</v>
      </c>
      <c r="P2" t="s">
        <v>28</v>
      </c>
      <c r="Q2" t="s">
        <v>29</v>
      </c>
      <c r="R2" t="s">
        <v>30</v>
      </c>
      <c r="S2" t="s">
        <v>31</v>
      </c>
      <c r="T2" t="s">
        <v>32</v>
      </c>
      <c r="U2" t="s">
        <v>33</v>
      </c>
      <c r="V2" t="s">
        <v>27</v>
      </c>
      <c r="W2" t="s">
        <v>34</v>
      </c>
      <c r="X2" t="s">
        <v>35</v>
      </c>
      <c r="Y2" t="s">
        <v>36</v>
      </c>
      <c r="Z2" t="s">
        <v>37</v>
      </c>
    </row>
    <row r="3" spans="1:26" x14ac:dyDescent="0.45">
      <c r="A3" t="s">
        <v>24</v>
      </c>
      <c r="B3">
        <v>15</v>
      </c>
      <c r="C3">
        <f t="shared" ref="C3:C41" si="0">COUNTIF(A3, "Male")</f>
        <v>0</v>
      </c>
      <c r="D3">
        <v>23</v>
      </c>
      <c r="E3" t="s">
        <v>25</v>
      </c>
      <c r="F3">
        <v>4</v>
      </c>
      <c r="G3">
        <v>3</v>
      </c>
      <c r="H3">
        <v>2</v>
      </c>
      <c r="I3">
        <v>1</v>
      </c>
      <c r="J3">
        <v>5</v>
      </c>
      <c r="K3">
        <v>6</v>
      </c>
      <c r="L3">
        <v>7</v>
      </c>
      <c r="M3" t="s">
        <v>38</v>
      </c>
      <c r="N3" t="s">
        <v>39</v>
      </c>
      <c r="O3" t="s">
        <v>27</v>
      </c>
      <c r="P3" t="s">
        <v>28</v>
      </c>
      <c r="Q3" t="s">
        <v>40</v>
      </c>
      <c r="R3" t="s">
        <v>41</v>
      </c>
      <c r="S3" t="s">
        <v>31</v>
      </c>
      <c r="T3" t="s">
        <v>32</v>
      </c>
      <c r="U3" t="s">
        <v>42</v>
      </c>
      <c r="V3" t="s">
        <v>43</v>
      </c>
      <c r="W3" t="s">
        <v>34</v>
      </c>
      <c r="X3" t="s">
        <v>35</v>
      </c>
      <c r="Y3" t="s">
        <v>44</v>
      </c>
      <c r="Z3" t="s">
        <v>45</v>
      </c>
    </row>
    <row r="4" spans="1:26" x14ac:dyDescent="0.45">
      <c r="A4" t="s">
        <v>46</v>
      </c>
      <c r="B4">
        <v>25</v>
      </c>
      <c r="C4">
        <f t="shared" si="0"/>
        <v>1</v>
      </c>
      <c r="D4">
        <v>30</v>
      </c>
      <c r="E4" t="s">
        <v>25</v>
      </c>
      <c r="F4">
        <v>3</v>
      </c>
      <c r="G4">
        <v>6</v>
      </c>
      <c r="H4">
        <v>4</v>
      </c>
      <c r="I4">
        <v>2</v>
      </c>
      <c r="J4">
        <v>5</v>
      </c>
      <c r="K4">
        <v>1</v>
      </c>
      <c r="L4">
        <v>7</v>
      </c>
      <c r="M4" t="s">
        <v>25</v>
      </c>
      <c r="N4" t="s">
        <v>26</v>
      </c>
      <c r="O4" t="s">
        <v>27</v>
      </c>
      <c r="P4" t="s">
        <v>28</v>
      </c>
      <c r="Q4" t="s">
        <v>47</v>
      </c>
      <c r="R4" t="s">
        <v>48</v>
      </c>
      <c r="S4" t="s">
        <v>31</v>
      </c>
      <c r="T4" t="s">
        <v>49</v>
      </c>
      <c r="U4" t="s">
        <v>33</v>
      </c>
      <c r="V4" t="s">
        <v>27</v>
      </c>
      <c r="W4" t="s">
        <v>50</v>
      </c>
      <c r="X4" t="s">
        <v>51</v>
      </c>
      <c r="Y4" t="s">
        <v>36</v>
      </c>
      <c r="Z4" t="s">
        <v>52</v>
      </c>
    </row>
    <row r="5" spans="1:26" x14ac:dyDescent="0.45">
      <c r="A5" t="s">
        <v>46</v>
      </c>
      <c r="B5">
        <v>25</v>
      </c>
      <c r="C5">
        <f t="shared" si="0"/>
        <v>1</v>
      </c>
      <c r="D5">
        <v>22</v>
      </c>
      <c r="E5" t="s">
        <v>25</v>
      </c>
      <c r="F5">
        <v>2</v>
      </c>
      <c r="G5">
        <v>1</v>
      </c>
      <c r="H5">
        <v>3</v>
      </c>
      <c r="I5">
        <v>7</v>
      </c>
      <c r="J5">
        <v>6</v>
      </c>
      <c r="K5">
        <v>4</v>
      </c>
      <c r="L5">
        <v>5</v>
      </c>
      <c r="M5" t="s">
        <v>25</v>
      </c>
      <c r="N5" t="s">
        <v>26</v>
      </c>
      <c r="O5" t="s">
        <v>53</v>
      </c>
      <c r="P5" t="s">
        <v>28</v>
      </c>
      <c r="Q5" t="s">
        <v>54</v>
      </c>
      <c r="R5" t="s">
        <v>48</v>
      </c>
      <c r="S5" t="s">
        <v>55</v>
      </c>
      <c r="T5" t="s">
        <v>49</v>
      </c>
      <c r="U5" t="s">
        <v>33</v>
      </c>
      <c r="V5" t="s">
        <v>43</v>
      </c>
      <c r="W5" t="s">
        <v>56</v>
      </c>
      <c r="X5" t="s">
        <v>57</v>
      </c>
      <c r="Y5" t="s">
        <v>44</v>
      </c>
      <c r="Z5" t="s">
        <v>58</v>
      </c>
    </row>
    <row r="6" spans="1:26" x14ac:dyDescent="0.45">
      <c r="A6" t="s">
        <v>24</v>
      </c>
      <c r="B6">
        <v>15</v>
      </c>
      <c r="C6">
        <f t="shared" si="0"/>
        <v>0</v>
      </c>
      <c r="D6">
        <v>24</v>
      </c>
      <c r="E6" t="s">
        <v>38</v>
      </c>
      <c r="F6">
        <v>2</v>
      </c>
      <c r="G6">
        <v>1</v>
      </c>
      <c r="H6">
        <v>3</v>
      </c>
      <c r="I6">
        <v>6</v>
      </c>
      <c r="J6">
        <v>4</v>
      </c>
      <c r="K6">
        <v>5</v>
      </c>
      <c r="L6">
        <v>7</v>
      </c>
      <c r="M6" t="s">
        <v>38</v>
      </c>
      <c r="N6" t="s">
        <v>26</v>
      </c>
      <c r="O6" t="s">
        <v>53</v>
      </c>
      <c r="P6" t="s">
        <v>28</v>
      </c>
      <c r="Q6" t="s">
        <v>54</v>
      </c>
      <c r="R6" t="s">
        <v>48</v>
      </c>
      <c r="S6" t="s">
        <v>31</v>
      </c>
      <c r="T6" t="s">
        <v>49</v>
      </c>
      <c r="U6" t="s">
        <v>33</v>
      </c>
      <c r="V6" t="s">
        <v>27</v>
      </c>
      <c r="W6" t="s">
        <v>34</v>
      </c>
      <c r="X6" t="s">
        <v>35</v>
      </c>
      <c r="Y6" t="s">
        <v>59</v>
      </c>
      <c r="Z6" t="s">
        <v>58</v>
      </c>
    </row>
    <row r="7" spans="1:26" x14ac:dyDescent="0.45">
      <c r="A7" t="s">
        <v>24</v>
      </c>
      <c r="B7">
        <v>15</v>
      </c>
      <c r="C7">
        <f t="shared" si="0"/>
        <v>0</v>
      </c>
      <c r="D7">
        <v>24</v>
      </c>
      <c r="E7" t="s">
        <v>38</v>
      </c>
      <c r="F7">
        <v>7</v>
      </c>
      <c r="G7">
        <v>5</v>
      </c>
      <c r="H7">
        <v>4</v>
      </c>
      <c r="I7">
        <v>6</v>
      </c>
      <c r="J7">
        <v>3</v>
      </c>
      <c r="K7">
        <v>1</v>
      </c>
      <c r="L7">
        <v>2</v>
      </c>
      <c r="M7" t="s">
        <v>38</v>
      </c>
      <c r="N7" t="s">
        <v>60</v>
      </c>
      <c r="O7" t="s">
        <v>27</v>
      </c>
      <c r="P7" t="s">
        <v>28</v>
      </c>
      <c r="Q7" t="s">
        <v>29</v>
      </c>
      <c r="R7" t="s">
        <v>48</v>
      </c>
      <c r="S7" t="s">
        <v>61</v>
      </c>
      <c r="T7" t="s">
        <v>32</v>
      </c>
      <c r="U7" t="s">
        <v>33</v>
      </c>
      <c r="V7" t="s">
        <v>62</v>
      </c>
      <c r="W7" t="s">
        <v>56</v>
      </c>
      <c r="X7" t="s">
        <v>35</v>
      </c>
      <c r="Y7" t="s">
        <v>59</v>
      </c>
      <c r="Z7" t="s">
        <v>58</v>
      </c>
    </row>
    <row r="8" spans="1:26" x14ac:dyDescent="0.45">
      <c r="A8" t="s">
        <v>24</v>
      </c>
      <c r="B8">
        <v>15</v>
      </c>
      <c r="C8">
        <f t="shared" si="0"/>
        <v>0</v>
      </c>
      <c r="D8">
        <v>27</v>
      </c>
      <c r="E8" t="s">
        <v>25</v>
      </c>
      <c r="F8">
        <v>3</v>
      </c>
      <c r="G8">
        <v>6</v>
      </c>
      <c r="H8">
        <v>4</v>
      </c>
      <c r="I8">
        <v>2</v>
      </c>
      <c r="J8">
        <v>5</v>
      </c>
      <c r="K8">
        <v>1</v>
      </c>
      <c r="L8">
        <v>7</v>
      </c>
      <c r="M8" t="s">
        <v>25</v>
      </c>
      <c r="N8" t="s">
        <v>26</v>
      </c>
      <c r="O8" t="s">
        <v>27</v>
      </c>
      <c r="P8" t="s">
        <v>28</v>
      </c>
      <c r="Q8" t="s">
        <v>47</v>
      </c>
      <c r="R8" t="s">
        <v>30</v>
      </c>
      <c r="S8" t="s">
        <v>31</v>
      </c>
      <c r="T8" t="s">
        <v>49</v>
      </c>
      <c r="U8" t="s">
        <v>33</v>
      </c>
      <c r="V8" t="s">
        <v>27</v>
      </c>
      <c r="W8" t="s">
        <v>34</v>
      </c>
      <c r="X8" t="s">
        <v>51</v>
      </c>
      <c r="Y8" t="s">
        <v>44</v>
      </c>
      <c r="Z8" t="s">
        <v>45</v>
      </c>
    </row>
    <row r="9" spans="1:26" x14ac:dyDescent="0.45">
      <c r="A9" t="s">
        <v>46</v>
      </c>
      <c r="B9">
        <v>25</v>
      </c>
      <c r="C9">
        <f t="shared" si="0"/>
        <v>1</v>
      </c>
      <c r="D9">
        <v>21</v>
      </c>
      <c r="E9" t="s">
        <v>25</v>
      </c>
      <c r="F9">
        <v>2</v>
      </c>
      <c r="G9">
        <v>3</v>
      </c>
      <c r="H9">
        <v>7</v>
      </c>
      <c r="I9">
        <v>4</v>
      </c>
      <c r="J9">
        <v>6</v>
      </c>
      <c r="K9">
        <v>1</v>
      </c>
      <c r="L9">
        <v>5</v>
      </c>
      <c r="M9" t="s">
        <v>25</v>
      </c>
      <c r="N9" t="s">
        <v>60</v>
      </c>
      <c r="O9" t="s">
        <v>27</v>
      </c>
      <c r="P9" t="s">
        <v>28</v>
      </c>
      <c r="Q9" t="s">
        <v>47</v>
      </c>
      <c r="R9" t="s">
        <v>30</v>
      </c>
      <c r="S9" t="s">
        <v>31</v>
      </c>
      <c r="T9" t="s">
        <v>32</v>
      </c>
      <c r="U9" t="s">
        <v>33</v>
      </c>
      <c r="V9" t="s">
        <v>27</v>
      </c>
      <c r="W9" t="s">
        <v>34</v>
      </c>
      <c r="X9" t="s">
        <v>51</v>
      </c>
      <c r="Y9" t="s">
        <v>59</v>
      </c>
      <c r="Z9" t="s">
        <v>37</v>
      </c>
    </row>
    <row r="10" spans="1:26" x14ac:dyDescent="0.45">
      <c r="A10" t="s">
        <v>46</v>
      </c>
      <c r="B10">
        <v>25</v>
      </c>
      <c r="C10">
        <f t="shared" si="0"/>
        <v>1</v>
      </c>
      <c r="D10">
        <v>35</v>
      </c>
      <c r="E10" t="s">
        <v>25</v>
      </c>
      <c r="F10">
        <v>2</v>
      </c>
      <c r="G10">
        <v>4</v>
      </c>
      <c r="H10">
        <v>7</v>
      </c>
      <c r="I10">
        <v>5</v>
      </c>
      <c r="J10">
        <v>3</v>
      </c>
      <c r="K10">
        <v>1</v>
      </c>
      <c r="L10">
        <v>6</v>
      </c>
      <c r="M10" t="s">
        <v>25</v>
      </c>
      <c r="N10" t="s">
        <v>26</v>
      </c>
      <c r="O10" t="s">
        <v>63</v>
      </c>
      <c r="P10" t="s">
        <v>64</v>
      </c>
      <c r="Q10" t="s">
        <v>29</v>
      </c>
      <c r="R10" t="s">
        <v>41</v>
      </c>
      <c r="S10" t="s">
        <v>31</v>
      </c>
      <c r="T10" t="s">
        <v>49</v>
      </c>
      <c r="U10" t="s">
        <v>33</v>
      </c>
      <c r="V10" t="s">
        <v>27</v>
      </c>
      <c r="W10" t="s">
        <v>56</v>
      </c>
      <c r="X10" t="s">
        <v>35</v>
      </c>
      <c r="Y10" t="s">
        <v>36</v>
      </c>
      <c r="Z10" t="s">
        <v>52</v>
      </c>
    </row>
    <row r="11" spans="1:26" x14ac:dyDescent="0.45">
      <c r="A11" t="s">
        <v>46</v>
      </c>
      <c r="B11">
        <v>25</v>
      </c>
      <c r="C11">
        <f t="shared" si="0"/>
        <v>1</v>
      </c>
      <c r="D11">
        <v>31</v>
      </c>
      <c r="E11" t="s">
        <v>25</v>
      </c>
      <c r="F11">
        <v>1</v>
      </c>
      <c r="G11">
        <v>3</v>
      </c>
      <c r="H11">
        <v>7</v>
      </c>
      <c r="I11">
        <v>4</v>
      </c>
      <c r="J11">
        <v>5</v>
      </c>
      <c r="K11">
        <v>2</v>
      </c>
      <c r="L11">
        <v>6</v>
      </c>
      <c r="M11" t="s">
        <v>25</v>
      </c>
      <c r="N11" t="s">
        <v>26</v>
      </c>
      <c r="O11" t="s">
        <v>27</v>
      </c>
      <c r="P11" t="s">
        <v>28</v>
      </c>
      <c r="Q11" t="s">
        <v>47</v>
      </c>
      <c r="R11" t="s">
        <v>30</v>
      </c>
      <c r="S11" t="s">
        <v>61</v>
      </c>
      <c r="T11" t="s">
        <v>65</v>
      </c>
      <c r="U11" t="s">
        <v>33</v>
      </c>
      <c r="V11" t="s">
        <v>27</v>
      </c>
      <c r="W11" t="s">
        <v>56</v>
      </c>
      <c r="X11" t="s">
        <v>51</v>
      </c>
      <c r="Y11" t="s">
        <v>36</v>
      </c>
      <c r="Z11" t="s">
        <v>37</v>
      </c>
    </row>
    <row r="12" spans="1:26" x14ac:dyDescent="0.45">
      <c r="A12" t="s">
        <v>24</v>
      </c>
      <c r="B12">
        <v>15</v>
      </c>
      <c r="C12">
        <f t="shared" si="0"/>
        <v>0</v>
      </c>
      <c r="D12">
        <v>35</v>
      </c>
      <c r="E12" t="s">
        <v>25</v>
      </c>
      <c r="F12">
        <v>2</v>
      </c>
      <c r="G12">
        <v>4</v>
      </c>
      <c r="H12">
        <v>7</v>
      </c>
      <c r="I12">
        <v>5</v>
      </c>
      <c r="J12">
        <v>3</v>
      </c>
      <c r="K12">
        <v>1</v>
      </c>
      <c r="L12">
        <v>6</v>
      </c>
      <c r="M12" t="s">
        <v>25</v>
      </c>
      <c r="N12" t="s">
        <v>60</v>
      </c>
      <c r="O12" t="s">
        <v>63</v>
      </c>
      <c r="P12" t="s">
        <v>64</v>
      </c>
      <c r="Q12" t="s">
        <v>47</v>
      </c>
      <c r="R12" t="s">
        <v>30</v>
      </c>
      <c r="S12" t="s">
        <v>31</v>
      </c>
      <c r="T12" t="s">
        <v>32</v>
      </c>
      <c r="U12" t="s">
        <v>33</v>
      </c>
      <c r="V12" t="s">
        <v>27</v>
      </c>
      <c r="W12" t="s">
        <v>34</v>
      </c>
      <c r="X12" t="s">
        <v>51</v>
      </c>
      <c r="Y12" t="s">
        <v>59</v>
      </c>
      <c r="Z12" t="s">
        <v>45</v>
      </c>
    </row>
    <row r="13" spans="1:26" x14ac:dyDescent="0.45">
      <c r="A13" t="s">
        <v>46</v>
      </c>
      <c r="B13">
        <v>25</v>
      </c>
      <c r="C13">
        <f t="shared" si="0"/>
        <v>1</v>
      </c>
      <c r="D13">
        <v>29</v>
      </c>
      <c r="E13" t="s">
        <v>25</v>
      </c>
      <c r="F13">
        <v>2</v>
      </c>
      <c r="G13">
        <v>5</v>
      </c>
      <c r="H13">
        <v>7</v>
      </c>
      <c r="I13">
        <v>6</v>
      </c>
      <c r="J13">
        <v>3</v>
      </c>
      <c r="K13">
        <v>1</v>
      </c>
      <c r="L13">
        <v>4</v>
      </c>
      <c r="M13" t="s">
        <v>25</v>
      </c>
      <c r="N13" t="s">
        <v>60</v>
      </c>
      <c r="O13" t="s">
        <v>27</v>
      </c>
      <c r="P13" t="s">
        <v>28</v>
      </c>
      <c r="Q13" t="s">
        <v>29</v>
      </c>
      <c r="R13" t="s">
        <v>30</v>
      </c>
      <c r="S13" t="s">
        <v>31</v>
      </c>
      <c r="T13" t="s">
        <v>32</v>
      </c>
      <c r="U13" t="s">
        <v>33</v>
      </c>
      <c r="V13" t="s">
        <v>27</v>
      </c>
      <c r="W13" t="s">
        <v>56</v>
      </c>
      <c r="X13" t="s">
        <v>51</v>
      </c>
      <c r="Y13" t="s">
        <v>36</v>
      </c>
      <c r="Z13" t="s">
        <v>45</v>
      </c>
    </row>
    <row r="14" spans="1:26" x14ac:dyDescent="0.45">
      <c r="A14" t="s">
        <v>24</v>
      </c>
      <c r="B14">
        <v>15</v>
      </c>
      <c r="C14">
        <f t="shared" si="0"/>
        <v>0</v>
      </c>
      <c r="D14">
        <v>21</v>
      </c>
      <c r="E14" t="s">
        <v>38</v>
      </c>
      <c r="F14">
        <v>1</v>
      </c>
      <c r="G14">
        <v>2</v>
      </c>
      <c r="H14">
        <v>3</v>
      </c>
      <c r="I14">
        <v>4</v>
      </c>
      <c r="J14">
        <v>5</v>
      </c>
      <c r="K14">
        <v>6</v>
      </c>
      <c r="L14">
        <v>7</v>
      </c>
      <c r="M14" t="s">
        <v>38</v>
      </c>
      <c r="N14" t="s">
        <v>26</v>
      </c>
      <c r="O14" t="s">
        <v>27</v>
      </c>
      <c r="P14" t="s">
        <v>64</v>
      </c>
      <c r="Q14" t="s">
        <v>29</v>
      </c>
      <c r="R14" t="s">
        <v>41</v>
      </c>
      <c r="S14" t="s">
        <v>31</v>
      </c>
      <c r="T14" t="s">
        <v>32</v>
      </c>
      <c r="U14" t="s">
        <v>66</v>
      </c>
      <c r="V14" t="s">
        <v>43</v>
      </c>
      <c r="W14" t="s">
        <v>34</v>
      </c>
      <c r="X14" t="s">
        <v>35</v>
      </c>
      <c r="Y14" t="s">
        <v>59</v>
      </c>
      <c r="Z14" t="s">
        <v>58</v>
      </c>
    </row>
    <row r="15" spans="1:26" x14ac:dyDescent="0.45">
      <c r="A15" t="s">
        <v>24</v>
      </c>
      <c r="B15">
        <v>15</v>
      </c>
      <c r="C15">
        <f t="shared" si="0"/>
        <v>0</v>
      </c>
      <c r="D15">
        <v>28</v>
      </c>
      <c r="E15" t="s">
        <v>25</v>
      </c>
      <c r="F15">
        <v>2</v>
      </c>
      <c r="G15">
        <v>3</v>
      </c>
      <c r="H15">
        <v>7</v>
      </c>
      <c r="I15">
        <v>4</v>
      </c>
      <c r="J15">
        <v>5</v>
      </c>
      <c r="K15">
        <v>1</v>
      </c>
      <c r="L15">
        <v>6</v>
      </c>
      <c r="M15" t="s">
        <v>25</v>
      </c>
      <c r="N15" t="s">
        <v>26</v>
      </c>
      <c r="O15" t="s">
        <v>27</v>
      </c>
      <c r="P15" t="s">
        <v>28</v>
      </c>
      <c r="Q15" t="s">
        <v>29</v>
      </c>
      <c r="R15" t="s">
        <v>30</v>
      </c>
      <c r="S15" t="s">
        <v>31</v>
      </c>
      <c r="T15" t="s">
        <v>32</v>
      </c>
      <c r="U15" t="s">
        <v>33</v>
      </c>
      <c r="V15" t="s">
        <v>27</v>
      </c>
      <c r="W15" t="s">
        <v>56</v>
      </c>
      <c r="X15" t="s">
        <v>51</v>
      </c>
      <c r="Y15" t="s">
        <v>59</v>
      </c>
      <c r="Z15" t="s">
        <v>37</v>
      </c>
    </row>
    <row r="16" spans="1:26" x14ac:dyDescent="0.45">
      <c r="A16" t="s">
        <v>24</v>
      </c>
      <c r="B16">
        <v>15</v>
      </c>
      <c r="C16">
        <f t="shared" si="0"/>
        <v>0</v>
      </c>
      <c r="D16">
        <v>25</v>
      </c>
      <c r="E16" t="s">
        <v>25</v>
      </c>
      <c r="F16">
        <v>2</v>
      </c>
      <c r="G16">
        <v>3</v>
      </c>
      <c r="H16">
        <v>7</v>
      </c>
      <c r="I16">
        <v>5</v>
      </c>
      <c r="J16">
        <v>4</v>
      </c>
      <c r="K16">
        <v>1</v>
      </c>
      <c r="L16">
        <v>6</v>
      </c>
      <c r="M16" t="s">
        <v>25</v>
      </c>
      <c r="N16" t="s">
        <v>26</v>
      </c>
      <c r="O16" t="s">
        <v>27</v>
      </c>
      <c r="P16" t="s">
        <v>28</v>
      </c>
      <c r="Q16" t="s">
        <v>29</v>
      </c>
      <c r="R16" t="s">
        <v>30</v>
      </c>
      <c r="S16" t="s">
        <v>31</v>
      </c>
      <c r="T16" t="s">
        <v>65</v>
      </c>
      <c r="U16" t="s">
        <v>42</v>
      </c>
      <c r="V16" t="s">
        <v>43</v>
      </c>
      <c r="W16" t="s">
        <v>34</v>
      </c>
      <c r="X16" t="s">
        <v>51</v>
      </c>
      <c r="Y16" t="s">
        <v>59</v>
      </c>
      <c r="Z16" t="s">
        <v>45</v>
      </c>
    </row>
    <row r="17" spans="1:26" x14ac:dyDescent="0.45">
      <c r="A17" t="s">
        <v>46</v>
      </c>
      <c r="B17">
        <v>25</v>
      </c>
      <c r="C17">
        <f t="shared" si="0"/>
        <v>1</v>
      </c>
      <c r="D17">
        <v>27</v>
      </c>
      <c r="E17" t="s">
        <v>25</v>
      </c>
      <c r="F17">
        <v>2</v>
      </c>
      <c r="G17">
        <v>3</v>
      </c>
      <c r="H17">
        <v>7</v>
      </c>
      <c r="I17">
        <v>5</v>
      </c>
      <c r="J17">
        <v>4</v>
      </c>
      <c r="K17">
        <v>1</v>
      </c>
      <c r="L17">
        <v>6</v>
      </c>
      <c r="M17" t="s">
        <v>25</v>
      </c>
      <c r="N17" t="s">
        <v>26</v>
      </c>
      <c r="O17" t="s">
        <v>27</v>
      </c>
      <c r="P17" t="s">
        <v>28</v>
      </c>
      <c r="Q17" t="s">
        <v>29</v>
      </c>
      <c r="R17" t="s">
        <v>30</v>
      </c>
      <c r="S17" t="s">
        <v>31</v>
      </c>
      <c r="T17" t="s">
        <v>32</v>
      </c>
      <c r="U17" t="s">
        <v>42</v>
      </c>
      <c r="V17" t="s">
        <v>27</v>
      </c>
      <c r="W17" t="s">
        <v>56</v>
      </c>
      <c r="X17" t="s">
        <v>51</v>
      </c>
      <c r="Y17" t="s">
        <v>59</v>
      </c>
      <c r="Z17" t="s">
        <v>37</v>
      </c>
    </row>
    <row r="18" spans="1:26" x14ac:dyDescent="0.45">
      <c r="A18" t="s">
        <v>24</v>
      </c>
      <c r="B18">
        <v>15</v>
      </c>
      <c r="C18">
        <f t="shared" si="0"/>
        <v>0</v>
      </c>
      <c r="D18">
        <v>28</v>
      </c>
      <c r="E18" t="s">
        <v>25</v>
      </c>
      <c r="F18">
        <v>3</v>
      </c>
      <c r="G18">
        <v>2</v>
      </c>
      <c r="H18">
        <v>7</v>
      </c>
      <c r="I18">
        <v>5</v>
      </c>
      <c r="J18">
        <v>4</v>
      </c>
      <c r="K18">
        <v>1</v>
      </c>
      <c r="L18">
        <v>6</v>
      </c>
      <c r="M18" t="s">
        <v>25</v>
      </c>
      <c r="N18" t="s">
        <v>60</v>
      </c>
      <c r="O18" t="s">
        <v>63</v>
      </c>
      <c r="P18" t="s">
        <v>28</v>
      </c>
      <c r="Q18" t="s">
        <v>29</v>
      </c>
      <c r="R18" t="s">
        <v>30</v>
      </c>
      <c r="S18" t="s">
        <v>31</v>
      </c>
      <c r="T18" t="s">
        <v>65</v>
      </c>
      <c r="U18" t="s">
        <v>42</v>
      </c>
      <c r="V18" t="s">
        <v>27</v>
      </c>
      <c r="W18" t="s">
        <v>56</v>
      </c>
      <c r="X18" t="s">
        <v>51</v>
      </c>
      <c r="Y18" t="s">
        <v>59</v>
      </c>
      <c r="Z18" t="s">
        <v>52</v>
      </c>
    </row>
    <row r="19" spans="1:26" x14ac:dyDescent="0.45">
      <c r="A19" t="s">
        <v>46</v>
      </c>
      <c r="B19">
        <v>25</v>
      </c>
      <c r="C19">
        <f t="shared" si="0"/>
        <v>1</v>
      </c>
      <c r="D19">
        <v>27</v>
      </c>
      <c r="E19" t="s">
        <v>25</v>
      </c>
      <c r="F19">
        <v>3</v>
      </c>
      <c r="G19">
        <v>2</v>
      </c>
      <c r="H19">
        <v>7</v>
      </c>
      <c r="I19">
        <v>4</v>
      </c>
      <c r="J19">
        <v>5</v>
      </c>
      <c r="K19">
        <v>1</v>
      </c>
      <c r="L19">
        <v>6</v>
      </c>
      <c r="M19" t="s">
        <v>25</v>
      </c>
      <c r="N19" t="s">
        <v>26</v>
      </c>
      <c r="O19" t="s">
        <v>27</v>
      </c>
      <c r="P19" t="s">
        <v>28</v>
      </c>
      <c r="Q19" t="s">
        <v>29</v>
      </c>
      <c r="R19" t="s">
        <v>30</v>
      </c>
      <c r="S19" t="s">
        <v>31</v>
      </c>
      <c r="T19" t="s">
        <v>32</v>
      </c>
      <c r="U19" t="s">
        <v>33</v>
      </c>
      <c r="V19" t="s">
        <v>27</v>
      </c>
      <c r="W19" t="s">
        <v>34</v>
      </c>
      <c r="X19" t="s">
        <v>51</v>
      </c>
      <c r="Y19" t="s">
        <v>59</v>
      </c>
      <c r="Z19" t="s">
        <v>45</v>
      </c>
    </row>
    <row r="20" spans="1:26" x14ac:dyDescent="0.45">
      <c r="A20" t="s">
        <v>46</v>
      </c>
      <c r="B20">
        <v>25</v>
      </c>
      <c r="C20">
        <f t="shared" si="0"/>
        <v>1</v>
      </c>
      <c r="D20">
        <v>29</v>
      </c>
      <c r="E20" t="s">
        <v>25</v>
      </c>
      <c r="F20">
        <v>3</v>
      </c>
      <c r="G20">
        <v>2</v>
      </c>
      <c r="H20">
        <v>7</v>
      </c>
      <c r="I20">
        <v>4</v>
      </c>
      <c r="J20">
        <v>5</v>
      </c>
      <c r="K20">
        <v>1</v>
      </c>
      <c r="L20">
        <v>6</v>
      </c>
      <c r="M20" t="s">
        <v>25</v>
      </c>
      <c r="N20" t="s">
        <v>60</v>
      </c>
      <c r="O20" t="s">
        <v>27</v>
      </c>
      <c r="P20" t="s">
        <v>28</v>
      </c>
      <c r="Q20" t="s">
        <v>29</v>
      </c>
      <c r="R20" t="s">
        <v>30</v>
      </c>
      <c r="S20" t="s">
        <v>31</v>
      </c>
      <c r="T20" t="s">
        <v>32</v>
      </c>
      <c r="U20" t="s">
        <v>33</v>
      </c>
      <c r="V20" t="s">
        <v>27</v>
      </c>
      <c r="W20" t="s">
        <v>34</v>
      </c>
      <c r="X20" t="s">
        <v>51</v>
      </c>
      <c r="Y20" t="s">
        <v>59</v>
      </c>
      <c r="Z20" t="s">
        <v>37</v>
      </c>
    </row>
    <row r="21" spans="1:26" x14ac:dyDescent="0.45">
      <c r="A21" t="s">
        <v>46</v>
      </c>
      <c r="B21">
        <v>25</v>
      </c>
      <c r="C21">
        <f t="shared" si="0"/>
        <v>1</v>
      </c>
      <c r="D21">
        <v>26</v>
      </c>
      <c r="E21" t="s">
        <v>25</v>
      </c>
      <c r="F21">
        <v>3</v>
      </c>
      <c r="G21">
        <v>4</v>
      </c>
      <c r="H21">
        <v>6</v>
      </c>
      <c r="I21">
        <v>5</v>
      </c>
      <c r="J21">
        <v>1</v>
      </c>
      <c r="K21">
        <v>2</v>
      </c>
      <c r="L21">
        <v>7</v>
      </c>
      <c r="M21" t="s">
        <v>25</v>
      </c>
      <c r="N21" t="s">
        <v>60</v>
      </c>
      <c r="O21" t="s">
        <v>27</v>
      </c>
      <c r="P21" t="s">
        <v>28</v>
      </c>
      <c r="Q21" t="s">
        <v>47</v>
      </c>
      <c r="R21" t="s">
        <v>30</v>
      </c>
      <c r="S21" t="s">
        <v>31</v>
      </c>
      <c r="T21" t="s">
        <v>65</v>
      </c>
      <c r="U21" t="s">
        <v>42</v>
      </c>
      <c r="V21" t="s">
        <v>27</v>
      </c>
      <c r="W21" t="s">
        <v>56</v>
      </c>
      <c r="X21" t="s">
        <v>51</v>
      </c>
      <c r="Y21" t="s">
        <v>59</v>
      </c>
      <c r="Z21" t="s">
        <v>37</v>
      </c>
    </row>
    <row r="22" spans="1:26" x14ac:dyDescent="0.45">
      <c r="A22" t="s">
        <v>46</v>
      </c>
      <c r="B22">
        <v>25</v>
      </c>
      <c r="C22">
        <f t="shared" si="0"/>
        <v>1</v>
      </c>
      <c r="D22">
        <v>29</v>
      </c>
      <c r="E22" t="s">
        <v>25</v>
      </c>
      <c r="F22">
        <v>2</v>
      </c>
      <c r="G22">
        <v>4</v>
      </c>
      <c r="H22">
        <v>7</v>
      </c>
      <c r="I22">
        <v>5</v>
      </c>
      <c r="J22">
        <v>3</v>
      </c>
      <c r="K22">
        <v>1</v>
      </c>
      <c r="L22">
        <v>6</v>
      </c>
      <c r="M22" t="s">
        <v>25</v>
      </c>
      <c r="N22" t="s">
        <v>26</v>
      </c>
      <c r="O22" t="s">
        <v>63</v>
      </c>
      <c r="P22" t="s">
        <v>28</v>
      </c>
      <c r="Q22" t="s">
        <v>47</v>
      </c>
      <c r="R22" t="s">
        <v>41</v>
      </c>
      <c r="S22" t="s">
        <v>31</v>
      </c>
      <c r="T22" t="s">
        <v>32</v>
      </c>
      <c r="U22" t="s">
        <v>33</v>
      </c>
      <c r="V22" t="s">
        <v>27</v>
      </c>
      <c r="W22" t="s">
        <v>34</v>
      </c>
      <c r="X22" t="s">
        <v>51</v>
      </c>
      <c r="Y22" t="s">
        <v>36</v>
      </c>
      <c r="Z22" t="s">
        <v>45</v>
      </c>
    </row>
    <row r="23" spans="1:26" x14ac:dyDescent="0.45">
      <c r="A23" t="s">
        <v>24</v>
      </c>
      <c r="B23">
        <v>15</v>
      </c>
      <c r="C23">
        <f t="shared" si="0"/>
        <v>0</v>
      </c>
      <c r="D23">
        <v>24</v>
      </c>
      <c r="E23" t="s">
        <v>25</v>
      </c>
      <c r="F23">
        <v>2</v>
      </c>
      <c r="G23">
        <v>4</v>
      </c>
      <c r="H23">
        <v>5</v>
      </c>
      <c r="I23">
        <v>6</v>
      </c>
      <c r="J23">
        <v>3</v>
      </c>
      <c r="K23">
        <v>1</v>
      </c>
      <c r="L23">
        <v>7</v>
      </c>
      <c r="M23" t="s">
        <v>25</v>
      </c>
      <c r="N23" t="s">
        <v>60</v>
      </c>
      <c r="O23" t="s">
        <v>27</v>
      </c>
      <c r="P23" t="s">
        <v>28</v>
      </c>
      <c r="Q23" t="s">
        <v>47</v>
      </c>
      <c r="R23" t="s">
        <v>30</v>
      </c>
      <c r="S23" t="s">
        <v>31</v>
      </c>
      <c r="T23" t="s">
        <v>49</v>
      </c>
      <c r="U23" t="s">
        <v>42</v>
      </c>
      <c r="V23" t="s">
        <v>27</v>
      </c>
      <c r="W23" t="s">
        <v>34</v>
      </c>
      <c r="X23" t="s">
        <v>51</v>
      </c>
      <c r="Y23" t="s">
        <v>59</v>
      </c>
      <c r="Z23" t="s">
        <v>37</v>
      </c>
    </row>
    <row r="24" spans="1:26" x14ac:dyDescent="0.45">
      <c r="A24" t="s">
        <v>46</v>
      </c>
      <c r="B24">
        <v>25</v>
      </c>
      <c r="C24">
        <f t="shared" si="0"/>
        <v>1</v>
      </c>
      <c r="D24">
        <v>27</v>
      </c>
      <c r="E24" t="s">
        <v>25</v>
      </c>
      <c r="F24">
        <v>3</v>
      </c>
      <c r="G24">
        <v>4</v>
      </c>
      <c r="H24">
        <v>6</v>
      </c>
      <c r="I24">
        <v>5</v>
      </c>
      <c r="J24">
        <v>2</v>
      </c>
      <c r="K24">
        <v>1</v>
      </c>
      <c r="L24">
        <v>7</v>
      </c>
      <c r="M24" t="s">
        <v>25</v>
      </c>
      <c r="N24" t="s">
        <v>26</v>
      </c>
      <c r="O24" t="s">
        <v>27</v>
      </c>
      <c r="P24" t="s">
        <v>28</v>
      </c>
      <c r="Q24" t="s">
        <v>47</v>
      </c>
      <c r="R24" t="s">
        <v>30</v>
      </c>
      <c r="S24" t="s">
        <v>31</v>
      </c>
      <c r="T24" t="s">
        <v>32</v>
      </c>
      <c r="U24" t="s">
        <v>33</v>
      </c>
      <c r="V24" t="s">
        <v>27</v>
      </c>
      <c r="W24" t="s">
        <v>34</v>
      </c>
      <c r="X24" t="s">
        <v>51</v>
      </c>
      <c r="Y24" t="s">
        <v>59</v>
      </c>
      <c r="Z24" t="s">
        <v>45</v>
      </c>
    </row>
    <row r="25" spans="1:26" x14ac:dyDescent="0.45">
      <c r="A25" t="s">
        <v>46</v>
      </c>
      <c r="B25">
        <v>25</v>
      </c>
      <c r="C25">
        <f t="shared" si="0"/>
        <v>1</v>
      </c>
      <c r="D25">
        <v>25</v>
      </c>
      <c r="E25" t="s">
        <v>25</v>
      </c>
      <c r="F25">
        <v>2</v>
      </c>
      <c r="G25">
        <v>4</v>
      </c>
      <c r="H25">
        <v>6</v>
      </c>
      <c r="I25">
        <v>5</v>
      </c>
      <c r="J25">
        <v>3</v>
      </c>
      <c r="K25">
        <v>1</v>
      </c>
      <c r="L25">
        <v>7</v>
      </c>
      <c r="M25" t="s">
        <v>25</v>
      </c>
      <c r="N25" t="s">
        <v>60</v>
      </c>
      <c r="O25" t="s">
        <v>63</v>
      </c>
      <c r="P25" t="s">
        <v>64</v>
      </c>
      <c r="Q25" t="s">
        <v>47</v>
      </c>
      <c r="R25" t="s">
        <v>41</v>
      </c>
      <c r="S25" t="s">
        <v>31</v>
      </c>
      <c r="T25" t="s">
        <v>67</v>
      </c>
      <c r="U25" t="s">
        <v>42</v>
      </c>
      <c r="V25" t="s">
        <v>62</v>
      </c>
      <c r="W25" t="s">
        <v>34</v>
      </c>
      <c r="X25" t="s">
        <v>51</v>
      </c>
      <c r="Y25" t="s">
        <v>59</v>
      </c>
      <c r="Z25" t="s">
        <v>45</v>
      </c>
    </row>
    <row r="26" spans="1:26" x14ac:dyDescent="0.45">
      <c r="A26" t="s">
        <v>24</v>
      </c>
      <c r="B26">
        <v>15</v>
      </c>
      <c r="C26">
        <f t="shared" si="0"/>
        <v>0</v>
      </c>
      <c r="D26">
        <v>26</v>
      </c>
      <c r="E26" t="s">
        <v>25</v>
      </c>
      <c r="F26">
        <v>2</v>
      </c>
      <c r="G26">
        <v>3</v>
      </c>
      <c r="H26">
        <v>7</v>
      </c>
      <c r="I26">
        <v>5</v>
      </c>
      <c r="J26">
        <v>4</v>
      </c>
      <c r="K26">
        <v>1</v>
      </c>
      <c r="L26">
        <v>6</v>
      </c>
      <c r="M26" t="s">
        <v>25</v>
      </c>
      <c r="N26" t="s">
        <v>26</v>
      </c>
      <c r="O26" t="s">
        <v>27</v>
      </c>
      <c r="P26" t="s">
        <v>28</v>
      </c>
      <c r="Q26" t="s">
        <v>47</v>
      </c>
      <c r="R26" t="s">
        <v>30</v>
      </c>
      <c r="S26" t="s">
        <v>61</v>
      </c>
      <c r="T26" t="s">
        <v>67</v>
      </c>
      <c r="U26" t="s">
        <v>33</v>
      </c>
      <c r="V26" t="s">
        <v>27</v>
      </c>
      <c r="W26" t="s">
        <v>34</v>
      </c>
      <c r="X26" t="s">
        <v>51</v>
      </c>
      <c r="Y26" t="s">
        <v>59</v>
      </c>
      <c r="Z26" t="s">
        <v>37</v>
      </c>
    </row>
    <row r="27" spans="1:26" x14ac:dyDescent="0.45">
      <c r="A27" t="s">
        <v>24</v>
      </c>
      <c r="B27">
        <v>15</v>
      </c>
      <c r="C27">
        <f t="shared" si="0"/>
        <v>0</v>
      </c>
      <c r="D27">
        <v>32</v>
      </c>
      <c r="E27" t="s">
        <v>25</v>
      </c>
      <c r="F27">
        <v>3</v>
      </c>
      <c r="G27">
        <v>4</v>
      </c>
      <c r="H27">
        <v>7</v>
      </c>
      <c r="I27">
        <v>5</v>
      </c>
      <c r="J27">
        <v>1</v>
      </c>
      <c r="K27">
        <v>2</v>
      </c>
      <c r="L27">
        <v>6</v>
      </c>
      <c r="M27" t="s">
        <v>25</v>
      </c>
      <c r="N27" t="s">
        <v>60</v>
      </c>
      <c r="O27" t="s">
        <v>63</v>
      </c>
      <c r="P27" t="s">
        <v>28</v>
      </c>
      <c r="Q27" t="s">
        <v>47</v>
      </c>
      <c r="R27" t="s">
        <v>30</v>
      </c>
      <c r="S27" t="s">
        <v>31</v>
      </c>
      <c r="T27" t="s">
        <v>32</v>
      </c>
      <c r="U27" t="s">
        <v>33</v>
      </c>
      <c r="V27" t="s">
        <v>27</v>
      </c>
      <c r="W27" t="s">
        <v>34</v>
      </c>
      <c r="X27" t="s">
        <v>51</v>
      </c>
      <c r="Y27" t="s">
        <v>36</v>
      </c>
      <c r="Z27" t="s">
        <v>45</v>
      </c>
    </row>
    <row r="28" spans="1:26" x14ac:dyDescent="0.45">
      <c r="A28" t="s">
        <v>46</v>
      </c>
      <c r="B28">
        <v>25</v>
      </c>
      <c r="C28">
        <f t="shared" si="0"/>
        <v>1</v>
      </c>
      <c r="D28">
        <v>26</v>
      </c>
      <c r="E28" t="s">
        <v>25</v>
      </c>
      <c r="F28">
        <v>3</v>
      </c>
      <c r="G28">
        <v>4</v>
      </c>
      <c r="H28">
        <v>6</v>
      </c>
      <c r="I28">
        <v>5</v>
      </c>
      <c r="J28">
        <v>1</v>
      </c>
      <c r="K28">
        <v>2</v>
      </c>
      <c r="L28">
        <v>7</v>
      </c>
      <c r="M28" t="s">
        <v>25</v>
      </c>
      <c r="N28" t="s">
        <v>26</v>
      </c>
      <c r="O28" t="s">
        <v>27</v>
      </c>
      <c r="P28" t="s">
        <v>28</v>
      </c>
      <c r="Q28" t="s">
        <v>47</v>
      </c>
      <c r="R28" t="s">
        <v>30</v>
      </c>
      <c r="S28" t="s">
        <v>31</v>
      </c>
      <c r="T28" t="s">
        <v>32</v>
      </c>
      <c r="U28" t="s">
        <v>33</v>
      </c>
      <c r="V28" t="s">
        <v>43</v>
      </c>
      <c r="W28" t="s">
        <v>56</v>
      </c>
      <c r="X28" t="s">
        <v>51</v>
      </c>
      <c r="Y28" t="s">
        <v>36</v>
      </c>
      <c r="Z28" t="s">
        <v>45</v>
      </c>
    </row>
    <row r="29" spans="1:26" x14ac:dyDescent="0.45">
      <c r="A29" t="s">
        <v>46</v>
      </c>
      <c r="B29">
        <v>25</v>
      </c>
      <c r="C29">
        <f t="shared" si="0"/>
        <v>1</v>
      </c>
      <c r="D29">
        <v>31</v>
      </c>
      <c r="E29" t="s">
        <v>25</v>
      </c>
      <c r="F29">
        <v>2</v>
      </c>
      <c r="G29">
        <v>3</v>
      </c>
      <c r="H29">
        <v>7</v>
      </c>
      <c r="I29">
        <v>6</v>
      </c>
      <c r="J29">
        <v>4</v>
      </c>
      <c r="K29">
        <v>1</v>
      </c>
      <c r="L29">
        <v>5</v>
      </c>
      <c r="M29" t="s">
        <v>25</v>
      </c>
      <c r="N29" t="s">
        <v>60</v>
      </c>
      <c r="O29" t="s">
        <v>63</v>
      </c>
      <c r="P29" t="s">
        <v>64</v>
      </c>
      <c r="Q29" t="s">
        <v>29</v>
      </c>
      <c r="R29" t="s">
        <v>30</v>
      </c>
      <c r="S29" t="s">
        <v>31</v>
      </c>
      <c r="T29" t="s">
        <v>65</v>
      </c>
      <c r="U29" t="s">
        <v>42</v>
      </c>
      <c r="V29" t="s">
        <v>27</v>
      </c>
      <c r="W29" t="s">
        <v>56</v>
      </c>
      <c r="X29" t="s">
        <v>35</v>
      </c>
      <c r="Y29" t="s">
        <v>36</v>
      </c>
      <c r="Z29" t="s">
        <v>52</v>
      </c>
    </row>
    <row r="30" spans="1:26" x14ac:dyDescent="0.45">
      <c r="A30" t="s">
        <v>46</v>
      </c>
      <c r="B30">
        <v>25</v>
      </c>
      <c r="C30">
        <f t="shared" si="0"/>
        <v>1</v>
      </c>
      <c r="D30">
        <v>29</v>
      </c>
      <c r="E30" t="s">
        <v>25</v>
      </c>
      <c r="F30">
        <v>2</v>
      </c>
      <c r="G30">
        <v>3</v>
      </c>
      <c r="H30">
        <v>6</v>
      </c>
      <c r="I30">
        <v>5</v>
      </c>
      <c r="J30">
        <v>1</v>
      </c>
      <c r="K30">
        <v>4</v>
      </c>
      <c r="L30">
        <v>7</v>
      </c>
      <c r="M30" t="s">
        <v>25</v>
      </c>
      <c r="N30" t="s">
        <v>26</v>
      </c>
      <c r="O30" t="s">
        <v>27</v>
      </c>
      <c r="P30" t="s">
        <v>28</v>
      </c>
      <c r="Q30" t="s">
        <v>29</v>
      </c>
      <c r="R30" t="s">
        <v>30</v>
      </c>
      <c r="S30" t="s">
        <v>31</v>
      </c>
      <c r="T30" t="s">
        <v>49</v>
      </c>
      <c r="U30" t="s">
        <v>33</v>
      </c>
      <c r="V30" t="s">
        <v>27</v>
      </c>
      <c r="W30" t="s">
        <v>34</v>
      </c>
      <c r="X30" t="s">
        <v>51</v>
      </c>
      <c r="Y30" t="s">
        <v>59</v>
      </c>
      <c r="Z30" t="s">
        <v>52</v>
      </c>
    </row>
    <row r="31" spans="1:26" x14ac:dyDescent="0.45">
      <c r="A31" t="s">
        <v>24</v>
      </c>
      <c r="B31">
        <v>15</v>
      </c>
      <c r="C31">
        <f t="shared" si="0"/>
        <v>0</v>
      </c>
      <c r="D31">
        <v>34</v>
      </c>
      <c r="E31" t="s">
        <v>25</v>
      </c>
      <c r="F31">
        <v>5</v>
      </c>
      <c r="G31">
        <v>4</v>
      </c>
      <c r="H31">
        <v>3</v>
      </c>
      <c r="I31">
        <v>2</v>
      </c>
      <c r="J31">
        <v>7</v>
      </c>
      <c r="K31">
        <v>1</v>
      </c>
      <c r="L31">
        <v>6</v>
      </c>
      <c r="M31" t="s">
        <v>25</v>
      </c>
      <c r="N31" t="s">
        <v>26</v>
      </c>
      <c r="O31" t="s">
        <v>53</v>
      </c>
      <c r="P31" t="s">
        <v>26</v>
      </c>
      <c r="Q31" t="s">
        <v>47</v>
      </c>
      <c r="R31" t="s">
        <v>30</v>
      </c>
      <c r="S31" t="s">
        <v>55</v>
      </c>
      <c r="T31" t="s">
        <v>32</v>
      </c>
      <c r="U31" t="s">
        <v>33</v>
      </c>
      <c r="V31" t="s">
        <v>27</v>
      </c>
      <c r="W31" t="s">
        <v>50</v>
      </c>
      <c r="X31" t="s">
        <v>35</v>
      </c>
      <c r="Y31" t="s">
        <v>36</v>
      </c>
      <c r="Z31" t="s">
        <v>37</v>
      </c>
    </row>
    <row r="32" spans="1:26" x14ac:dyDescent="0.45">
      <c r="A32" t="s">
        <v>46</v>
      </c>
      <c r="B32">
        <v>25</v>
      </c>
      <c r="C32">
        <f t="shared" si="0"/>
        <v>1</v>
      </c>
      <c r="D32">
        <v>27</v>
      </c>
      <c r="E32" t="s">
        <v>25</v>
      </c>
      <c r="F32">
        <v>4</v>
      </c>
      <c r="G32">
        <v>5</v>
      </c>
      <c r="H32">
        <v>1</v>
      </c>
      <c r="I32">
        <v>2</v>
      </c>
      <c r="J32">
        <v>7</v>
      </c>
      <c r="K32">
        <v>3</v>
      </c>
      <c r="L32">
        <v>6</v>
      </c>
      <c r="M32" t="s">
        <v>38</v>
      </c>
      <c r="N32" t="s">
        <v>26</v>
      </c>
      <c r="O32" t="s">
        <v>63</v>
      </c>
      <c r="P32" t="s">
        <v>28</v>
      </c>
      <c r="Q32" t="s">
        <v>29</v>
      </c>
      <c r="R32" t="s">
        <v>30</v>
      </c>
      <c r="S32" t="s">
        <v>55</v>
      </c>
      <c r="T32" t="s">
        <v>32</v>
      </c>
      <c r="U32" t="s">
        <v>66</v>
      </c>
      <c r="V32" t="s">
        <v>27</v>
      </c>
      <c r="W32" t="s">
        <v>50</v>
      </c>
      <c r="X32" t="s">
        <v>35</v>
      </c>
      <c r="Y32" t="s">
        <v>36</v>
      </c>
      <c r="Z32" t="s">
        <v>52</v>
      </c>
    </row>
    <row r="33" spans="1:26" x14ac:dyDescent="0.45">
      <c r="A33" t="s">
        <v>24</v>
      </c>
      <c r="B33">
        <v>15</v>
      </c>
      <c r="C33">
        <f t="shared" si="0"/>
        <v>0</v>
      </c>
      <c r="D33">
        <v>31</v>
      </c>
      <c r="E33" t="s">
        <v>25</v>
      </c>
      <c r="F33">
        <v>2</v>
      </c>
      <c r="G33">
        <v>4</v>
      </c>
      <c r="H33">
        <v>7</v>
      </c>
      <c r="I33">
        <v>6</v>
      </c>
      <c r="J33">
        <v>3</v>
      </c>
      <c r="K33">
        <v>1</v>
      </c>
      <c r="L33">
        <v>5</v>
      </c>
      <c r="M33" t="s">
        <v>25</v>
      </c>
      <c r="N33" t="s">
        <v>26</v>
      </c>
      <c r="O33" t="s">
        <v>27</v>
      </c>
      <c r="P33" t="s">
        <v>28</v>
      </c>
      <c r="Q33" t="s">
        <v>47</v>
      </c>
      <c r="R33" t="s">
        <v>30</v>
      </c>
      <c r="S33" t="s">
        <v>31</v>
      </c>
      <c r="T33" t="s">
        <v>65</v>
      </c>
      <c r="U33" t="s">
        <v>33</v>
      </c>
      <c r="V33" t="s">
        <v>27</v>
      </c>
      <c r="W33" t="s">
        <v>34</v>
      </c>
      <c r="X33" t="s">
        <v>51</v>
      </c>
      <c r="Y33" t="s">
        <v>36</v>
      </c>
      <c r="Z33" t="s">
        <v>45</v>
      </c>
    </row>
    <row r="34" spans="1:26" x14ac:dyDescent="0.45">
      <c r="A34" t="s">
        <v>46</v>
      </c>
      <c r="B34">
        <v>25</v>
      </c>
      <c r="C34">
        <f t="shared" si="0"/>
        <v>1</v>
      </c>
      <c r="D34">
        <v>27</v>
      </c>
      <c r="E34" t="s">
        <v>25</v>
      </c>
      <c r="F34">
        <v>2</v>
      </c>
      <c r="G34">
        <v>4</v>
      </c>
      <c r="H34">
        <v>7</v>
      </c>
      <c r="I34">
        <v>5</v>
      </c>
      <c r="J34">
        <v>1</v>
      </c>
      <c r="K34">
        <v>3</v>
      </c>
      <c r="L34">
        <v>6</v>
      </c>
      <c r="M34" t="s">
        <v>25</v>
      </c>
      <c r="N34" t="s">
        <v>26</v>
      </c>
      <c r="O34" t="s">
        <v>27</v>
      </c>
      <c r="P34" t="s">
        <v>28</v>
      </c>
      <c r="Q34" t="s">
        <v>47</v>
      </c>
      <c r="R34" t="s">
        <v>30</v>
      </c>
      <c r="S34" t="s">
        <v>61</v>
      </c>
      <c r="T34" t="s">
        <v>49</v>
      </c>
      <c r="U34" t="s">
        <v>42</v>
      </c>
      <c r="V34" t="s">
        <v>27</v>
      </c>
      <c r="W34" t="s">
        <v>56</v>
      </c>
      <c r="X34" t="s">
        <v>51</v>
      </c>
      <c r="Y34" t="s">
        <v>36</v>
      </c>
      <c r="Z34" t="s">
        <v>37</v>
      </c>
    </row>
    <row r="35" spans="1:26" x14ac:dyDescent="0.45">
      <c r="A35" t="s">
        <v>46</v>
      </c>
      <c r="B35">
        <v>25</v>
      </c>
      <c r="C35">
        <f t="shared" si="0"/>
        <v>1</v>
      </c>
      <c r="D35">
        <v>26</v>
      </c>
      <c r="E35" t="s">
        <v>25</v>
      </c>
      <c r="F35">
        <v>2</v>
      </c>
      <c r="G35">
        <v>3</v>
      </c>
      <c r="H35">
        <v>6</v>
      </c>
      <c r="I35">
        <v>4</v>
      </c>
      <c r="J35">
        <v>1</v>
      </c>
      <c r="K35">
        <v>5</v>
      </c>
      <c r="L35">
        <v>7</v>
      </c>
      <c r="M35" t="s">
        <v>25</v>
      </c>
      <c r="N35" t="s">
        <v>26</v>
      </c>
      <c r="O35" t="s">
        <v>27</v>
      </c>
      <c r="P35" t="s">
        <v>26</v>
      </c>
      <c r="Q35" t="s">
        <v>29</v>
      </c>
      <c r="R35" t="s">
        <v>30</v>
      </c>
      <c r="S35" t="s">
        <v>31</v>
      </c>
      <c r="T35" t="s">
        <v>65</v>
      </c>
      <c r="U35" t="s">
        <v>66</v>
      </c>
      <c r="V35" t="s">
        <v>43</v>
      </c>
      <c r="W35" t="s">
        <v>34</v>
      </c>
      <c r="X35" t="s">
        <v>35</v>
      </c>
      <c r="Y35" t="s">
        <v>59</v>
      </c>
      <c r="Z35" t="s">
        <v>37</v>
      </c>
    </row>
    <row r="36" spans="1:26" x14ac:dyDescent="0.45">
      <c r="A36" t="s">
        <v>46</v>
      </c>
      <c r="B36">
        <v>25</v>
      </c>
      <c r="C36">
        <f t="shared" si="0"/>
        <v>1</v>
      </c>
      <c r="D36">
        <v>27</v>
      </c>
      <c r="E36" t="s">
        <v>25</v>
      </c>
      <c r="F36">
        <v>2</v>
      </c>
      <c r="G36">
        <v>3</v>
      </c>
      <c r="H36">
        <v>6</v>
      </c>
      <c r="I36">
        <v>5</v>
      </c>
      <c r="J36">
        <v>4</v>
      </c>
      <c r="K36">
        <v>1</v>
      </c>
      <c r="L36">
        <v>7</v>
      </c>
      <c r="M36" t="s">
        <v>25</v>
      </c>
      <c r="N36" t="s">
        <v>26</v>
      </c>
      <c r="O36" t="s">
        <v>27</v>
      </c>
      <c r="P36" t="s">
        <v>28</v>
      </c>
      <c r="Q36" t="s">
        <v>29</v>
      </c>
      <c r="R36" t="s">
        <v>41</v>
      </c>
      <c r="S36" t="s">
        <v>31</v>
      </c>
      <c r="T36" t="s">
        <v>32</v>
      </c>
      <c r="U36" t="s">
        <v>42</v>
      </c>
      <c r="V36" t="s">
        <v>27</v>
      </c>
      <c r="W36" t="s">
        <v>34</v>
      </c>
      <c r="X36" t="s">
        <v>35</v>
      </c>
      <c r="Y36" t="s">
        <v>36</v>
      </c>
      <c r="Z36" t="s">
        <v>45</v>
      </c>
    </row>
    <row r="37" spans="1:26" x14ac:dyDescent="0.45">
      <c r="A37" t="s">
        <v>46</v>
      </c>
      <c r="B37">
        <v>25</v>
      </c>
      <c r="C37">
        <f t="shared" si="0"/>
        <v>1</v>
      </c>
      <c r="D37">
        <v>30</v>
      </c>
      <c r="E37" t="s">
        <v>25</v>
      </c>
      <c r="F37">
        <v>1</v>
      </c>
      <c r="G37">
        <v>4</v>
      </c>
      <c r="H37">
        <v>6</v>
      </c>
      <c r="I37">
        <v>5</v>
      </c>
      <c r="J37">
        <v>3</v>
      </c>
      <c r="K37">
        <v>2</v>
      </c>
      <c r="L37">
        <v>7</v>
      </c>
      <c r="M37" t="s">
        <v>25</v>
      </c>
      <c r="N37" t="s">
        <v>60</v>
      </c>
      <c r="O37" t="s">
        <v>63</v>
      </c>
      <c r="P37" t="s">
        <v>28</v>
      </c>
      <c r="Q37" t="s">
        <v>47</v>
      </c>
      <c r="R37" t="s">
        <v>30</v>
      </c>
      <c r="S37" t="s">
        <v>31</v>
      </c>
      <c r="T37" t="s">
        <v>65</v>
      </c>
      <c r="U37" t="s">
        <v>42</v>
      </c>
      <c r="V37" t="s">
        <v>27</v>
      </c>
      <c r="W37" t="s">
        <v>34</v>
      </c>
      <c r="X37" t="s">
        <v>51</v>
      </c>
      <c r="Y37" t="s">
        <v>36</v>
      </c>
      <c r="Z37" t="s">
        <v>45</v>
      </c>
    </row>
    <row r="38" spans="1:26" x14ac:dyDescent="0.45">
      <c r="A38" t="s">
        <v>46</v>
      </c>
      <c r="B38">
        <v>25</v>
      </c>
      <c r="C38">
        <f t="shared" si="0"/>
        <v>1</v>
      </c>
      <c r="D38">
        <v>30</v>
      </c>
      <c r="E38" t="s">
        <v>25</v>
      </c>
      <c r="F38">
        <v>2</v>
      </c>
      <c r="G38">
        <v>4</v>
      </c>
      <c r="H38">
        <v>7</v>
      </c>
      <c r="I38">
        <v>5</v>
      </c>
      <c r="J38">
        <v>1</v>
      </c>
      <c r="K38">
        <v>3</v>
      </c>
      <c r="L38">
        <v>6</v>
      </c>
      <c r="M38" t="s">
        <v>25</v>
      </c>
      <c r="N38" t="s">
        <v>26</v>
      </c>
      <c r="O38" t="s">
        <v>27</v>
      </c>
      <c r="P38" t="s">
        <v>28</v>
      </c>
      <c r="Q38" t="s">
        <v>29</v>
      </c>
      <c r="R38" t="s">
        <v>30</v>
      </c>
      <c r="S38" t="s">
        <v>31</v>
      </c>
      <c r="T38" t="s">
        <v>49</v>
      </c>
      <c r="U38" t="s">
        <v>33</v>
      </c>
      <c r="V38" t="s">
        <v>27</v>
      </c>
      <c r="W38" t="s">
        <v>34</v>
      </c>
      <c r="X38" t="s">
        <v>51</v>
      </c>
      <c r="Y38" t="s">
        <v>59</v>
      </c>
      <c r="Z38" t="s">
        <v>37</v>
      </c>
    </row>
    <row r="39" spans="1:26" x14ac:dyDescent="0.45">
      <c r="A39" t="s">
        <v>46</v>
      </c>
      <c r="B39">
        <v>25</v>
      </c>
      <c r="C39">
        <f t="shared" si="0"/>
        <v>1</v>
      </c>
      <c r="D39">
        <v>25</v>
      </c>
      <c r="E39" t="s">
        <v>25</v>
      </c>
      <c r="F39">
        <v>5</v>
      </c>
      <c r="G39">
        <v>4</v>
      </c>
      <c r="H39">
        <v>7</v>
      </c>
      <c r="I39">
        <v>6</v>
      </c>
      <c r="J39">
        <v>1</v>
      </c>
      <c r="K39">
        <v>2</v>
      </c>
      <c r="L39">
        <v>3</v>
      </c>
      <c r="M39" t="s">
        <v>25</v>
      </c>
      <c r="N39" t="s">
        <v>60</v>
      </c>
      <c r="O39" t="s">
        <v>63</v>
      </c>
      <c r="P39" t="s">
        <v>64</v>
      </c>
      <c r="Q39" t="s">
        <v>47</v>
      </c>
      <c r="R39" t="s">
        <v>30</v>
      </c>
      <c r="S39" t="s">
        <v>61</v>
      </c>
      <c r="T39" t="s">
        <v>67</v>
      </c>
      <c r="U39" t="s">
        <v>42</v>
      </c>
      <c r="V39" t="s">
        <v>27</v>
      </c>
      <c r="W39" t="s">
        <v>34</v>
      </c>
      <c r="X39" t="s">
        <v>35</v>
      </c>
      <c r="Y39" t="s">
        <v>36</v>
      </c>
      <c r="Z39" t="s">
        <v>45</v>
      </c>
    </row>
    <row r="40" spans="1:26" x14ac:dyDescent="0.45">
      <c r="A40" t="s">
        <v>46</v>
      </c>
      <c r="B40">
        <v>25</v>
      </c>
      <c r="C40">
        <f t="shared" si="0"/>
        <v>1</v>
      </c>
      <c r="D40">
        <v>31</v>
      </c>
      <c r="E40" t="s">
        <v>25</v>
      </c>
      <c r="F40">
        <v>2</v>
      </c>
      <c r="G40">
        <v>4</v>
      </c>
      <c r="H40">
        <v>7</v>
      </c>
      <c r="I40">
        <v>5</v>
      </c>
      <c r="J40">
        <v>3</v>
      </c>
      <c r="K40">
        <v>1</v>
      </c>
      <c r="L40">
        <v>6</v>
      </c>
      <c r="M40" t="s">
        <v>25</v>
      </c>
      <c r="N40" t="s">
        <v>60</v>
      </c>
      <c r="O40" t="s">
        <v>63</v>
      </c>
      <c r="P40" t="s">
        <v>28</v>
      </c>
      <c r="Q40" t="s">
        <v>29</v>
      </c>
      <c r="R40" t="s">
        <v>41</v>
      </c>
      <c r="S40" t="s">
        <v>31</v>
      </c>
      <c r="T40" t="s">
        <v>49</v>
      </c>
      <c r="U40" t="s">
        <v>42</v>
      </c>
      <c r="V40" t="s">
        <v>43</v>
      </c>
      <c r="W40" t="s">
        <v>56</v>
      </c>
      <c r="X40" t="s">
        <v>51</v>
      </c>
      <c r="Y40" t="s">
        <v>36</v>
      </c>
      <c r="Z40" t="s">
        <v>37</v>
      </c>
    </row>
    <row r="41" spans="1:26" x14ac:dyDescent="0.45">
      <c r="A41" t="s">
        <v>46</v>
      </c>
      <c r="B41">
        <v>25</v>
      </c>
      <c r="C41">
        <f t="shared" si="0"/>
        <v>1</v>
      </c>
      <c r="D41">
        <v>29</v>
      </c>
      <c r="E41" t="s">
        <v>25</v>
      </c>
      <c r="F41">
        <v>4</v>
      </c>
      <c r="G41">
        <v>3</v>
      </c>
      <c r="H41">
        <v>5</v>
      </c>
      <c r="I41">
        <v>7</v>
      </c>
      <c r="J41">
        <v>2</v>
      </c>
      <c r="K41">
        <v>1</v>
      </c>
      <c r="L41">
        <v>6</v>
      </c>
      <c r="M41" t="s">
        <v>25</v>
      </c>
      <c r="N41" t="s">
        <v>26</v>
      </c>
      <c r="O41" t="s">
        <v>27</v>
      </c>
      <c r="P41" t="s">
        <v>28</v>
      </c>
      <c r="Q41" t="s">
        <v>47</v>
      </c>
      <c r="R41" t="s">
        <v>30</v>
      </c>
      <c r="S41" t="s">
        <v>31</v>
      </c>
      <c r="T41" t="s">
        <v>65</v>
      </c>
      <c r="U41" t="s">
        <v>33</v>
      </c>
      <c r="V41" t="s">
        <v>43</v>
      </c>
      <c r="W41" t="s">
        <v>34</v>
      </c>
      <c r="X41" t="s">
        <v>35</v>
      </c>
      <c r="Y41" t="s">
        <v>36</v>
      </c>
      <c r="Z41" t="s">
        <v>45</v>
      </c>
    </row>
  </sheetData>
  <autoFilter ref="A1:Z41" xr:uid="{D42F1A63-D028-49F2-845C-E38D42765D5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D799-E5A5-43F8-941A-934BE857E685}">
  <dimension ref="A1:Z41"/>
  <sheetViews>
    <sheetView workbookViewId="0">
      <selection activeCell="C5" sqref="C5"/>
    </sheetView>
  </sheetViews>
  <sheetFormatPr defaultRowHeight="14.25" x14ac:dyDescent="0.45"/>
  <sheetData>
    <row r="1" spans="1:26" x14ac:dyDescent="0.45">
      <c r="A1" t="s">
        <v>0</v>
      </c>
      <c r="B1" t="s">
        <v>68</v>
      </c>
      <c r="C1" t="s">
        <v>69</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row>
    <row r="2" spans="1:26" x14ac:dyDescent="0.45">
      <c r="A2" t="s">
        <v>24</v>
      </c>
      <c r="B2">
        <v>15</v>
      </c>
      <c r="C2">
        <v>0</v>
      </c>
      <c r="D2">
        <v>34</v>
      </c>
      <c r="E2" t="s">
        <v>25</v>
      </c>
      <c r="F2">
        <v>1</v>
      </c>
      <c r="G2">
        <v>2</v>
      </c>
      <c r="H2">
        <v>5</v>
      </c>
      <c r="I2">
        <v>3</v>
      </c>
      <c r="J2">
        <v>7</v>
      </c>
      <c r="K2">
        <v>6</v>
      </c>
      <c r="L2">
        <v>4</v>
      </c>
      <c r="M2" t="s">
        <v>25</v>
      </c>
      <c r="N2" t="s">
        <v>26</v>
      </c>
      <c r="O2" t="s">
        <v>27</v>
      </c>
      <c r="P2" t="s">
        <v>28</v>
      </c>
      <c r="Q2" t="s">
        <v>29</v>
      </c>
      <c r="R2" t="s">
        <v>30</v>
      </c>
      <c r="S2" t="s">
        <v>31</v>
      </c>
      <c r="T2" t="s">
        <v>32</v>
      </c>
      <c r="U2" t="s">
        <v>33</v>
      </c>
      <c r="V2" t="s">
        <v>27</v>
      </c>
      <c r="W2" t="s">
        <v>34</v>
      </c>
      <c r="X2" t="s">
        <v>35</v>
      </c>
      <c r="Y2" t="s">
        <v>36</v>
      </c>
      <c r="Z2" t="s">
        <v>37</v>
      </c>
    </row>
    <row r="3" spans="1:26" x14ac:dyDescent="0.45">
      <c r="A3" t="s">
        <v>24</v>
      </c>
      <c r="B3">
        <v>15</v>
      </c>
      <c r="C3">
        <f t="shared" ref="C3:C41" si="0">COUNTIF(A3, "Male")</f>
        <v>0</v>
      </c>
      <c r="D3">
        <v>23</v>
      </c>
      <c r="E3" t="s">
        <v>25</v>
      </c>
      <c r="F3">
        <v>4</v>
      </c>
      <c r="G3">
        <v>3</v>
      </c>
      <c r="H3">
        <v>2</v>
      </c>
      <c r="I3">
        <v>1</v>
      </c>
      <c r="J3">
        <v>5</v>
      </c>
      <c r="K3">
        <v>6</v>
      </c>
      <c r="L3">
        <v>7</v>
      </c>
      <c r="M3" t="s">
        <v>38</v>
      </c>
      <c r="N3" t="s">
        <v>39</v>
      </c>
      <c r="O3" t="s">
        <v>27</v>
      </c>
      <c r="P3" t="s">
        <v>28</v>
      </c>
      <c r="Q3" t="s">
        <v>40</v>
      </c>
      <c r="R3" t="s">
        <v>41</v>
      </c>
      <c r="S3" t="s">
        <v>31</v>
      </c>
      <c r="T3" t="s">
        <v>32</v>
      </c>
      <c r="U3" t="s">
        <v>42</v>
      </c>
      <c r="V3" t="s">
        <v>43</v>
      </c>
      <c r="W3" t="s">
        <v>34</v>
      </c>
      <c r="X3" t="s">
        <v>35</v>
      </c>
      <c r="Y3" t="s">
        <v>44</v>
      </c>
      <c r="Z3" t="s">
        <v>45</v>
      </c>
    </row>
    <row r="4" spans="1:26" x14ac:dyDescent="0.45">
      <c r="A4" t="s">
        <v>46</v>
      </c>
      <c r="B4">
        <v>25</v>
      </c>
      <c r="C4">
        <f t="shared" si="0"/>
        <v>1</v>
      </c>
      <c r="D4">
        <v>30</v>
      </c>
      <c r="E4" t="s">
        <v>25</v>
      </c>
      <c r="F4">
        <v>3</v>
      </c>
      <c r="G4">
        <v>6</v>
      </c>
      <c r="H4">
        <v>4</v>
      </c>
      <c r="I4">
        <v>2</v>
      </c>
      <c r="J4">
        <v>5</v>
      </c>
      <c r="K4">
        <v>1</v>
      </c>
      <c r="L4">
        <v>7</v>
      </c>
      <c r="M4" t="s">
        <v>25</v>
      </c>
      <c r="N4" t="s">
        <v>26</v>
      </c>
      <c r="O4" t="s">
        <v>27</v>
      </c>
      <c r="P4" t="s">
        <v>28</v>
      </c>
      <c r="Q4" t="s">
        <v>47</v>
      </c>
      <c r="R4" t="s">
        <v>48</v>
      </c>
      <c r="S4" t="s">
        <v>31</v>
      </c>
      <c r="T4" t="s">
        <v>49</v>
      </c>
      <c r="U4" t="s">
        <v>33</v>
      </c>
      <c r="V4" t="s">
        <v>27</v>
      </c>
      <c r="W4" t="s">
        <v>50</v>
      </c>
      <c r="X4" t="s">
        <v>51</v>
      </c>
      <c r="Y4" t="s">
        <v>36</v>
      </c>
      <c r="Z4" t="s">
        <v>52</v>
      </c>
    </row>
    <row r="5" spans="1:26" x14ac:dyDescent="0.45">
      <c r="A5" t="s">
        <v>46</v>
      </c>
      <c r="B5">
        <v>25</v>
      </c>
      <c r="C5">
        <f t="shared" si="0"/>
        <v>1</v>
      </c>
      <c r="D5">
        <v>22</v>
      </c>
      <c r="E5" t="s">
        <v>25</v>
      </c>
      <c r="F5">
        <v>2</v>
      </c>
      <c r="G5">
        <v>1</v>
      </c>
      <c r="H5">
        <v>3</v>
      </c>
      <c r="I5">
        <v>7</v>
      </c>
      <c r="J5">
        <v>6</v>
      </c>
      <c r="K5">
        <v>4</v>
      </c>
      <c r="L5">
        <v>5</v>
      </c>
      <c r="M5" t="s">
        <v>25</v>
      </c>
      <c r="N5" t="s">
        <v>26</v>
      </c>
      <c r="O5" t="s">
        <v>53</v>
      </c>
      <c r="P5" t="s">
        <v>28</v>
      </c>
      <c r="Q5" t="s">
        <v>54</v>
      </c>
      <c r="R5" t="s">
        <v>48</v>
      </c>
      <c r="S5" t="s">
        <v>55</v>
      </c>
      <c r="T5" t="s">
        <v>49</v>
      </c>
      <c r="U5" t="s">
        <v>33</v>
      </c>
      <c r="V5" t="s">
        <v>43</v>
      </c>
      <c r="W5" t="s">
        <v>56</v>
      </c>
      <c r="X5" t="s">
        <v>57</v>
      </c>
      <c r="Y5" t="s">
        <v>44</v>
      </c>
      <c r="Z5" t="s">
        <v>58</v>
      </c>
    </row>
    <row r="6" spans="1:26" x14ac:dyDescent="0.45">
      <c r="A6" t="s">
        <v>24</v>
      </c>
      <c r="B6">
        <v>15</v>
      </c>
      <c r="C6">
        <f t="shared" si="0"/>
        <v>0</v>
      </c>
      <c r="D6">
        <v>24</v>
      </c>
      <c r="E6" t="s">
        <v>38</v>
      </c>
      <c r="F6">
        <v>2</v>
      </c>
      <c r="G6">
        <v>1</v>
      </c>
      <c r="H6">
        <v>3</v>
      </c>
      <c r="I6">
        <v>6</v>
      </c>
      <c r="J6">
        <v>4</v>
      </c>
      <c r="K6">
        <v>5</v>
      </c>
      <c r="L6">
        <v>7</v>
      </c>
      <c r="M6" t="s">
        <v>38</v>
      </c>
      <c r="N6" t="s">
        <v>26</v>
      </c>
      <c r="O6" t="s">
        <v>53</v>
      </c>
      <c r="P6" t="s">
        <v>28</v>
      </c>
      <c r="Q6" t="s">
        <v>54</v>
      </c>
      <c r="R6" t="s">
        <v>48</v>
      </c>
      <c r="S6" t="s">
        <v>31</v>
      </c>
      <c r="T6" t="s">
        <v>49</v>
      </c>
      <c r="U6" t="s">
        <v>33</v>
      </c>
      <c r="V6" t="s">
        <v>27</v>
      </c>
      <c r="W6" t="s">
        <v>34</v>
      </c>
      <c r="X6" t="s">
        <v>35</v>
      </c>
      <c r="Y6" t="s">
        <v>59</v>
      </c>
      <c r="Z6" t="s">
        <v>58</v>
      </c>
    </row>
    <row r="7" spans="1:26" x14ac:dyDescent="0.45">
      <c r="A7" t="s">
        <v>24</v>
      </c>
      <c r="B7">
        <v>15</v>
      </c>
      <c r="C7">
        <f t="shared" si="0"/>
        <v>0</v>
      </c>
      <c r="D7">
        <v>24</v>
      </c>
      <c r="E7" t="s">
        <v>38</v>
      </c>
      <c r="F7">
        <v>7</v>
      </c>
      <c r="G7">
        <v>5</v>
      </c>
      <c r="H7">
        <v>4</v>
      </c>
      <c r="I7">
        <v>6</v>
      </c>
      <c r="J7">
        <v>3</v>
      </c>
      <c r="K7">
        <v>1</v>
      </c>
      <c r="L7">
        <v>2</v>
      </c>
      <c r="M7" t="s">
        <v>38</v>
      </c>
      <c r="N7" t="s">
        <v>60</v>
      </c>
      <c r="O7" t="s">
        <v>27</v>
      </c>
      <c r="P7" t="s">
        <v>28</v>
      </c>
      <c r="Q7" t="s">
        <v>29</v>
      </c>
      <c r="R7" t="s">
        <v>48</v>
      </c>
      <c r="S7" t="s">
        <v>61</v>
      </c>
      <c r="T7" t="s">
        <v>32</v>
      </c>
      <c r="U7" t="s">
        <v>33</v>
      </c>
      <c r="V7" t="s">
        <v>62</v>
      </c>
      <c r="W7" t="s">
        <v>56</v>
      </c>
      <c r="X7" t="s">
        <v>35</v>
      </c>
      <c r="Y7" t="s">
        <v>59</v>
      </c>
      <c r="Z7" t="s">
        <v>58</v>
      </c>
    </row>
    <row r="8" spans="1:26" x14ac:dyDescent="0.45">
      <c r="A8" t="s">
        <v>24</v>
      </c>
      <c r="B8">
        <v>15</v>
      </c>
      <c r="C8">
        <f t="shared" si="0"/>
        <v>0</v>
      </c>
      <c r="D8">
        <v>27</v>
      </c>
      <c r="E8" t="s">
        <v>25</v>
      </c>
      <c r="F8">
        <v>3</v>
      </c>
      <c r="G8">
        <v>6</v>
      </c>
      <c r="H8">
        <v>4</v>
      </c>
      <c r="I8">
        <v>2</v>
      </c>
      <c r="J8">
        <v>5</v>
      </c>
      <c r="K8">
        <v>1</v>
      </c>
      <c r="L8">
        <v>7</v>
      </c>
      <c r="M8" t="s">
        <v>25</v>
      </c>
      <c r="N8" t="s">
        <v>26</v>
      </c>
      <c r="O8" t="s">
        <v>27</v>
      </c>
      <c r="P8" t="s">
        <v>28</v>
      </c>
      <c r="Q8" t="s">
        <v>47</v>
      </c>
      <c r="R8" t="s">
        <v>30</v>
      </c>
      <c r="S8" t="s">
        <v>31</v>
      </c>
      <c r="T8" t="s">
        <v>49</v>
      </c>
      <c r="U8" t="s">
        <v>33</v>
      </c>
      <c r="V8" t="s">
        <v>27</v>
      </c>
      <c r="W8" t="s">
        <v>34</v>
      </c>
      <c r="X8" t="s">
        <v>51</v>
      </c>
      <c r="Y8" t="s">
        <v>44</v>
      </c>
      <c r="Z8" t="s">
        <v>45</v>
      </c>
    </row>
    <row r="9" spans="1:26" x14ac:dyDescent="0.45">
      <c r="A9" t="s">
        <v>46</v>
      </c>
      <c r="B9">
        <v>25</v>
      </c>
      <c r="C9">
        <f t="shared" si="0"/>
        <v>1</v>
      </c>
      <c r="D9">
        <v>21</v>
      </c>
      <c r="E9" t="s">
        <v>25</v>
      </c>
      <c r="F9">
        <v>2</v>
      </c>
      <c r="G9">
        <v>3</v>
      </c>
      <c r="H9">
        <v>7</v>
      </c>
      <c r="I9">
        <v>4</v>
      </c>
      <c r="J9">
        <v>6</v>
      </c>
      <c r="K9">
        <v>1</v>
      </c>
      <c r="L9">
        <v>5</v>
      </c>
      <c r="M9" t="s">
        <v>25</v>
      </c>
      <c r="N9" t="s">
        <v>60</v>
      </c>
      <c r="O9" t="s">
        <v>27</v>
      </c>
      <c r="P9" t="s">
        <v>28</v>
      </c>
      <c r="Q9" t="s">
        <v>47</v>
      </c>
      <c r="R9" t="s">
        <v>30</v>
      </c>
      <c r="S9" t="s">
        <v>31</v>
      </c>
      <c r="T9" t="s">
        <v>32</v>
      </c>
      <c r="U9" t="s">
        <v>33</v>
      </c>
      <c r="V9" t="s">
        <v>27</v>
      </c>
      <c r="W9" t="s">
        <v>34</v>
      </c>
      <c r="X9" t="s">
        <v>51</v>
      </c>
      <c r="Y9" t="s">
        <v>59</v>
      </c>
      <c r="Z9" t="s">
        <v>37</v>
      </c>
    </row>
    <row r="10" spans="1:26" x14ac:dyDescent="0.45">
      <c r="A10" t="s">
        <v>46</v>
      </c>
      <c r="B10">
        <v>25</v>
      </c>
      <c r="C10">
        <f t="shared" si="0"/>
        <v>1</v>
      </c>
      <c r="D10">
        <v>35</v>
      </c>
      <c r="E10" t="s">
        <v>25</v>
      </c>
      <c r="F10">
        <v>2</v>
      </c>
      <c r="G10">
        <v>4</v>
      </c>
      <c r="H10">
        <v>7</v>
      </c>
      <c r="I10">
        <v>5</v>
      </c>
      <c r="J10">
        <v>3</v>
      </c>
      <c r="K10">
        <v>1</v>
      </c>
      <c r="L10">
        <v>6</v>
      </c>
      <c r="M10" t="s">
        <v>25</v>
      </c>
      <c r="N10" t="s">
        <v>26</v>
      </c>
      <c r="O10" t="s">
        <v>63</v>
      </c>
      <c r="P10" t="s">
        <v>64</v>
      </c>
      <c r="Q10" t="s">
        <v>29</v>
      </c>
      <c r="R10" t="s">
        <v>41</v>
      </c>
      <c r="S10" t="s">
        <v>31</v>
      </c>
      <c r="T10" t="s">
        <v>49</v>
      </c>
      <c r="U10" t="s">
        <v>33</v>
      </c>
      <c r="V10" t="s">
        <v>27</v>
      </c>
      <c r="W10" t="s">
        <v>56</v>
      </c>
      <c r="X10" t="s">
        <v>35</v>
      </c>
      <c r="Y10" t="s">
        <v>36</v>
      </c>
      <c r="Z10" t="s">
        <v>52</v>
      </c>
    </row>
    <row r="11" spans="1:26" x14ac:dyDescent="0.45">
      <c r="A11" t="s">
        <v>46</v>
      </c>
      <c r="B11">
        <v>25</v>
      </c>
      <c r="C11">
        <f t="shared" si="0"/>
        <v>1</v>
      </c>
      <c r="D11">
        <v>31</v>
      </c>
      <c r="E11" t="s">
        <v>25</v>
      </c>
      <c r="F11">
        <v>1</v>
      </c>
      <c r="G11">
        <v>3</v>
      </c>
      <c r="H11">
        <v>7</v>
      </c>
      <c r="I11">
        <v>4</v>
      </c>
      <c r="J11">
        <v>5</v>
      </c>
      <c r="K11">
        <v>2</v>
      </c>
      <c r="L11">
        <v>6</v>
      </c>
      <c r="M11" t="s">
        <v>25</v>
      </c>
      <c r="N11" t="s">
        <v>26</v>
      </c>
      <c r="O11" t="s">
        <v>27</v>
      </c>
      <c r="P11" t="s">
        <v>28</v>
      </c>
      <c r="Q11" t="s">
        <v>47</v>
      </c>
      <c r="R11" t="s">
        <v>30</v>
      </c>
      <c r="S11" t="s">
        <v>61</v>
      </c>
      <c r="T11" t="s">
        <v>65</v>
      </c>
      <c r="U11" t="s">
        <v>33</v>
      </c>
      <c r="V11" t="s">
        <v>27</v>
      </c>
      <c r="W11" t="s">
        <v>56</v>
      </c>
      <c r="X11" t="s">
        <v>51</v>
      </c>
      <c r="Y11" t="s">
        <v>36</v>
      </c>
      <c r="Z11" t="s">
        <v>37</v>
      </c>
    </row>
    <row r="12" spans="1:26" x14ac:dyDescent="0.45">
      <c r="A12" t="s">
        <v>24</v>
      </c>
      <c r="B12">
        <v>15</v>
      </c>
      <c r="C12">
        <f t="shared" si="0"/>
        <v>0</v>
      </c>
      <c r="D12">
        <v>35</v>
      </c>
      <c r="E12" t="s">
        <v>25</v>
      </c>
      <c r="F12">
        <v>2</v>
      </c>
      <c r="G12">
        <v>4</v>
      </c>
      <c r="H12">
        <v>7</v>
      </c>
      <c r="I12">
        <v>5</v>
      </c>
      <c r="J12">
        <v>3</v>
      </c>
      <c r="K12">
        <v>1</v>
      </c>
      <c r="L12">
        <v>6</v>
      </c>
      <c r="M12" t="s">
        <v>25</v>
      </c>
      <c r="N12" t="s">
        <v>60</v>
      </c>
      <c r="O12" t="s">
        <v>63</v>
      </c>
      <c r="P12" t="s">
        <v>64</v>
      </c>
      <c r="Q12" t="s">
        <v>47</v>
      </c>
      <c r="R12" t="s">
        <v>30</v>
      </c>
      <c r="S12" t="s">
        <v>31</v>
      </c>
      <c r="T12" t="s">
        <v>32</v>
      </c>
      <c r="U12" t="s">
        <v>33</v>
      </c>
      <c r="V12" t="s">
        <v>27</v>
      </c>
      <c r="W12" t="s">
        <v>34</v>
      </c>
      <c r="X12" t="s">
        <v>51</v>
      </c>
      <c r="Y12" t="s">
        <v>59</v>
      </c>
      <c r="Z12" t="s">
        <v>45</v>
      </c>
    </row>
    <row r="13" spans="1:26" x14ac:dyDescent="0.45">
      <c r="A13" t="s">
        <v>46</v>
      </c>
      <c r="B13">
        <v>25</v>
      </c>
      <c r="C13">
        <f t="shared" si="0"/>
        <v>1</v>
      </c>
      <c r="D13">
        <v>29</v>
      </c>
      <c r="E13" t="s">
        <v>25</v>
      </c>
      <c r="F13">
        <v>2</v>
      </c>
      <c r="G13">
        <v>5</v>
      </c>
      <c r="H13">
        <v>7</v>
      </c>
      <c r="I13">
        <v>6</v>
      </c>
      <c r="J13">
        <v>3</v>
      </c>
      <c r="K13">
        <v>1</v>
      </c>
      <c r="L13">
        <v>4</v>
      </c>
      <c r="M13" t="s">
        <v>25</v>
      </c>
      <c r="N13" t="s">
        <v>60</v>
      </c>
      <c r="O13" t="s">
        <v>27</v>
      </c>
      <c r="P13" t="s">
        <v>28</v>
      </c>
      <c r="Q13" t="s">
        <v>29</v>
      </c>
      <c r="R13" t="s">
        <v>30</v>
      </c>
      <c r="S13" t="s">
        <v>31</v>
      </c>
      <c r="T13" t="s">
        <v>32</v>
      </c>
      <c r="U13" t="s">
        <v>33</v>
      </c>
      <c r="V13" t="s">
        <v>27</v>
      </c>
      <c r="W13" t="s">
        <v>56</v>
      </c>
      <c r="X13" t="s">
        <v>51</v>
      </c>
      <c r="Y13" t="s">
        <v>36</v>
      </c>
      <c r="Z13" t="s">
        <v>45</v>
      </c>
    </row>
    <row r="14" spans="1:26" x14ac:dyDescent="0.45">
      <c r="A14" t="s">
        <v>24</v>
      </c>
      <c r="B14">
        <v>15</v>
      </c>
      <c r="C14">
        <f t="shared" si="0"/>
        <v>0</v>
      </c>
      <c r="D14">
        <v>21</v>
      </c>
      <c r="E14" t="s">
        <v>38</v>
      </c>
      <c r="F14">
        <v>1</v>
      </c>
      <c r="G14">
        <v>2</v>
      </c>
      <c r="H14">
        <v>3</v>
      </c>
      <c r="I14">
        <v>4</v>
      </c>
      <c r="J14">
        <v>5</v>
      </c>
      <c r="K14">
        <v>6</v>
      </c>
      <c r="L14">
        <v>7</v>
      </c>
      <c r="M14" t="s">
        <v>38</v>
      </c>
      <c r="N14" t="s">
        <v>26</v>
      </c>
      <c r="O14" t="s">
        <v>27</v>
      </c>
      <c r="P14" t="s">
        <v>64</v>
      </c>
      <c r="Q14" t="s">
        <v>29</v>
      </c>
      <c r="R14" t="s">
        <v>41</v>
      </c>
      <c r="S14" t="s">
        <v>31</v>
      </c>
      <c r="T14" t="s">
        <v>32</v>
      </c>
      <c r="U14" t="s">
        <v>66</v>
      </c>
      <c r="V14" t="s">
        <v>43</v>
      </c>
      <c r="W14" t="s">
        <v>34</v>
      </c>
      <c r="X14" t="s">
        <v>35</v>
      </c>
      <c r="Y14" t="s">
        <v>59</v>
      </c>
      <c r="Z14" t="s">
        <v>58</v>
      </c>
    </row>
    <row r="15" spans="1:26" x14ac:dyDescent="0.45">
      <c r="A15" t="s">
        <v>24</v>
      </c>
      <c r="B15">
        <v>15</v>
      </c>
      <c r="C15">
        <f t="shared" si="0"/>
        <v>0</v>
      </c>
      <c r="D15">
        <v>28</v>
      </c>
      <c r="E15" t="s">
        <v>25</v>
      </c>
      <c r="F15">
        <v>2</v>
      </c>
      <c r="G15">
        <v>3</v>
      </c>
      <c r="H15">
        <v>7</v>
      </c>
      <c r="I15">
        <v>4</v>
      </c>
      <c r="J15">
        <v>5</v>
      </c>
      <c r="K15">
        <v>1</v>
      </c>
      <c r="L15">
        <v>6</v>
      </c>
      <c r="M15" t="s">
        <v>25</v>
      </c>
      <c r="N15" t="s">
        <v>26</v>
      </c>
      <c r="O15" t="s">
        <v>27</v>
      </c>
      <c r="P15" t="s">
        <v>28</v>
      </c>
      <c r="Q15" t="s">
        <v>29</v>
      </c>
      <c r="R15" t="s">
        <v>30</v>
      </c>
      <c r="S15" t="s">
        <v>31</v>
      </c>
      <c r="T15" t="s">
        <v>32</v>
      </c>
      <c r="U15" t="s">
        <v>33</v>
      </c>
      <c r="V15" t="s">
        <v>27</v>
      </c>
      <c r="W15" t="s">
        <v>56</v>
      </c>
      <c r="X15" t="s">
        <v>51</v>
      </c>
      <c r="Y15" t="s">
        <v>59</v>
      </c>
      <c r="Z15" t="s">
        <v>37</v>
      </c>
    </row>
    <row r="16" spans="1:26" x14ac:dyDescent="0.45">
      <c r="A16" t="s">
        <v>24</v>
      </c>
      <c r="B16">
        <v>15</v>
      </c>
      <c r="C16">
        <f t="shared" si="0"/>
        <v>0</v>
      </c>
      <c r="D16">
        <v>25</v>
      </c>
      <c r="E16" t="s">
        <v>25</v>
      </c>
      <c r="F16">
        <v>2</v>
      </c>
      <c r="G16">
        <v>3</v>
      </c>
      <c r="H16">
        <v>7</v>
      </c>
      <c r="I16">
        <v>5</v>
      </c>
      <c r="J16">
        <v>4</v>
      </c>
      <c r="K16">
        <v>1</v>
      </c>
      <c r="L16">
        <v>6</v>
      </c>
      <c r="M16" t="s">
        <v>25</v>
      </c>
      <c r="N16" t="s">
        <v>26</v>
      </c>
      <c r="O16" t="s">
        <v>27</v>
      </c>
      <c r="P16" t="s">
        <v>28</v>
      </c>
      <c r="Q16" t="s">
        <v>29</v>
      </c>
      <c r="R16" t="s">
        <v>30</v>
      </c>
      <c r="S16" t="s">
        <v>31</v>
      </c>
      <c r="T16" t="s">
        <v>65</v>
      </c>
      <c r="U16" t="s">
        <v>42</v>
      </c>
      <c r="V16" t="s">
        <v>43</v>
      </c>
      <c r="W16" t="s">
        <v>34</v>
      </c>
      <c r="X16" t="s">
        <v>51</v>
      </c>
      <c r="Y16" t="s">
        <v>59</v>
      </c>
      <c r="Z16" t="s">
        <v>45</v>
      </c>
    </row>
    <row r="17" spans="1:26" x14ac:dyDescent="0.45">
      <c r="A17" t="s">
        <v>46</v>
      </c>
      <c r="B17">
        <v>25</v>
      </c>
      <c r="C17">
        <f t="shared" si="0"/>
        <v>1</v>
      </c>
      <c r="D17">
        <v>27</v>
      </c>
      <c r="E17" t="s">
        <v>25</v>
      </c>
      <c r="F17">
        <v>2</v>
      </c>
      <c r="G17">
        <v>3</v>
      </c>
      <c r="H17">
        <v>7</v>
      </c>
      <c r="I17">
        <v>5</v>
      </c>
      <c r="J17">
        <v>4</v>
      </c>
      <c r="K17">
        <v>1</v>
      </c>
      <c r="L17">
        <v>6</v>
      </c>
      <c r="M17" t="s">
        <v>25</v>
      </c>
      <c r="N17" t="s">
        <v>26</v>
      </c>
      <c r="O17" t="s">
        <v>27</v>
      </c>
      <c r="P17" t="s">
        <v>28</v>
      </c>
      <c r="Q17" t="s">
        <v>29</v>
      </c>
      <c r="R17" t="s">
        <v>30</v>
      </c>
      <c r="S17" t="s">
        <v>31</v>
      </c>
      <c r="T17" t="s">
        <v>32</v>
      </c>
      <c r="U17" t="s">
        <v>42</v>
      </c>
      <c r="V17" t="s">
        <v>27</v>
      </c>
      <c r="W17" t="s">
        <v>56</v>
      </c>
      <c r="X17" t="s">
        <v>51</v>
      </c>
      <c r="Y17" t="s">
        <v>59</v>
      </c>
      <c r="Z17" t="s">
        <v>37</v>
      </c>
    </row>
    <row r="18" spans="1:26" x14ac:dyDescent="0.45">
      <c r="A18" t="s">
        <v>24</v>
      </c>
      <c r="B18">
        <v>15</v>
      </c>
      <c r="C18">
        <f t="shared" si="0"/>
        <v>0</v>
      </c>
      <c r="D18">
        <v>28</v>
      </c>
      <c r="E18" t="s">
        <v>25</v>
      </c>
      <c r="F18">
        <v>3</v>
      </c>
      <c r="G18">
        <v>2</v>
      </c>
      <c r="H18">
        <v>7</v>
      </c>
      <c r="I18">
        <v>5</v>
      </c>
      <c r="J18">
        <v>4</v>
      </c>
      <c r="K18">
        <v>1</v>
      </c>
      <c r="L18">
        <v>6</v>
      </c>
      <c r="M18" t="s">
        <v>25</v>
      </c>
      <c r="N18" t="s">
        <v>60</v>
      </c>
      <c r="O18" t="s">
        <v>63</v>
      </c>
      <c r="P18" t="s">
        <v>28</v>
      </c>
      <c r="Q18" t="s">
        <v>29</v>
      </c>
      <c r="R18" t="s">
        <v>30</v>
      </c>
      <c r="S18" t="s">
        <v>31</v>
      </c>
      <c r="T18" t="s">
        <v>65</v>
      </c>
      <c r="U18" t="s">
        <v>42</v>
      </c>
      <c r="V18" t="s">
        <v>27</v>
      </c>
      <c r="W18" t="s">
        <v>56</v>
      </c>
      <c r="X18" t="s">
        <v>51</v>
      </c>
      <c r="Y18" t="s">
        <v>59</v>
      </c>
      <c r="Z18" t="s">
        <v>52</v>
      </c>
    </row>
    <row r="19" spans="1:26" x14ac:dyDescent="0.45">
      <c r="A19" t="s">
        <v>46</v>
      </c>
      <c r="B19">
        <v>25</v>
      </c>
      <c r="C19">
        <f t="shared" si="0"/>
        <v>1</v>
      </c>
      <c r="D19">
        <v>27</v>
      </c>
      <c r="E19" t="s">
        <v>25</v>
      </c>
      <c r="F19">
        <v>3</v>
      </c>
      <c r="G19">
        <v>2</v>
      </c>
      <c r="H19">
        <v>7</v>
      </c>
      <c r="I19">
        <v>4</v>
      </c>
      <c r="J19">
        <v>5</v>
      </c>
      <c r="K19">
        <v>1</v>
      </c>
      <c r="L19">
        <v>6</v>
      </c>
      <c r="M19" t="s">
        <v>25</v>
      </c>
      <c r="N19" t="s">
        <v>26</v>
      </c>
      <c r="O19" t="s">
        <v>27</v>
      </c>
      <c r="P19" t="s">
        <v>28</v>
      </c>
      <c r="Q19" t="s">
        <v>29</v>
      </c>
      <c r="R19" t="s">
        <v>30</v>
      </c>
      <c r="S19" t="s">
        <v>31</v>
      </c>
      <c r="T19" t="s">
        <v>32</v>
      </c>
      <c r="U19" t="s">
        <v>33</v>
      </c>
      <c r="V19" t="s">
        <v>27</v>
      </c>
      <c r="W19" t="s">
        <v>34</v>
      </c>
      <c r="X19" t="s">
        <v>51</v>
      </c>
      <c r="Y19" t="s">
        <v>59</v>
      </c>
      <c r="Z19" t="s">
        <v>45</v>
      </c>
    </row>
    <row r="20" spans="1:26" x14ac:dyDescent="0.45">
      <c r="A20" t="s">
        <v>46</v>
      </c>
      <c r="B20">
        <v>25</v>
      </c>
      <c r="C20">
        <f t="shared" si="0"/>
        <v>1</v>
      </c>
      <c r="D20">
        <v>29</v>
      </c>
      <c r="E20" t="s">
        <v>25</v>
      </c>
      <c r="F20">
        <v>3</v>
      </c>
      <c r="G20">
        <v>2</v>
      </c>
      <c r="H20">
        <v>7</v>
      </c>
      <c r="I20">
        <v>4</v>
      </c>
      <c r="J20">
        <v>5</v>
      </c>
      <c r="K20">
        <v>1</v>
      </c>
      <c r="L20">
        <v>6</v>
      </c>
      <c r="M20" t="s">
        <v>25</v>
      </c>
      <c r="N20" t="s">
        <v>60</v>
      </c>
      <c r="O20" t="s">
        <v>27</v>
      </c>
      <c r="P20" t="s">
        <v>28</v>
      </c>
      <c r="Q20" t="s">
        <v>29</v>
      </c>
      <c r="R20" t="s">
        <v>30</v>
      </c>
      <c r="S20" t="s">
        <v>31</v>
      </c>
      <c r="T20" t="s">
        <v>32</v>
      </c>
      <c r="U20" t="s">
        <v>33</v>
      </c>
      <c r="V20" t="s">
        <v>27</v>
      </c>
      <c r="W20" t="s">
        <v>34</v>
      </c>
      <c r="X20" t="s">
        <v>51</v>
      </c>
      <c r="Y20" t="s">
        <v>59</v>
      </c>
      <c r="Z20" t="s">
        <v>37</v>
      </c>
    </row>
    <row r="21" spans="1:26" x14ac:dyDescent="0.45">
      <c r="A21" t="s">
        <v>46</v>
      </c>
      <c r="B21">
        <v>25</v>
      </c>
      <c r="C21">
        <f t="shared" si="0"/>
        <v>1</v>
      </c>
      <c r="D21">
        <v>26</v>
      </c>
      <c r="E21" t="s">
        <v>25</v>
      </c>
      <c r="F21">
        <v>3</v>
      </c>
      <c r="G21">
        <v>4</v>
      </c>
      <c r="H21">
        <v>6</v>
      </c>
      <c r="I21">
        <v>5</v>
      </c>
      <c r="J21">
        <v>1</v>
      </c>
      <c r="K21">
        <v>2</v>
      </c>
      <c r="L21">
        <v>7</v>
      </c>
      <c r="M21" t="s">
        <v>25</v>
      </c>
      <c r="N21" t="s">
        <v>60</v>
      </c>
      <c r="O21" t="s">
        <v>27</v>
      </c>
      <c r="P21" t="s">
        <v>28</v>
      </c>
      <c r="Q21" t="s">
        <v>47</v>
      </c>
      <c r="R21" t="s">
        <v>30</v>
      </c>
      <c r="S21" t="s">
        <v>31</v>
      </c>
      <c r="T21" t="s">
        <v>65</v>
      </c>
      <c r="U21" t="s">
        <v>42</v>
      </c>
      <c r="V21" t="s">
        <v>27</v>
      </c>
      <c r="W21" t="s">
        <v>56</v>
      </c>
      <c r="X21" t="s">
        <v>51</v>
      </c>
      <c r="Y21" t="s">
        <v>59</v>
      </c>
      <c r="Z21" t="s">
        <v>37</v>
      </c>
    </row>
    <row r="22" spans="1:26" x14ac:dyDescent="0.45">
      <c r="A22" t="s">
        <v>46</v>
      </c>
      <c r="B22">
        <v>25</v>
      </c>
      <c r="C22">
        <f t="shared" si="0"/>
        <v>1</v>
      </c>
      <c r="D22">
        <v>29</v>
      </c>
      <c r="E22" t="s">
        <v>25</v>
      </c>
      <c r="F22">
        <v>2</v>
      </c>
      <c r="G22">
        <v>4</v>
      </c>
      <c r="H22">
        <v>7</v>
      </c>
      <c r="I22">
        <v>5</v>
      </c>
      <c r="J22">
        <v>3</v>
      </c>
      <c r="K22">
        <v>1</v>
      </c>
      <c r="L22">
        <v>6</v>
      </c>
      <c r="M22" t="s">
        <v>25</v>
      </c>
      <c r="N22" t="s">
        <v>26</v>
      </c>
      <c r="O22" t="s">
        <v>63</v>
      </c>
      <c r="P22" t="s">
        <v>28</v>
      </c>
      <c r="Q22" t="s">
        <v>47</v>
      </c>
      <c r="R22" t="s">
        <v>41</v>
      </c>
      <c r="S22" t="s">
        <v>31</v>
      </c>
      <c r="T22" t="s">
        <v>32</v>
      </c>
      <c r="U22" t="s">
        <v>33</v>
      </c>
      <c r="V22" t="s">
        <v>27</v>
      </c>
      <c r="W22" t="s">
        <v>34</v>
      </c>
      <c r="X22" t="s">
        <v>51</v>
      </c>
      <c r="Y22" t="s">
        <v>36</v>
      </c>
      <c r="Z22" t="s">
        <v>45</v>
      </c>
    </row>
    <row r="23" spans="1:26" x14ac:dyDescent="0.45">
      <c r="A23" t="s">
        <v>24</v>
      </c>
      <c r="B23">
        <v>15</v>
      </c>
      <c r="C23">
        <f t="shared" si="0"/>
        <v>0</v>
      </c>
      <c r="D23">
        <v>24</v>
      </c>
      <c r="E23" t="s">
        <v>25</v>
      </c>
      <c r="F23">
        <v>2</v>
      </c>
      <c r="G23">
        <v>4</v>
      </c>
      <c r="H23">
        <v>5</v>
      </c>
      <c r="I23">
        <v>6</v>
      </c>
      <c r="J23">
        <v>3</v>
      </c>
      <c r="K23">
        <v>1</v>
      </c>
      <c r="L23">
        <v>7</v>
      </c>
      <c r="M23" t="s">
        <v>25</v>
      </c>
      <c r="N23" t="s">
        <v>60</v>
      </c>
      <c r="O23" t="s">
        <v>27</v>
      </c>
      <c r="P23" t="s">
        <v>28</v>
      </c>
      <c r="Q23" t="s">
        <v>47</v>
      </c>
      <c r="R23" t="s">
        <v>30</v>
      </c>
      <c r="S23" t="s">
        <v>31</v>
      </c>
      <c r="T23" t="s">
        <v>49</v>
      </c>
      <c r="U23" t="s">
        <v>42</v>
      </c>
      <c r="V23" t="s">
        <v>27</v>
      </c>
      <c r="W23" t="s">
        <v>34</v>
      </c>
      <c r="X23" t="s">
        <v>51</v>
      </c>
      <c r="Y23" t="s">
        <v>59</v>
      </c>
      <c r="Z23" t="s">
        <v>37</v>
      </c>
    </row>
    <row r="24" spans="1:26" x14ac:dyDescent="0.45">
      <c r="A24" t="s">
        <v>46</v>
      </c>
      <c r="B24">
        <v>25</v>
      </c>
      <c r="C24">
        <f t="shared" si="0"/>
        <v>1</v>
      </c>
      <c r="D24">
        <v>27</v>
      </c>
      <c r="E24" t="s">
        <v>25</v>
      </c>
      <c r="F24">
        <v>3</v>
      </c>
      <c r="G24">
        <v>4</v>
      </c>
      <c r="H24">
        <v>6</v>
      </c>
      <c r="I24">
        <v>5</v>
      </c>
      <c r="J24">
        <v>2</v>
      </c>
      <c r="K24">
        <v>1</v>
      </c>
      <c r="L24">
        <v>7</v>
      </c>
      <c r="M24" t="s">
        <v>25</v>
      </c>
      <c r="N24" t="s">
        <v>26</v>
      </c>
      <c r="O24" t="s">
        <v>27</v>
      </c>
      <c r="P24" t="s">
        <v>28</v>
      </c>
      <c r="Q24" t="s">
        <v>47</v>
      </c>
      <c r="R24" t="s">
        <v>30</v>
      </c>
      <c r="S24" t="s">
        <v>31</v>
      </c>
      <c r="T24" t="s">
        <v>32</v>
      </c>
      <c r="U24" t="s">
        <v>33</v>
      </c>
      <c r="V24" t="s">
        <v>27</v>
      </c>
      <c r="W24" t="s">
        <v>34</v>
      </c>
      <c r="X24" t="s">
        <v>51</v>
      </c>
      <c r="Y24" t="s">
        <v>59</v>
      </c>
      <c r="Z24" t="s">
        <v>45</v>
      </c>
    </row>
    <row r="25" spans="1:26" x14ac:dyDescent="0.45">
      <c r="A25" t="s">
        <v>46</v>
      </c>
      <c r="B25">
        <v>25</v>
      </c>
      <c r="C25">
        <f t="shared" si="0"/>
        <v>1</v>
      </c>
      <c r="D25">
        <v>25</v>
      </c>
      <c r="E25" t="s">
        <v>25</v>
      </c>
      <c r="F25">
        <v>2</v>
      </c>
      <c r="G25">
        <v>4</v>
      </c>
      <c r="H25">
        <v>6</v>
      </c>
      <c r="I25">
        <v>5</v>
      </c>
      <c r="J25">
        <v>3</v>
      </c>
      <c r="K25">
        <v>1</v>
      </c>
      <c r="L25">
        <v>7</v>
      </c>
      <c r="M25" t="s">
        <v>25</v>
      </c>
      <c r="N25" t="s">
        <v>60</v>
      </c>
      <c r="O25" t="s">
        <v>63</v>
      </c>
      <c r="P25" t="s">
        <v>64</v>
      </c>
      <c r="Q25" t="s">
        <v>47</v>
      </c>
      <c r="R25" t="s">
        <v>41</v>
      </c>
      <c r="S25" t="s">
        <v>31</v>
      </c>
      <c r="T25" t="s">
        <v>67</v>
      </c>
      <c r="U25" t="s">
        <v>42</v>
      </c>
      <c r="V25" t="s">
        <v>62</v>
      </c>
      <c r="W25" t="s">
        <v>34</v>
      </c>
      <c r="X25" t="s">
        <v>51</v>
      </c>
      <c r="Y25" t="s">
        <v>59</v>
      </c>
      <c r="Z25" t="s">
        <v>45</v>
      </c>
    </row>
    <row r="26" spans="1:26" x14ac:dyDescent="0.45">
      <c r="A26" t="s">
        <v>24</v>
      </c>
      <c r="B26">
        <v>15</v>
      </c>
      <c r="C26">
        <f t="shared" si="0"/>
        <v>0</v>
      </c>
      <c r="D26">
        <v>26</v>
      </c>
      <c r="E26" t="s">
        <v>25</v>
      </c>
      <c r="F26">
        <v>2</v>
      </c>
      <c r="G26">
        <v>3</v>
      </c>
      <c r="H26">
        <v>7</v>
      </c>
      <c r="I26">
        <v>5</v>
      </c>
      <c r="J26">
        <v>4</v>
      </c>
      <c r="K26">
        <v>1</v>
      </c>
      <c r="L26">
        <v>6</v>
      </c>
      <c r="M26" t="s">
        <v>25</v>
      </c>
      <c r="N26" t="s">
        <v>26</v>
      </c>
      <c r="O26" t="s">
        <v>27</v>
      </c>
      <c r="P26" t="s">
        <v>28</v>
      </c>
      <c r="Q26" t="s">
        <v>47</v>
      </c>
      <c r="R26" t="s">
        <v>30</v>
      </c>
      <c r="S26" t="s">
        <v>61</v>
      </c>
      <c r="T26" t="s">
        <v>67</v>
      </c>
      <c r="U26" t="s">
        <v>33</v>
      </c>
      <c r="V26" t="s">
        <v>27</v>
      </c>
      <c r="W26" t="s">
        <v>34</v>
      </c>
      <c r="X26" t="s">
        <v>51</v>
      </c>
      <c r="Y26" t="s">
        <v>59</v>
      </c>
      <c r="Z26" t="s">
        <v>37</v>
      </c>
    </row>
    <row r="27" spans="1:26" x14ac:dyDescent="0.45">
      <c r="A27" t="s">
        <v>24</v>
      </c>
      <c r="B27">
        <v>15</v>
      </c>
      <c r="C27">
        <f t="shared" si="0"/>
        <v>0</v>
      </c>
      <c r="D27">
        <v>32</v>
      </c>
      <c r="E27" t="s">
        <v>25</v>
      </c>
      <c r="F27">
        <v>3</v>
      </c>
      <c r="G27">
        <v>4</v>
      </c>
      <c r="H27">
        <v>7</v>
      </c>
      <c r="I27">
        <v>5</v>
      </c>
      <c r="J27">
        <v>1</v>
      </c>
      <c r="K27">
        <v>2</v>
      </c>
      <c r="L27">
        <v>6</v>
      </c>
      <c r="M27" t="s">
        <v>25</v>
      </c>
      <c r="N27" t="s">
        <v>60</v>
      </c>
      <c r="O27" t="s">
        <v>63</v>
      </c>
      <c r="P27" t="s">
        <v>28</v>
      </c>
      <c r="Q27" t="s">
        <v>47</v>
      </c>
      <c r="R27" t="s">
        <v>30</v>
      </c>
      <c r="S27" t="s">
        <v>31</v>
      </c>
      <c r="T27" t="s">
        <v>32</v>
      </c>
      <c r="U27" t="s">
        <v>33</v>
      </c>
      <c r="V27" t="s">
        <v>27</v>
      </c>
      <c r="W27" t="s">
        <v>34</v>
      </c>
      <c r="X27" t="s">
        <v>51</v>
      </c>
      <c r="Y27" t="s">
        <v>36</v>
      </c>
      <c r="Z27" t="s">
        <v>45</v>
      </c>
    </row>
    <row r="28" spans="1:26" x14ac:dyDescent="0.45">
      <c r="A28" t="s">
        <v>46</v>
      </c>
      <c r="B28">
        <v>25</v>
      </c>
      <c r="C28">
        <f t="shared" si="0"/>
        <v>1</v>
      </c>
      <c r="D28">
        <v>26</v>
      </c>
      <c r="E28" t="s">
        <v>25</v>
      </c>
      <c r="F28">
        <v>3</v>
      </c>
      <c r="G28">
        <v>4</v>
      </c>
      <c r="H28">
        <v>6</v>
      </c>
      <c r="I28">
        <v>5</v>
      </c>
      <c r="J28">
        <v>1</v>
      </c>
      <c r="K28">
        <v>2</v>
      </c>
      <c r="L28">
        <v>7</v>
      </c>
      <c r="M28" t="s">
        <v>25</v>
      </c>
      <c r="N28" t="s">
        <v>26</v>
      </c>
      <c r="O28" t="s">
        <v>27</v>
      </c>
      <c r="P28" t="s">
        <v>28</v>
      </c>
      <c r="Q28" t="s">
        <v>47</v>
      </c>
      <c r="R28" t="s">
        <v>30</v>
      </c>
      <c r="S28" t="s">
        <v>31</v>
      </c>
      <c r="T28" t="s">
        <v>32</v>
      </c>
      <c r="U28" t="s">
        <v>33</v>
      </c>
      <c r="V28" t="s">
        <v>43</v>
      </c>
      <c r="W28" t="s">
        <v>56</v>
      </c>
      <c r="X28" t="s">
        <v>51</v>
      </c>
      <c r="Y28" t="s">
        <v>36</v>
      </c>
      <c r="Z28" t="s">
        <v>45</v>
      </c>
    </row>
    <row r="29" spans="1:26" x14ac:dyDescent="0.45">
      <c r="A29" t="s">
        <v>46</v>
      </c>
      <c r="B29">
        <v>25</v>
      </c>
      <c r="C29">
        <f t="shared" si="0"/>
        <v>1</v>
      </c>
      <c r="D29">
        <v>31</v>
      </c>
      <c r="E29" t="s">
        <v>25</v>
      </c>
      <c r="F29">
        <v>2</v>
      </c>
      <c r="G29">
        <v>3</v>
      </c>
      <c r="H29">
        <v>7</v>
      </c>
      <c r="I29">
        <v>6</v>
      </c>
      <c r="J29">
        <v>4</v>
      </c>
      <c r="K29">
        <v>1</v>
      </c>
      <c r="L29">
        <v>5</v>
      </c>
      <c r="M29" t="s">
        <v>25</v>
      </c>
      <c r="N29" t="s">
        <v>60</v>
      </c>
      <c r="O29" t="s">
        <v>63</v>
      </c>
      <c r="P29" t="s">
        <v>64</v>
      </c>
      <c r="Q29" t="s">
        <v>29</v>
      </c>
      <c r="R29" t="s">
        <v>30</v>
      </c>
      <c r="S29" t="s">
        <v>31</v>
      </c>
      <c r="T29" t="s">
        <v>65</v>
      </c>
      <c r="U29" t="s">
        <v>42</v>
      </c>
      <c r="V29" t="s">
        <v>27</v>
      </c>
      <c r="W29" t="s">
        <v>56</v>
      </c>
      <c r="X29" t="s">
        <v>35</v>
      </c>
      <c r="Y29" t="s">
        <v>36</v>
      </c>
      <c r="Z29" t="s">
        <v>52</v>
      </c>
    </row>
    <row r="30" spans="1:26" x14ac:dyDescent="0.45">
      <c r="A30" t="s">
        <v>46</v>
      </c>
      <c r="B30">
        <v>25</v>
      </c>
      <c r="C30">
        <f t="shared" si="0"/>
        <v>1</v>
      </c>
      <c r="D30">
        <v>29</v>
      </c>
      <c r="E30" t="s">
        <v>25</v>
      </c>
      <c r="F30">
        <v>2</v>
      </c>
      <c r="G30">
        <v>3</v>
      </c>
      <c r="H30">
        <v>6</v>
      </c>
      <c r="I30">
        <v>5</v>
      </c>
      <c r="J30">
        <v>1</v>
      </c>
      <c r="K30">
        <v>4</v>
      </c>
      <c r="L30">
        <v>7</v>
      </c>
      <c r="M30" t="s">
        <v>25</v>
      </c>
      <c r="N30" t="s">
        <v>26</v>
      </c>
      <c r="O30" t="s">
        <v>27</v>
      </c>
      <c r="P30" t="s">
        <v>28</v>
      </c>
      <c r="Q30" t="s">
        <v>29</v>
      </c>
      <c r="R30" t="s">
        <v>30</v>
      </c>
      <c r="S30" t="s">
        <v>31</v>
      </c>
      <c r="T30" t="s">
        <v>49</v>
      </c>
      <c r="U30" t="s">
        <v>33</v>
      </c>
      <c r="V30" t="s">
        <v>27</v>
      </c>
      <c r="W30" t="s">
        <v>34</v>
      </c>
      <c r="X30" t="s">
        <v>51</v>
      </c>
      <c r="Y30" t="s">
        <v>59</v>
      </c>
      <c r="Z30" t="s">
        <v>52</v>
      </c>
    </row>
    <row r="31" spans="1:26" x14ac:dyDescent="0.45">
      <c r="A31" t="s">
        <v>24</v>
      </c>
      <c r="B31">
        <v>15</v>
      </c>
      <c r="C31">
        <f t="shared" si="0"/>
        <v>0</v>
      </c>
      <c r="D31">
        <v>34</v>
      </c>
      <c r="E31" t="s">
        <v>25</v>
      </c>
      <c r="F31">
        <v>5</v>
      </c>
      <c r="G31">
        <v>4</v>
      </c>
      <c r="H31">
        <v>3</v>
      </c>
      <c r="I31">
        <v>2</v>
      </c>
      <c r="J31">
        <v>7</v>
      </c>
      <c r="K31">
        <v>1</v>
      </c>
      <c r="L31">
        <v>6</v>
      </c>
      <c r="M31" t="s">
        <v>25</v>
      </c>
      <c r="N31" t="s">
        <v>26</v>
      </c>
      <c r="O31" t="s">
        <v>53</v>
      </c>
      <c r="P31" t="s">
        <v>26</v>
      </c>
      <c r="Q31" t="s">
        <v>47</v>
      </c>
      <c r="R31" t="s">
        <v>30</v>
      </c>
      <c r="S31" t="s">
        <v>55</v>
      </c>
      <c r="T31" t="s">
        <v>32</v>
      </c>
      <c r="U31" t="s">
        <v>33</v>
      </c>
      <c r="V31" t="s">
        <v>27</v>
      </c>
      <c r="W31" t="s">
        <v>50</v>
      </c>
      <c r="X31" t="s">
        <v>35</v>
      </c>
      <c r="Y31" t="s">
        <v>36</v>
      </c>
      <c r="Z31" t="s">
        <v>37</v>
      </c>
    </row>
    <row r="32" spans="1:26" x14ac:dyDescent="0.45">
      <c r="A32" t="s">
        <v>46</v>
      </c>
      <c r="B32">
        <v>25</v>
      </c>
      <c r="C32">
        <f t="shared" si="0"/>
        <v>1</v>
      </c>
      <c r="D32">
        <v>27</v>
      </c>
      <c r="E32" t="s">
        <v>25</v>
      </c>
      <c r="F32">
        <v>4</v>
      </c>
      <c r="G32">
        <v>5</v>
      </c>
      <c r="H32">
        <v>1</v>
      </c>
      <c r="I32">
        <v>2</v>
      </c>
      <c r="J32">
        <v>7</v>
      </c>
      <c r="K32">
        <v>3</v>
      </c>
      <c r="L32">
        <v>6</v>
      </c>
      <c r="M32" t="s">
        <v>38</v>
      </c>
      <c r="N32" t="s">
        <v>26</v>
      </c>
      <c r="O32" t="s">
        <v>63</v>
      </c>
      <c r="P32" t="s">
        <v>28</v>
      </c>
      <c r="Q32" t="s">
        <v>29</v>
      </c>
      <c r="R32" t="s">
        <v>30</v>
      </c>
      <c r="S32" t="s">
        <v>55</v>
      </c>
      <c r="T32" t="s">
        <v>32</v>
      </c>
      <c r="U32" t="s">
        <v>66</v>
      </c>
      <c r="V32" t="s">
        <v>27</v>
      </c>
      <c r="W32" t="s">
        <v>50</v>
      </c>
      <c r="X32" t="s">
        <v>35</v>
      </c>
      <c r="Y32" t="s">
        <v>36</v>
      </c>
      <c r="Z32" t="s">
        <v>52</v>
      </c>
    </row>
    <row r="33" spans="1:26" x14ac:dyDescent="0.45">
      <c r="A33" t="s">
        <v>24</v>
      </c>
      <c r="B33">
        <v>15</v>
      </c>
      <c r="C33">
        <f t="shared" si="0"/>
        <v>0</v>
      </c>
      <c r="D33">
        <v>31</v>
      </c>
      <c r="E33" t="s">
        <v>25</v>
      </c>
      <c r="F33">
        <v>2</v>
      </c>
      <c r="G33">
        <v>4</v>
      </c>
      <c r="H33">
        <v>7</v>
      </c>
      <c r="I33">
        <v>6</v>
      </c>
      <c r="J33">
        <v>3</v>
      </c>
      <c r="K33">
        <v>1</v>
      </c>
      <c r="L33">
        <v>5</v>
      </c>
      <c r="M33" t="s">
        <v>25</v>
      </c>
      <c r="N33" t="s">
        <v>26</v>
      </c>
      <c r="O33" t="s">
        <v>27</v>
      </c>
      <c r="P33" t="s">
        <v>28</v>
      </c>
      <c r="Q33" t="s">
        <v>47</v>
      </c>
      <c r="R33" t="s">
        <v>30</v>
      </c>
      <c r="S33" t="s">
        <v>31</v>
      </c>
      <c r="T33" t="s">
        <v>65</v>
      </c>
      <c r="U33" t="s">
        <v>33</v>
      </c>
      <c r="V33" t="s">
        <v>27</v>
      </c>
      <c r="W33" t="s">
        <v>34</v>
      </c>
      <c r="X33" t="s">
        <v>51</v>
      </c>
      <c r="Y33" t="s">
        <v>36</v>
      </c>
      <c r="Z33" t="s">
        <v>45</v>
      </c>
    </row>
    <row r="34" spans="1:26" x14ac:dyDescent="0.45">
      <c r="A34" t="s">
        <v>46</v>
      </c>
      <c r="B34">
        <v>25</v>
      </c>
      <c r="C34">
        <f t="shared" si="0"/>
        <v>1</v>
      </c>
      <c r="D34">
        <v>27</v>
      </c>
      <c r="E34" t="s">
        <v>25</v>
      </c>
      <c r="F34">
        <v>2</v>
      </c>
      <c r="G34">
        <v>4</v>
      </c>
      <c r="H34">
        <v>7</v>
      </c>
      <c r="I34">
        <v>5</v>
      </c>
      <c r="J34">
        <v>1</v>
      </c>
      <c r="K34">
        <v>3</v>
      </c>
      <c r="L34">
        <v>6</v>
      </c>
      <c r="M34" t="s">
        <v>25</v>
      </c>
      <c r="N34" t="s">
        <v>26</v>
      </c>
      <c r="O34" t="s">
        <v>27</v>
      </c>
      <c r="P34" t="s">
        <v>28</v>
      </c>
      <c r="Q34" t="s">
        <v>47</v>
      </c>
      <c r="R34" t="s">
        <v>30</v>
      </c>
      <c r="S34" t="s">
        <v>61</v>
      </c>
      <c r="T34" t="s">
        <v>49</v>
      </c>
      <c r="U34" t="s">
        <v>42</v>
      </c>
      <c r="V34" t="s">
        <v>27</v>
      </c>
      <c r="W34" t="s">
        <v>56</v>
      </c>
      <c r="X34" t="s">
        <v>51</v>
      </c>
      <c r="Y34" t="s">
        <v>36</v>
      </c>
      <c r="Z34" t="s">
        <v>37</v>
      </c>
    </row>
    <row r="35" spans="1:26" x14ac:dyDescent="0.45">
      <c r="A35" t="s">
        <v>46</v>
      </c>
      <c r="B35">
        <v>25</v>
      </c>
      <c r="C35">
        <f t="shared" si="0"/>
        <v>1</v>
      </c>
      <c r="D35">
        <v>26</v>
      </c>
      <c r="E35" t="s">
        <v>25</v>
      </c>
      <c r="F35">
        <v>2</v>
      </c>
      <c r="G35">
        <v>3</v>
      </c>
      <c r="H35">
        <v>6</v>
      </c>
      <c r="I35">
        <v>4</v>
      </c>
      <c r="J35">
        <v>1</v>
      </c>
      <c r="K35">
        <v>5</v>
      </c>
      <c r="L35">
        <v>7</v>
      </c>
      <c r="M35" t="s">
        <v>25</v>
      </c>
      <c r="N35" t="s">
        <v>26</v>
      </c>
      <c r="O35" t="s">
        <v>27</v>
      </c>
      <c r="P35" t="s">
        <v>26</v>
      </c>
      <c r="Q35" t="s">
        <v>29</v>
      </c>
      <c r="R35" t="s">
        <v>30</v>
      </c>
      <c r="S35" t="s">
        <v>31</v>
      </c>
      <c r="T35" t="s">
        <v>65</v>
      </c>
      <c r="U35" t="s">
        <v>66</v>
      </c>
      <c r="V35" t="s">
        <v>43</v>
      </c>
      <c r="W35" t="s">
        <v>34</v>
      </c>
      <c r="X35" t="s">
        <v>35</v>
      </c>
      <c r="Y35" t="s">
        <v>59</v>
      </c>
      <c r="Z35" t="s">
        <v>37</v>
      </c>
    </row>
    <row r="36" spans="1:26" x14ac:dyDescent="0.45">
      <c r="A36" t="s">
        <v>46</v>
      </c>
      <c r="B36">
        <v>25</v>
      </c>
      <c r="C36">
        <f t="shared" si="0"/>
        <v>1</v>
      </c>
      <c r="D36">
        <v>27</v>
      </c>
      <c r="E36" t="s">
        <v>25</v>
      </c>
      <c r="F36">
        <v>2</v>
      </c>
      <c r="G36">
        <v>3</v>
      </c>
      <c r="H36">
        <v>6</v>
      </c>
      <c r="I36">
        <v>5</v>
      </c>
      <c r="J36">
        <v>4</v>
      </c>
      <c r="K36">
        <v>1</v>
      </c>
      <c r="L36">
        <v>7</v>
      </c>
      <c r="M36" t="s">
        <v>25</v>
      </c>
      <c r="N36" t="s">
        <v>26</v>
      </c>
      <c r="O36" t="s">
        <v>27</v>
      </c>
      <c r="P36" t="s">
        <v>28</v>
      </c>
      <c r="Q36" t="s">
        <v>29</v>
      </c>
      <c r="R36" t="s">
        <v>41</v>
      </c>
      <c r="S36" t="s">
        <v>31</v>
      </c>
      <c r="T36" t="s">
        <v>32</v>
      </c>
      <c r="U36" t="s">
        <v>42</v>
      </c>
      <c r="V36" t="s">
        <v>27</v>
      </c>
      <c r="W36" t="s">
        <v>34</v>
      </c>
      <c r="X36" t="s">
        <v>35</v>
      </c>
      <c r="Y36" t="s">
        <v>36</v>
      </c>
      <c r="Z36" t="s">
        <v>45</v>
      </c>
    </row>
    <row r="37" spans="1:26" x14ac:dyDescent="0.45">
      <c r="A37" t="s">
        <v>46</v>
      </c>
      <c r="B37">
        <v>25</v>
      </c>
      <c r="C37">
        <f t="shared" si="0"/>
        <v>1</v>
      </c>
      <c r="D37">
        <v>30</v>
      </c>
      <c r="E37" t="s">
        <v>25</v>
      </c>
      <c r="F37">
        <v>1</v>
      </c>
      <c r="G37">
        <v>4</v>
      </c>
      <c r="H37">
        <v>6</v>
      </c>
      <c r="I37">
        <v>5</v>
      </c>
      <c r="J37">
        <v>3</v>
      </c>
      <c r="K37">
        <v>2</v>
      </c>
      <c r="L37">
        <v>7</v>
      </c>
      <c r="M37" t="s">
        <v>25</v>
      </c>
      <c r="N37" t="s">
        <v>60</v>
      </c>
      <c r="O37" t="s">
        <v>63</v>
      </c>
      <c r="P37" t="s">
        <v>28</v>
      </c>
      <c r="Q37" t="s">
        <v>47</v>
      </c>
      <c r="R37" t="s">
        <v>30</v>
      </c>
      <c r="S37" t="s">
        <v>31</v>
      </c>
      <c r="T37" t="s">
        <v>65</v>
      </c>
      <c r="U37" t="s">
        <v>42</v>
      </c>
      <c r="V37" t="s">
        <v>27</v>
      </c>
      <c r="W37" t="s">
        <v>34</v>
      </c>
      <c r="X37" t="s">
        <v>51</v>
      </c>
      <c r="Y37" t="s">
        <v>36</v>
      </c>
      <c r="Z37" t="s">
        <v>45</v>
      </c>
    </row>
    <row r="38" spans="1:26" x14ac:dyDescent="0.45">
      <c r="A38" t="s">
        <v>46</v>
      </c>
      <c r="B38">
        <v>25</v>
      </c>
      <c r="C38">
        <f t="shared" si="0"/>
        <v>1</v>
      </c>
      <c r="D38">
        <v>30</v>
      </c>
      <c r="E38" t="s">
        <v>25</v>
      </c>
      <c r="F38">
        <v>2</v>
      </c>
      <c r="G38">
        <v>4</v>
      </c>
      <c r="H38">
        <v>7</v>
      </c>
      <c r="I38">
        <v>5</v>
      </c>
      <c r="J38">
        <v>1</v>
      </c>
      <c r="K38">
        <v>3</v>
      </c>
      <c r="L38">
        <v>6</v>
      </c>
      <c r="M38" t="s">
        <v>25</v>
      </c>
      <c r="N38" t="s">
        <v>26</v>
      </c>
      <c r="O38" t="s">
        <v>27</v>
      </c>
      <c r="P38" t="s">
        <v>28</v>
      </c>
      <c r="Q38" t="s">
        <v>29</v>
      </c>
      <c r="R38" t="s">
        <v>30</v>
      </c>
      <c r="S38" t="s">
        <v>31</v>
      </c>
      <c r="T38" t="s">
        <v>49</v>
      </c>
      <c r="U38" t="s">
        <v>33</v>
      </c>
      <c r="V38" t="s">
        <v>27</v>
      </c>
      <c r="W38" t="s">
        <v>34</v>
      </c>
      <c r="X38" t="s">
        <v>51</v>
      </c>
      <c r="Y38" t="s">
        <v>59</v>
      </c>
      <c r="Z38" t="s">
        <v>37</v>
      </c>
    </row>
    <row r="39" spans="1:26" x14ac:dyDescent="0.45">
      <c r="A39" t="s">
        <v>46</v>
      </c>
      <c r="B39">
        <v>25</v>
      </c>
      <c r="C39">
        <f t="shared" si="0"/>
        <v>1</v>
      </c>
      <c r="D39">
        <v>25</v>
      </c>
      <c r="E39" t="s">
        <v>25</v>
      </c>
      <c r="F39">
        <v>5</v>
      </c>
      <c r="G39">
        <v>4</v>
      </c>
      <c r="H39">
        <v>7</v>
      </c>
      <c r="I39">
        <v>6</v>
      </c>
      <c r="J39">
        <v>1</v>
      </c>
      <c r="K39">
        <v>2</v>
      </c>
      <c r="L39">
        <v>3</v>
      </c>
      <c r="M39" t="s">
        <v>25</v>
      </c>
      <c r="N39" t="s">
        <v>60</v>
      </c>
      <c r="O39" t="s">
        <v>63</v>
      </c>
      <c r="P39" t="s">
        <v>64</v>
      </c>
      <c r="Q39" t="s">
        <v>47</v>
      </c>
      <c r="R39" t="s">
        <v>30</v>
      </c>
      <c r="S39" t="s">
        <v>61</v>
      </c>
      <c r="T39" t="s">
        <v>67</v>
      </c>
      <c r="U39" t="s">
        <v>42</v>
      </c>
      <c r="V39" t="s">
        <v>27</v>
      </c>
      <c r="W39" t="s">
        <v>34</v>
      </c>
      <c r="X39" t="s">
        <v>35</v>
      </c>
      <c r="Y39" t="s">
        <v>36</v>
      </c>
      <c r="Z39" t="s">
        <v>45</v>
      </c>
    </row>
    <row r="40" spans="1:26" x14ac:dyDescent="0.45">
      <c r="A40" t="s">
        <v>46</v>
      </c>
      <c r="B40">
        <v>25</v>
      </c>
      <c r="C40">
        <f t="shared" si="0"/>
        <v>1</v>
      </c>
      <c r="D40">
        <v>31</v>
      </c>
      <c r="E40" t="s">
        <v>25</v>
      </c>
      <c r="F40">
        <v>2</v>
      </c>
      <c r="G40">
        <v>4</v>
      </c>
      <c r="H40">
        <v>7</v>
      </c>
      <c r="I40">
        <v>5</v>
      </c>
      <c r="J40">
        <v>3</v>
      </c>
      <c r="K40">
        <v>1</v>
      </c>
      <c r="L40">
        <v>6</v>
      </c>
      <c r="M40" t="s">
        <v>25</v>
      </c>
      <c r="N40" t="s">
        <v>60</v>
      </c>
      <c r="O40" t="s">
        <v>63</v>
      </c>
      <c r="P40" t="s">
        <v>28</v>
      </c>
      <c r="Q40" t="s">
        <v>29</v>
      </c>
      <c r="R40" t="s">
        <v>41</v>
      </c>
      <c r="S40" t="s">
        <v>31</v>
      </c>
      <c r="T40" t="s">
        <v>49</v>
      </c>
      <c r="U40" t="s">
        <v>42</v>
      </c>
      <c r="V40" t="s">
        <v>43</v>
      </c>
      <c r="W40" t="s">
        <v>56</v>
      </c>
      <c r="X40" t="s">
        <v>51</v>
      </c>
      <c r="Y40" t="s">
        <v>36</v>
      </c>
      <c r="Z40" t="s">
        <v>37</v>
      </c>
    </row>
    <row r="41" spans="1:26" x14ac:dyDescent="0.45">
      <c r="A41" t="s">
        <v>46</v>
      </c>
      <c r="B41">
        <v>25</v>
      </c>
      <c r="C41">
        <f t="shared" si="0"/>
        <v>1</v>
      </c>
      <c r="D41">
        <v>29</v>
      </c>
      <c r="E41" t="s">
        <v>25</v>
      </c>
      <c r="F41">
        <v>4</v>
      </c>
      <c r="G41">
        <v>3</v>
      </c>
      <c r="H41">
        <v>5</v>
      </c>
      <c r="I41">
        <v>7</v>
      </c>
      <c r="J41">
        <v>2</v>
      </c>
      <c r="K41">
        <v>1</v>
      </c>
      <c r="L41">
        <v>6</v>
      </c>
      <c r="M41" t="s">
        <v>25</v>
      </c>
      <c r="N41" t="s">
        <v>26</v>
      </c>
      <c r="O41" t="s">
        <v>27</v>
      </c>
      <c r="P41" t="s">
        <v>28</v>
      </c>
      <c r="Q41" t="s">
        <v>47</v>
      </c>
      <c r="R41" t="s">
        <v>30</v>
      </c>
      <c r="S41" t="s">
        <v>31</v>
      </c>
      <c r="T41" t="s">
        <v>65</v>
      </c>
      <c r="U41" t="s">
        <v>33</v>
      </c>
      <c r="V41" t="s">
        <v>43</v>
      </c>
      <c r="W41" t="s">
        <v>34</v>
      </c>
      <c r="X41" t="s">
        <v>35</v>
      </c>
      <c r="Y41" t="s">
        <v>36</v>
      </c>
      <c r="Z41"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22F41-B352-4903-9757-7AFB630B46B0}">
  <dimension ref="B1:M77"/>
  <sheetViews>
    <sheetView workbookViewId="0">
      <selection activeCell="G70" sqref="G70"/>
    </sheetView>
  </sheetViews>
  <sheetFormatPr defaultRowHeight="14.25" x14ac:dyDescent="0.45"/>
  <cols>
    <col min="2" max="2" width="12.06640625" bestFit="1" customWidth="1"/>
    <col min="3" max="3" width="15.3984375" bestFit="1" customWidth="1"/>
    <col min="4" max="4" width="10.46484375" customWidth="1"/>
    <col min="5" max="5" width="10.19921875" bestFit="1" customWidth="1"/>
    <col min="6" max="6" width="18.6640625" bestFit="1" customWidth="1"/>
    <col min="7" max="7" width="10.19921875" bestFit="1" customWidth="1"/>
    <col min="8" max="9" width="14" bestFit="1" customWidth="1"/>
    <col min="10" max="10" width="17.33203125" bestFit="1" customWidth="1"/>
    <col min="11" max="11" width="6.86328125" bestFit="1" customWidth="1"/>
    <col min="12" max="12" width="6.796875" bestFit="1" customWidth="1"/>
    <col min="13" max="13" width="10.19921875" bestFit="1" customWidth="1"/>
  </cols>
  <sheetData>
    <row r="1" spans="2:13" x14ac:dyDescent="0.45">
      <c r="I1" s="1" t="s">
        <v>23</v>
      </c>
      <c r="J1" t="s">
        <v>88</v>
      </c>
    </row>
    <row r="2" spans="2:13" x14ac:dyDescent="0.45">
      <c r="B2" s="1" t="s">
        <v>70</v>
      </c>
      <c r="C2" t="s">
        <v>72</v>
      </c>
      <c r="D2" t="s">
        <v>75</v>
      </c>
      <c r="G2" t="s">
        <v>89</v>
      </c>
    </row>
    <row r="3" spans="2:13" x14ac:dyDescent="0.45">
      <c r="B3" s="2" t="s">
        <v>46</v>
      </c>
      <c r="C3">
        <v>25</v>
      </c>
      <c r="D3" s="6">
        <f>GETPIVOTDATA("gender",$B$2,"gender","Male")/GETPIVOTDATA("gender",$B$2)</f>
        <v>0.625</v>
      </c>
      <c r="G3">
        <f>GETPIVOTDATA("gender",$B$2)</f>
        <v>40</v>
      </c>
      <c r="I3" s="1" t="s">
        <v>72</v>
      </c>
      <c r="J3" s="1" t="s">
        <v>76</v>
      </c>
    </row>
    <row r="4" spans="2:13" x14ac:dyDescent="0.45">
      <c r="B4" s="2" t="s">
        <v>24</v>
      </c>
      <c r="C4">
        <v>15</v>
      </c>
      <c r="D4" s="6">
        <f>GETPIVOTDATA("gender",$B$2,"gender","Female")/40</f>
        <v>0.375</v>
      </c>
      <c r="I4" s="1" t="s">
        <v>70</v>
      </c>
      <c r="J4" t="s">
        <v>27</v>
      </c>
      <c r="K4" t="s">
        <v>63</v>
      </c>
      <c r="L4" t="s">
        <v>53</v>
      </c>
      <c r="M4" t="s">
        <v>71</v>
      </c>
    </row>
    <row r="5" spans="2:13" x14ac:dyDescent="0.45">
      <c r="B5" s="2" t="s">
        <v>71</v>
      </c>
      <c r="C5">
        <v>40</v>
      </c>
      <c r="I5" s="2" t="s">
        <v>24</v>
      </c>
      <c r="J5">
        <v>10</v>
      </c>
      <c r="K5">
        <v>3</v>
      </c>
      <c r="L5">
        <v>2</v>
      </c>
      <c r="M5">
        <v>15</v>
      </c>
    </row>
    <row r="6" spans="2:13" x14ac:dyDescent="0.45">
      <c r="I6" s="2" t="s">
        <v>46</v>
      </c>
      <c r="J6">
        <v>16</v>
      </c>
      <c r="K6">
        <v>8</v>
      </c>
      <c r="L6">
        <v>1</v>
      </c>
      <c r="M6">
        <v>25</v>
      </c>
    </row>
    <row r="7" spans="2:13" x14ac:dyDescent="0.45">
      <c r="B7" s="1" t="s">
        <v>70</v>
      </c>
      <c r="C7" t="s">
        <v>73</v>
      </c>
      <c r="D7" t="s">
        <v>74</v>
      </c>
      <c r="I7" s="2" t="s">
        <v>71</v>
      </c>
      <c r="J7">
        <v>26</v>
      </c>
      <c r="K7">
        <v>11</v>
      </c>
      <c r="L7">
        <v>3</v>
      </c>
      <c r="M7">
        <v>40</v>
      </c>
    </row>
    <row r="8" spans="2:13" x14ac:dyDescent="0.45">
      <c r="B8" s="2" t="s">
        <v>24</v>
      </c>
      <c r="C8" s="5">
        <v>27.733333333333334</v>
      </c>
      <c r="D8" s="4">
        <f>GETPIVOTDATA("age",$B$7,"gender","Female")/GETPIVOTDATA("age",$B$7)</f>
        <v>0.99760191846522783</v>
      </c>
    </row>
    <row r="9" spans="2:13" x14ac:dyDescent="0.45">
      <c r="B9" s="2" t="s">
        <v>46</v>
      </c>
      <c r="C9" s="5">
        <v>27.84</v>
      </c>
      <c r="D9" s="4">
        <f>GETPIVOTDATA("age",$B$7,"gender","Male")/GETPIVOTDATA("age",$B$7)</f>
        <v>1.0014388489208632</v>
      </c>
    </row>
    <row r="10" spans="2:13" x14ac:dyDescent="0.45">
      <c r="B10" s="2" t="s">
        <v>71</v>
      </c>
      <c r="C10">
        <v>27.8</v>
      </c>
    </row>
    <row r="12" spans="2:13" x14ac:dyDescent="0.45">
      <c r="B12" s="1" t="s">
        <v>77</v>
      </c>
      <c r="C12" s="1" t="s">
        <v>76</v>
      </c>
      <c r="F12" t="s">
        <v>79</v>
      </c>
    </row>
    <row r="13" spans="2:13" x14ac:dyDescent="0.45">
      <c r="B13" s="1" t="s">
        <v>70</v>
      </c>
      <c r="C13" t="s">
        <v>24</v>
      </c>
      <c r="D13" t="s">
        <v>46</v>
      </c>
      <c r="E13" t="s">
        <v>71</v>
      </c>
    </row>
    <row r="14" spans="2:13" x14ac:dyDescent="0.45">
      <c r="B14" s="2" t="s">
        <v>38</v>
      </c>
      <c r="C14">
        <v>3</v>
      </c>
      <c r="E14">
        <v>3</v>
      </c>
    </row>
    <row r="15" spans="2:13" x14ac:dyDescent="0.45">
      <c r="B15" s="2" t="s">
        <v>25</v>
      </c>
      <c r="C15">
        <v>12</v>
      </c>
      <c r="D15">
        <v>25</v>
      </c>
      <c r="E15">
        <v>37</v>
      </c>
    </row>
    <row r="16" spans="2:13" x14ac:dyDescent="0.45">
      <c r="B16" s="2" t="s">
        <v>71</v>
      </c>
      <c r="C16">
        <v>15</v>
      </c>
      <c r="D16">
        <v>25</v>
      </c>
      <c r="E16">
        <v>40</v>
      </c>
    </row>
    <row r="18" spans="2:8" x14ac:dyDescent="0.45">
      <c r="B18" s="1" t="s">
        <v>70</v>
      </c>
      <c r="C18" t="s">
        <v>78</v>
      </c>
      <c r="D18" t="s">
        <v>80</v>
      </c>
    </row>
    <row r="19" spans="2:8" x14ac:dyDescent="0.45">
      <c r="B19" s="2" t="s">
        <v>28</v>
      </c>
      <c r="C19">
        <v>32</v>
      </c>
    </row>
    <row r="20" spans="2:8" x14ac:dyDescent="0.45">
      <c r="B20" s="2" t="s">
        <v>64</v>
      </c>
      <c r="C20">
        <v>6</v>
      </c>
    </row>
    <row r="21" spans="2:8" x14ac:dyDescent="0.45">
      <c r="B21" s="2" t="s">
        <v>26</v>
      </c>
      <c r="C21">
        <v>2</v>
      </c>
    </row>
    <row r="22" spans="2:8" x14ac:dyDescent="0.45">
      <c r="B22" s="2" t="s">
        <v>71</v>
      </c>
      <c r="C22">
        <v>40</v>
      </c>
    </row>
    <row r="24" spans="2:8" x14ac:dyDescent="0.45">
      <c r="B24" s="1" t="s">
        <v>81</v>
      </c>
      <c r="C24" s="1" t="s">
        <v>76</v>
      </c>
    </row>
    <row r="25" spans="2:8" x14ac:dyDescent="0.45">
      <c r="B25" s="1" t="s">
        <v>70</v>
      </c>
      <c r="C25" t="s">
        <v>63</v>
      </c>
      <c r="D25" t="s">
        <v>71</v>
      </c>
    </row>
    <row r="26" spans="2:8" x14ac:dyDescent="0.45">
      <c r="B26" s="2" t="s">
        <v>60</v>
      </c>
      <c r="C26">
        <v>8</v>
      </c>
      <c r="D26">
        <v>8</v>
      </c>
    </row>
    <row r="27" spans="2:8" x14ac:dyDescent="0.45">
      <c r="B27" s="2" t="s">
        <v>26</v>
      </c>
      <c r="C27">
        <v>3</v>
      </c>
      <c r="D27">
        <v>3</v>
      </c>
    </row>
    <row r="28" spans="2:8" x14ac:dyDescent="0.45">
      <c r="B28" s="2" t="s">
        <v>71</v>
      </c>
      <c r="C28">
        <v>11</v>
      </c>
      <c r="D28">
        <v>11</v>
      </c>
    </row>
    <row r="31" spans="2:8" x14ac:dyDescent="0.45">
      <c r="B31" s="1" t="s">
        <v>82</v>
      </c>
      <c r="C31" s="1" t="s">
        <v>76</v>
      </c>
      <c r="H31" t="s">
        <v>83</v>
      </c>
    </row>
    <row r="32" spans="2:8" x14ac:dyDescent="0.45">
      <c r="B32" s="1" t="s">
        <v>70</v>
      </c>
      <c r="C32" t="s">
        <v>49</v>
      </c>
      <c r="D32" t="s">
        <v>65</v>
      </c>
      <c r="E32" t="s">
        <v>32</v>
      </c>
      <c r="F32" t="s">
        <v>67</v>
      </c>
      <c r="G32" t="s">
        <v>71</v>
      </c>
    </row>
    <row r="33" spans="2:9" x14ac:dyDescent="0.45">
      <c r="B33" s="2" t="s">
        <v>31</v>
      </c>
      <c r="C33">
        <v>8</v>
      </c>
      <c r="D33">
        <v>8</v>
      </c>
      <c r="E33">
        <v>15</v>
      </c>
      <c r="F33">
        <v>1</v>
      </c>
      <c r="G33" s="3">
        <v>32</v>
      </c>
      <c r="H33" s="6">
        <f>GETPIVOTDATA("Avenue",$B$31,"Expect","20%-30%")/40</f>
        <v>0.8</v>
      </c>
    </row>
    <row r="34" spans="2:9" x14ac:dyDescent="0.45">
      <c r="B34" s="2" t="s">
        <v>55</v>
      </c>
      <c r="C34">
        <v>1</v>
      </c>
      <c r="E34">
        <v>2</v>
      </c>
      <c r="G34" s="3">
        <v>3</v>
      </c>
      <c r="H34" s="6">
        <f>GETPIVOTDATA("Avenue",$B$31,"Expect","10%-20%")/40</f>
        <v>7.4999999999999997E-2</v>
      </c>
    </row>
    <row r="35" spans="2:9" x14ac:dyDescent="0.45">
      <c r="B35" s="2" t="s">
        <v>61</v>
      </c>
      <c r="C35">
        <v>1</v>
      </c>
      <c r="D35">
        <v>1</v>
      </c>
      <c r="E35">
        <v>1</v>
      </c>
      <c r="F35">
        <v>2</v>
      </c>
      <c r="G35" s="3">
        <v>5</v>
      </c>
      <c r="H35" s="6">
        <f>GETPIVOTDATA("Avenue",$B$31,"Expect","30%-40%")/GETPIVOTDATA("Avenue",$B$31)</f>
        <v>0.125</v>
      </c>
    </row>
    <row r="36" spans="2:9" x14ac:dyDescent="0.45">
      <c r="B36" s="2" t="s">
        <v>71</v>
      </c>
      <c r="C36">
        <v>10</v>
      </c>
      <c r="D36">
        <v>9</v>
      </c>
      <c r="E36">
        <v>18</v>
      </c>
      <c r="F36">
        <v>3</v>
      </c>
      <c r="G36">
        <v>40</v>
      </c>
      <c r="I36" t="s">
        <v>91</v>
      </c>
    </row>
    <row r="38" spans="2:9" x14ac:dyDescent="0.45">
      <c r="B38" s="1" t="s">
        <v>72</v>
      </c>
      <c r="C38" s="1" t="s">
        <v>76</v>
      </c>
      <c r="F38" t="s">
        <v>84</v>
      </c>
    </row>
    <row r="39" spans="2:9" x14ac:dyDescent="0.45">
      <c r="B39" s="1" t="s">
        <v>70</v>
      </c>
      <c r="C39" t="s">
        <v>24</v>
      </c>
      <c r="D39" t="s">
        <v>46</v>
      </c>
      <c r="E39" t="s">
        <v>71</v>
      </c>
    </row>
    <row r="40" spans="2:9" x14ac:dyDescent="0.45">
      <c r="B40" s="2" t="s">
        <v>45</v>
      </c>
      <c r="C40">
        <v>6</v>
      </c>
      <c r="D40">
        <v>10</v>
      </c>
      <c r="E40">
        <v>16</v>
      </c>
    </row>
    <row r="41" spans="2:9" x14ac:dyDescent="0.45">
      <c r="B41" s="2" t="s">
        <v>37</v>
      </c>
      <c r="C41">
        <v>5</v>
      </c>
      <c r="D41">
        <v>9</v>
      </c>
      <c r="E41">
        <v>14</v>
      </c>
    </row>
    <row r="42" spans="2:9" x14ac:dyDescent="0.45">
      <c r="B42" s="2" t="s">
        <v>52</v>
      </c>
      <c r="C42">
        <v>1</v>
      </c>
      <c r="D42">
        <v>5</v>
      </c>
      <c r="E42">
        <v>6</v>
      </c>
    </row>
    <row r="43" spans="2:9" x14ac:dyDescent="0.45">
      <c r="B43" s="2" t="s">
        <v>58</v>
      </c>
      <c r="C43">
        <v>3</v>
      </c>
      <c r="D43">
        <v>1</v>
      </c>
      <c r="E43">
        <v>4</v>
      </c>
    </row>
    <row r="44" spans="2:9" x14ac:dyDescent="0.45">
      <c r="B44" s="2" t="s">
        <v>71</v>
      </c>
      <c r="C44">
        <v>15</v>
      </c>
      <c r="D44">
        <v>25</v>
      </c>
      <c r="E44">
        <v>40</v>
      </c>
    </row>
    <row r="46" spans="2:9" x14ac:dyDescent="0.45">
      <c r="B46" s="1" t="s">
        <v>70</v>
      </c>
      <c r="C46" t="s">
        <v>85</v>
      </c>
      <c r="G46" t="s">
        <v>86</v>
      </c>
    </row>
    <row r="47" spans="2:9" x14ac:dyDescent="0.45">
      <c r="B47" s="2" t="s">
        <v>29</v>
      </c>
      <c r="C47">
        <v>18</v>
      </c>
    </row>
    <row r="48" spans="2:9" x14ac:dyDescent="0.45">
      <c r="B48" s="2" t="s">
        <v>47</v>
      </c>
      <c r="C48">
        <v>19</v>
      </c>
    </row>
    <row r="49" spans="2:3" x14ac:dyDescent="0.45">
      <c r="B49" s="2" t="s">
        <v>71</v>
      </c>
      <c r="C49">
        <v>37</v>
      </c>
    </row>
    <row r="74" spans="2:3" x14ac:dyDescent="0.45">
      <c r="B74" s="1" t="s">
        <v>70</v>
      </c>
      <c r="C74" t="s">
        <v>87</v>
      </c>
    </row>
    <row r="75" spans="2:3" x14ac:dyDescent="0.45">
      <c r="B75" s="2" t="s">
        <v>24</v>
      </c>
      <c r="C75">
        <v>41</v>
      </c>
    </row>
    <row r="76" spans="2:3" x14ac:dyDescent="0.45">
      <c r="B76" s="2" t="s">
        <v>46</v>
      </c>
      <c r="C76">
        <v>61</v>
      </c>
    </row>
    <row r="77" spans="2:3" x14ac:dyDescent="0.45">
      <c r="B77" s="2" t="s">
        <v>71</v>
      </c>
      <c r="C77">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1AA6-119E-47E1-93D2-61C37DCDCEE2}">
  <dimension ref="A1:Q36"/>
  <sheetViews>
    <sheetView tabSelected="1" zoomScale="68" workbookViewId="0">
      <selection activeCell="M40" sqref="M40"/>
    </sheetView>
  </sheetViews>
  <sheetFormatPr defaultRowHeight="14.25" x14ac:dyDescent="0.45"/>
  <sheetData>
    <row r="1" spans="1:17" x14ac:dyDescent="0.45">
      <c r="A1" s="8"/>
      <c r="B1" s="8"/>
      <c r="C1" s="8"/>
      <c r="D1" s="8"/>
      <c r="E1" s="8"/>
      <c r="F1" s="8"/>
      <c r="G1" s="8"/>
      <c r="H1" s="8"/>
      <c r="I1" s="8"/>
      <c r="J1" s="8"/>
      <c r="K1" s="8"/>
      <c r="L1" s="8"/>
      <c r="M1" s="8"/>
      <c r="N1" s="8"/>
      <c r="O1" s="8"/>
      <c r="P1" s="8"/>
      <c r="Q1" s="8"/>
    </row>
    <row r="2" spans="1:17" ht="27.75" x14ac:dyDescent="1.05">
      <c r="A2" s="8"/>
      <c r="B2" s="8"/>
      <c r="C2" s="8"/>
      <c r="D2" s="8"/>
      <c r="E2" s="8"/>
      <c r="F2" s="9" t="s">
        <v>90</v>
      </c>
      <c r="G2" s="9"/>
      <c r="H2" s="9"/>
      <c r="I2" s="9"/>
      <c r="J2" s="10"/>
      <c r="K2" s="10"/>
      <c r="L2" s="10"/>
      <c r="M2" s="10"/>
      <c r="N2" s="10"/>
      <c r="O2" s="11"/>
      <c r="P2" s="8"/>
      <c r="Q2" s="8"/>
    </row>
    <row r="3" spans="1:17" x14ac:dyDescent="0.45">
      <c r="A3" s="7"/>
      <c r="B3" s="7"/>
      <c r="C3" s="7"/>
      <c r="D3" s="7"/>
      <c r="E3" s="7"/>
      <c r="F3" s="7"/>
      <c r="G3" s="7"/>
      <c r="H3" s="7"/>
      <c r="I3" s="7"/>
      <c r="J3" s="7"/>
      <c r="K3" s="7"/>
      <c r="L3" s="7"/>
      <c r="M3" s="7"/>
      <c r="N3" s="7"/>
      <c r="O3" s="7"/>
      <c r="P3" s="7"/>
      <c r="Q3" s="7"/>
    </row>
    <row r="4" spans="1:17" x14ac:dyDescent="0.45">
      <c r="A4" s="7"/>
      <c r="B4" s="7"/>
      <c r="C4" s="7"/>
      <c r="D4" s="7"/>
      <c r="E4" s="7"/>
      <c r="F4" s="7"/>
      <c r="G4" s="7"/>
      <c r="H4" s="7"/>
      <c r="I4" s="7"/>
      <c r="J4" s="7"/>
      <c r="K4" s="7"/>
      <c r="L4" s="7"/>
      <c r="M4" s="7"/>
      <c r="N4" s="7"/>
      <c r="O4" s="7"/>
      <c r="P4" s="7"/>
      <c r="Q4" s="7"/>
    </row>
    <row r="5" spans="1:17" x14ac:dyDescent="0.45">
      <c r="A5" s="7"/>
      <c r="B5" s="7"/>
      <c r="C5" s="7"/>
      <c r="D5" s="7"/>
      <c r="E5" s="7"/>
      <c r="F5" s="7"/>
      <c r="G5" s="7"/>
      <c r="H5" s="7"/>
      <c r="I5" s="7"/>
      <c r="J5" s="7"/>
      <c r="K5" s="7"/>
      <c r="L5" s="7"/>
      <c r="M5" s="7"/>
      <c r="N5" s="7"/>
      <c r="O5" s="7"/>
      <c r="P5" s="7"/>
      <c r="Q5" s="7"/>
    </row>
    <row r="6" spans="1:17" x14ac:dyDescent="0.45">
      <c r="A6" s="7"/>
      <c r="B6" s="7"/>
      <c r="C6" s="7"/>
      <c r="D6" s="7"/>
      <c r="E6" s="7"/>
      <c r="F6" s="7"/>
      <c r="G6" s="7"/>
      <c r="H6" s="7"/>
      <c r="I6" s="7"/>
      <c r="J6" s="7"/>
      <c r="K6" s="7"/>
      <c r="L6" s="7"/>
      <c r="M6" s="7"/>
      <c r="N6" s="7"/>
      <c r="O6" s="7"/>
      <c r="P6" s="7"/>
      <c r="Q6" s="7"/>
    </row>
    <row r="7" spans="1:17" x14ac:dyDescent="0.45">
      <c r="A7" s="7"/>
      <c r="B7" s="7"/>
      <c r="C7" s="7"/>
      <c r="D7" s="7"/>
      <c r="E7" s="7"/>
      <c r="F7" s="7"/>
      <c r="G7" s="7"/>
      <c r="H7" s="7"/>
      <c r="I7" s="7"/>
      <c r="J7" s="7"/>
      <c r="K7" s="7"/>
      <c r="L7" s="7"/>
      <c r="M7" s="7"/>
      <c r="N7" s="7"/>
      <c r="O7" s="7"/>
      <c r="P7" s="7"/>
      <c r="Q7" s="7"/>
    </row>
    <row r="8" spans="1:17" x14ac:dyDescent="0.45">
      <c r="A8" s="7"/>
      <c r="B8" s="7"/>
      <c r="C8" s="7"/>
      <c r="D8" s="7"/>
      <c r="E8" s="7"/>
      <c r="F8" s="7"/>
      <c r="G8" s="7"/>
      <c r="H8" s="7"/>
      <c r="I8" s="7"/>
      <c r="J8" s="7"/>
      <c r="K8" s="7"/>
      <c r="L8" s="7"/>
      <c r="M8" s="7"/>
      <c r="N8" s="7"/>
      <c r="O8" s="7"/>
      <c r="P8" s="7"/>
      <c r="Q8" s="7"/>
    </row>
    <row r="9" spans="1:17" x14ac:dyDescent="0.45">
      <c r="A9" s="7"/>
      <c r="B9" s="7"/>
      <c r="C9" s="7"/>
      <c r="D9" s="7"/>
      <c r="E9" s="7"/>
      <c r="F9" s="7"/>
      <c r="G9" s="7"/>
      <c r="H9" s="7"/>
      <c r="I9" s="7"/>
      <c r="J9" s="7"/>
      <c r="K9" s="7"/>
      <c r="L9" s="7"/>
      <c r="M9" s="7"/>
      <c r="N9" s="7"/>
      <c r="O9" s="7"/>
      <c r="P9" s="7"/>
      <c r="Q9" s="7"/>
    </row>
    <row r="10" spans="1:17" x14ac:dyDescent="0.45">
      <c r="A10" s="7"/>
      <c r="B10" s="7"/>
      <c r="C10" s="7"/>
      <c r="D10" s="7"/>
      <c r="E10" s="7"/>
      <c r="F10" s="7"/>
      <c r="G10" s="7"/>
      <c r="H10" s="7"/>
      <c r="I10" s="7"/>
      <c r="J10" s="7"/>
      <c r="K10" s="7"/>
      <c r="L10" s="7"/>
      <c r="M10" s="7"/>
      <c r="N10" s="7"/>
      <c r="O10" s="7"/>
      <c r="P10" s="7"/>
      <c r="Q10" s="7"/>
    </row>
    <row r="11" spans="1:17" x14ac:dyDescent="0.45">
      <c r="A11" s="7"/>
      <c r="B11" s="7"/>
      <c r="C11" s="7"/>
      <c r="D11" s="7"/>
      <c r="E11" s="7"/>
      <c r="F11" s="7"/>
      <c r="G11" s="7"/>
      <c r="H11" s="7"/>
      <c r="I11" s="7"/>
      <c r="J11" s="7"/>
      <c r="K11" s="7"/>
      <c r="L11" s="7"/>
      <c r="M11" s="7"/>
      <c r="N11" s="7"/>
      <c r="O11" s="7"/>
      <c r="P11" s="7"/>
      <c r="Q11" s="7"/>
    </row>
    <row r="12" spans="1:17" x14ac:dyDescent="0.45">
      <c r="A12" s="7"/>
      <c r="B12" s="7"/>
      <c r="C12" s="7"/>
      <c r="D12" s="7"/>
      <c r="E12" s="7"/>
      <c r="F12" s="7"/>
      <c r="G12" s="7"/>
      <c r="H12" s="7"/>
      <c r="I12" s="7"/>
      <c r="J12" s="7"/>
      <c r="K12" s="7"/>
      <c r="L12" s="7"/>
      <c r="M12" s="7"/>
      <c r="N12" s="7"/>
      <c r="O12" s="7"/>
      <c r="P12" s="7"/>
      <c r="Q12" s="7"/>
    </row>
    <row r="13" spans="1:17" x14ac:dyDescent="0.45">
      <c r="A13" s="7"/>
      <c r="B13" s="7"/>
      <c r="C13" s="7"/>
      <c r="D13" s="7"/>
      <c r="E13" s="7"/>
      <c r="F13" s="7"/>
      <c r="G13" s="7"/>
      <c r="H13" s="7"/>
      <c r="I13" s="7"/>
      <c r="J13" s="7"/>
      <c r="K13" s="7"/>
      <c r="L13" s="7"/>
      <c r="M13" s="7"/>
      <c r="N13" s="7"/>
      <c r="O13" s="7"/>
      <c r="P13" s="7"/>
      <c r="Q13" s="7"/>
    </row>
    <row r="14" spans="1:17" x14ac:dyDescent="0.45">
      <c r="A14" s="7"/>
      <c r="B14" s="7"/>
      <c r="C14" s="7"/>
      <c r="D14" s="7"/>
      <c r="E14" s="7"/>
      <c r="F14" s="7"/>
      <c r="G14" s="7"/>
      <c r="H14" s="7"/>
      <c r="I14" s="7"/>
      <c r="J14" s="7"/>
      <c r="K14" s="7"/>
      <c r="L14" s="7"/>
      <c r="M14" s="7"/>
      <c r="N14" s="7"/>
      <c r="O14" s="7"/>
      <c r="P14" s="7"/>
      <c r="Q14" s="7"/>
    </row>
    <row r="15" spans="1:17" x14ac:dyDescent="0.45">
      <c r="A15" s="7"/>
      <c r="B15" s="7"/>
      <c r="C15" s="7"/>
      <c r="D15" s="7"/>
      <c r="E15" s="7"/>
      <c r="F15" s="7"/>
      <c r="G15" s="7"/>
      <c r="H15" s="7"/>
      <c r="I15" s="7"/>
      <c r="J15" s="7"/>
      <c r="K15" s="7"/>
      <c r="L15" s="7"/>
      <c r="M15" s="7"/>
      <c r="N15" s="7"/>
      <c r="O15" s="7"/>
      <c r="P15" s="7"/>
      <c r="Q15" s="7"/>
    </row>
    <row r="16" spans="1:17" x14ac:dyDescent="0.45">
      <c r="A16" s="7"/>
      <c r="B16" s="7"/>
      <c r="C16" s="7"/>
      <c r="D16" s="7"/>
      <c r="E16" s="7"/>
      <c r="F16" s="7"/>
      <c r="G16" s="7"/>
      <c r="H16" s="7"/>
      <c r="I16" s="7"/>
      <c r="J16" s="7"/>
      <c r="K16" s="7"/>
      <c r="L16" s="7"/>
      <c r="M16" s="7"/>
      <c r="N16" s="7"/>
      <c r="O16" s="7"/>
      <c r="P16" s="7"/>
      <c r="Q16" s="7"/>
    </row>
    <row r="17" spans="1:17" x14ac:dyDescent="0.45">
      <c r="A17" s="7"/>
      <c r="B17" s="7"/>
      <c r="C17" s="7"/>
      <c r="D17" s="7"/>
      <c r="E17" s="7"/>
      <c r="F17" s="7"/>
      <c r="G17" s="7"/>
      <c r="H17" s="7"/>
      <c r="I17" s="7"/>
      <c r="J17" s="7"/>
      <c r="K17" s="7"/>
      <c r="L17" s="7"/>
      <c r="M17" s="7"/>
      <c r="N17" s="7"/>
      <c r="O17" s="7"/>
      <c r="P17" s="7"/>
      <c r="Q17" s="7"/>
    </row>
    <row r="18" spans="1:17" x14ac:dyDescent="0.45">
      <c r="A18" s="7"/>
      <c r="B18" s="7"/>
      <c r="C18" s="7"/>
      <c r="D18" s="7"/>
      <c r="E18" s="7"/>
      <c r="F18" s="7"/>
      <c r="G18" s="7"/>
      <c r="H18" s="7"/>
      <c r="I18" s="7"/>
      <c r="J18" s="7"/>
      <c r="K18" s="7"/>
      <c r="L18" s="7"/>
      <c r="M18" s="7"/>
      <c r="N18" s="7"/>
      <c r="O18" s="7"/>
      <c r="P18" s="7"/>
      <c r="Q18" s="7"/>
    </row>
    <row r="19" spans="1:17" x14ac:dyDescent="0.45">
      <c r="A19" s="7"/>
      <c r="B19" s="7"/>
      <c r="C19" s="7"/>
      <c r="D19" s="7"/>
      <c r="E19" s="7"/>
      <c r="F19" s="7"/>
      <c r="G19" s="7"/>
      <c r="H19" s="7"/>
      <c r="I19" s="7"/>
      <c r="J19" s="7"/>
      <c r="K19" s="7"/>
      <c r="L19" s="7"/>
      <c r="M19" s="7"/>
      <c r="N19" s="7"/>
      <c r="O19" s="7"/>
      <c r="P19" s="7"/>
      <c r="Q19" s="7"/>
    </row>
    <row r="20" spans="1:17" x14ac:dyDescent="0.45">
      <c r="A20" s="7"/>
      <c r="B20" s="7"/>
      <c r="C20" s="7"/>
      <c r="D20" s="7"/>
      <c r="E20" s="7"/>
      <c r="F20" s="7"/>
      <c r="G20" s="7"/>
      <c r="H20" s="7"/>
      <c r="I20" s="7"/>
      <c r="J20" s="7"/>
      <c r="K20" s="7"/>
      <c r="L20" s="7"/>
      <c r="M20" s="7"/>
      <c r="N20" s="7"/>
      <c r="O20" s="7"/>
      <c r="P20" s="7"/>
      <c r="Q20" s="7"/>
    </row>
    <row r="21" spans="1:17" x14ac:dyDescent="0.45">
      <c r="A21" s="7"/>
      <c r="B21" s="7"/>
      <c r="C21" s="7"/>
      <c r="D21" s="7"/>
      <c r="E21" s="7"/>
      <c r="F21" s="7"/>
      <c r="G21" s="7"/>
      <c r="H21" s="7"/>
      <c r="I21" s="7"/>
      <c r="J21" s="7"/>
      <c r="K21" s="7"/>
      <c r="L21" s="7"/>
      <c r="M21" s="7"/>
      <c r="N21" s="7"/>
      <c r="O21" s="7"/>
      <c r="P21" s="7"/>
      <c r="Q21" s="7"/>
    </row>
    <row r="22" spans="1:17" x14ac:dyDescent="0.45">
      <c r="A22" s="7"/>
      <c r="B22" s="7"/>
      <c r="C22" s="7"/>
      <c r="D22" s="7"/>
      <c r="E22" s="7"/>
      <c r="F22" s="7"/>
      <c r="G22" s="7"/>
      <c r="H22" s="7"/>
      <c r="I22" s="7"/>
      <c r="J22" s="7"/>
      <c r="K22" s="7"/>
      <c r="L22" s="7"/>
      <c r="M22" s="7"/>
      <c r="N22" s="7"/>
      <c r="O22" s="7"/>
      <c r="P22" s="7"/>
      <c r="Q22" s="7"/>
    </row>
    <row r="23" spans="1:17" x14ac:dyDescent="0.45">
      <c r="A23" s="7"/>
      <c r="B23" s="7"/>
      <c r="C23" s="7"/>
      <c r="D23" s="7"/>
      <c r="E23" s="7"/>
      <c r="F23" s="7"/>
      <c r="G23" s="7"/>
      <c r="H23" s="7"/>
      <c r="I23" s="7"/>
      <c r="J23" s="7"/>
      <c r="K23" s="7"/>
      <c r="L23" s="7"/>
      <c r="M23" s="7"/>
      <c r="N23" s="7"/>
      <c r="O23" s="7"/>
      <c r="P23" s="7"/>
      <c r="Q23" s="7"/>
    </row>
    <row r="24" spans="1:17" x14ac:dyDescent="0.45">
      <c r="A24" s="7"/>
      <c r="B24" s="7"/>
      <c r="C24" s="7"/>
      <c r="D24" s="7"/>
      <c r="E24" s="7"/>
      <c r="F24" s="7"/>
      <c r="G24" s="7"/>
      <c r="H24" s="7"/>
      <c r="I24" s="7"/>
      <c r="J24" s="7"/>
      <c r="K24" s="7"/>
      <c r="L24" s="7"/>
      <c r="M24" s="7"/>
      <c r="N24" s="7"/>
      <c r="O24" s="7"/>
      <c r="P24" s="7"/>
      <c r="Q24" s="7"/>
    </row>
    <row r="25" spans="1:17" x14ac:dyDescent="0.45">
      <c r="A25" s="7"/>
      <c r="B25" s="7"/>
      <c r="C25" s="7"/>
      <c r="D25" s="7"/>
      <c r="E25" s="7"/>
      <c r="F25" s="7"/>
      <c r="G25" s="7"/>
      <c r="H25" s="7"/>
      <c r="I25" s="7"/>
      <c r="J25" s="7"/>
      <c r="K25" s="7"/>
      <c r="L25" s="7"/>
      <c r="M25" s="7"/>
      <c r="N25" s="7"/>
      <c r="O25" s="7"/>
      <c r="P25" s="7"/>
      <c r="Q25" s="7"/>
    </row>
    <row r="26" spans="1:17" x14ac:dyDescent="0.45">
      <c r="A26" s="7"/>
      <c r="B26" s="7"/>
      <c r="C26" s="7"/>
      <c r="D26" s="7"/>
      <c r="E26" s="7"/>
      <c r="F26" s="7"/>
      <c r="G26" s="7"/>
      <c r="H26" s="7"/>
      <c r="I26" s="7"/>
      <c r="J26" s="7"/>
      <c r="K26" s="7"/>
      <c r="L26" s="7"/>
      <c r="M26" s="7"/>
      <c r="N26" s="7"/>
      <c r="O26" s="7"/>
      <c r="P26" s="7"/>
      <c r="Q26" s="7"/>
    </row>
    <row r="27" spans="1:17" x14ac:dyDescent="0.45">
      <c r="A27" s="7"/>
      <c r="B27" s="7"/>
      <c r="C27" s="7"/>
      <c r="D27" s="7"/>
      <c r="E27" s="7"/>
      <c r="F27" s="7"/>
      <c r="G27" s="7"/>
      <c r="H27" s="7"/>
      <c r="I27" s="7"/>
      <c r="J27" s="7"/>
      <c r="K27" s="7"/>
      <c r="L27" s="7"/>
      <c r="M27" s="7"/>
      <c r="N27" s="7"/>
      <c r="O27" s="7"/>
      <c r="P27" s="7"/>
      <c r="Q27" s="7"/>
    </row>
    <row r="28" spans="1:17" x14ac:dyDescent="0.45">
      <c r="A28" s="7"/>
      <c r="B28" s="7"/>
      <c r="C28" s="7"/>
      <c r="D28" s="7"/>
      <c r="E28" s="7"/>
      <c r="F28" s="7"/>
      <c r="G28" s="7"/>
      <c r="H28" s="7"/>
      <c r="I28" s="7"/>
      <c r="J28" s="7"/>
      <c r="K28" s="7"/>
      <c r="L28" s="7"/>
      <c r="M28" s="7"/>
      <c r="N28" s="7"/>
      <c r="O28" s="7"/>
      <c r="P28" s="7"/>
      <c r="Q28" s="7"/>
    </row>
    <row r="29" spans="1:17" x14ac:dyDescent="0.45">
      <c r="A29" s="7"/>
      <c r="B29" s="7"/>
      <c r="C29" s="7"/>
      <c r="D29" s="7"/>
      <c r="E29" s="7"/>
      <c r="F29" s="7"/>
      <c r="G29" s="7"/>
      <c r="H29" s="7"/>
      <c r="I29" s="7"/>
      <c r="J29" s="7"/>
      <c r="K29" s="7"/>
      <c r="L29" s="7"/>
      <c r="M29" s="7"/>
      <c r="N29" s="7"/>
      <c r="O29" s="7"/>
      <c r="P29" s="7"/>
      <c r="Q29" s="7"/>
    </row>
    <row r="30" spans="1:17" x14ac:dyDescent="0.45">
      <c r="A30" s="7"/>
      <c r="B30" s="7"/>
      <c r="C30" s="7"/>
      <c r="D30" s="7"/>
      <c r="E30" s="7"/>
      <c r="F30" s="7"/>
      <c r="G30" s="7"/>
      <c r="H30" s="7"/>
      <c r="I30" s="7"/>
      <c r="J30" s="7"/>
      <c r="K30" s="7"/>
      <c r="L30" s="7"/>
      <c r="M30" s="7"/>
      <c r="N30" s="7"/>
      <c r="O30" s="7"/>
      <c r="P30" s="7"/>
      <c r="Q30" s="7"/>
    </row>
    <row r="31" spans="1:17" x14ac:dyDescent="0.45">
      <c r="A31" s="7"/>
      <c r="B31" s="7"/>
      <c r="C31" s="7"/>
      <c r="D31" s="7"/>
      <c r="E31" s="7"/>
      <c r="F31" s="7"/>
      <c r="G31" s="7"/>
      <c r="H31" s="7"/>
      <c r="I31" s="7"/>
      <c r="J31" s="7"/>
      <c r="K31" s="7"/>
      <c r="L31" s="7"/>
      <c r="M31" s="7"/>
      <c r="N31" s="7"/>
      <c r="O31" s="7"/>
      <c r="P31" s="7"/>
      <c r="Q31" s="7"/>
    </row>
    <row r="32" spans="1:17" x14ac:dyDescent="0.45">
      <c r="A32" s="7"/>
      <c r="B32" s="7"/>
      <c r="C32" s="7"/>
      <c r="D32" s="7"/>
      <c r="E32" s="7"/>
      <c r="F32" s="7"/>
      <c r="G32" s="7"/>
      <c r="H32" s="7"/>
      <c r="I32" s="7"/>
      <c r="J32" s="7"/>
      <c r="K32" s="7"/>
      <c r="L32" s="7"/>
      <c r="M32" s="7"/>
      <c r="N32" s="7"/>
      <c r="O32" s="7"/>
      <c r="P32" s="7"/>
      <c r="Q32" s="7"/>
    </row>
    <row r="33" spans="1:17" x14ac:dyDescent="0.45">
      <c r="A33" s="7"/>
      <c r="B33" s="7"/>
      <c r="C33" s="7"/>
      <c r="D33" s="7"/>
      <c r="E33" s="7"/>
      <c r="F33" s="7"/>
      <c r="G33" s="7"/>
      <c r="H33" s="7"/>
      <c r="I33" s="7"/>
      <c r="J33" s="7"/>
      <c r="K33" s="7"/>
      <c r="L33" s="7"/>
      <c r="M33" s="7"/>
      <c r="N33" s="7"/>
      <c r="O33" s="7"/>
      <c r="P33" s="7"/>
      <c r="Q33" s="7"/>
    </row>
    <row r="34" spans="1:17" x14ac:dyDescent="0.45">
      <c r="A34" s="7"/>
      <c r="B34" s="7"/>
      <c r="C34" s="7"/>
      <c r="D34" s="7"/>
      <c r="E34" s="7"/>
      <c r="F34" s="7"/>
      <c r="G34" s="7"/>
      <c r="H34" s="7"/>
      <c r="I34" s="7"/>
      <c r="J34" s="7"/>
      <c r="K34" s="7"/>
      <c r="L34" s="7"/>
      <c r="M34" s="7"/>
      <c r="N34" s="7"/>
      <c r="O34" s="7"/>
      <c r="P34" s="7"/>
      <c r="Q34" s="7"/>
    </row>
    <row r="35" spans="1:17" x14ac:dyDescent="0.45">
      <c r="A35" s="7"/>
      <c r="B35" s="7"/>
      <c r="C35" s="7"/>
      <c r="D35" s="7"/>
      <c r="E35" s="7"/>
      <c r="F35" s="7"/>
      <c r="G35" s="7"/>
      <c r="H35" s="7"/>
      <c r="I35" s="7"/>
      <c r="J35" s="7"/>
      <c r="K35" s="7"/>
      <c r="L35" s="7"/>
      <c r="M35" s="7"/>
      <c r="N35" s="7"/>
      <c r="O35" s="7"/>
      <c r="P35" s="7"/>
      <c r="Q35" s="7"/>
    </row>
    <row r="36" spans="1:17" x14ac:dyDescent="0.45">
      <c r="A36" s="7"/>
      <c r="B36" s="7"/>
      <c r="C36" s="7"/>
      <c r="D36" s="7"/>
      <c r="E36" s="7"/>
      <c r="F36" s="7"/>
      <c r="G36" s="7"/>
      <c r="H36" s="7"/>
      <c r="I36" s="7"/>
      <c r="J36" s="7"/>
      <c r="K36" s="7"/>
      <c r="L36" s="7"/>
      <c r="M36" s="7"/>
      <c r="N36" s="7"/>
      <c r="O36" s="7"/>
      <c r="P36" s="7"/>
      <c r="Q3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Data_set 2</vt:lpstr>
      <vt:lpstr>Clean Data </vt:lpstr>
      <vt:lpstr>pivot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Sakshi Dhandole</cp:lastModifiedBy>
  <dcterms:created xsi:type="dcterms:W3CDTF">2025-10-28T15:42:40Z</dcterms:created>
  <dcterms:modified xsi:type="dcterms:W3CDTF">2025-11-09T13:55:40Z</dcterms:modified>
</cp:coreProperties>
</file>